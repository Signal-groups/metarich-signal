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o\Documents\카카오톡 받은 파일\"/>
    </mc:Choice>
  </mc:AlternateContent>
  <bookViews>
    <workbookView xWindow="-120" yWindow="-120" windowWidth="29040" windowHeight="15840" activeTab="1"/>
  </bookViews>
  <sheets>
    <sheet name="고용민" sheetId="26" r:id="rId1"/>
    <sheet name="최유라" sheetId="25" r:id="rId2"/>
    <sheet name="고태경" sheetId="24" r:id="rId3"/>
    <sheet name="고하경" sheetId="23" r:id="rId4"/>
  </sheets>
  <calcPr calcId="162913"/>
</workbook>
</file>

<file path=xl/calcChain.xml><?xml version="1.0" encoding="utf-8"?>
<calcChain xmlns="http://schemas.openxmlformats.org/spreadsheetml/2006/main">
  <c r="E14" i="25" l="1"/>
  <c r="E13" i="25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60" i="25"/>
  <c r="E59" i="25"/>
  <c r="E58" i="25"/>
  <c r="E57" i="25"/>
  <c r="E56" i="25"/>
  <c r="E55" i="25"/>
  <c r="E54" i="25"/>
  <c r="E53" i="25"/>
  <c r="E52" i="25"/>
  <c r="E51" i="25"/>
  <c r="E50" i="25"/>
  <c r="E49" i="25"/>
  <c r="E48" i="25"/>
  <c r="E47" i="25"/>
  <c r="E45" i="25"/>
  <c r="E44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2" i="25"/>
  <c r="E11" i="25"/>
  <c r="E10" i="25"/>
  <c r="E9" i="25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11" i="23" l="1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10" i="23"/>
  <c r="E9" i="23"/>
</calcChain>
</file>

<file path=xl/sharedStrings.xml><?xml version="1.0" encoding="utf-8"?>
<sst xmlns="http://schemas.openxmlformats.org/spreadsheetml/2006/main" count="348" uniqueCount="112">
  <si>
    <t>수술비</t>
    <phoneticPr fontId="1" type="noConversion"/>
  </si>
  <si>
    <t>뇌혈관수술비</t>
    <phoneticPr fontId="1" type="noConversion"/>
  </si>
  <si>
    <t>골절</t>
    <phoneticPr fontId="1" type="noConversion"/>
  </si>
  <si>
    <t>창상봉합술</t>
    <phoneticPr fontId="1" type="noConversion"/>
  </si>
  <si>
    <t>교통사고처리지원금</t>
    <phoneticPr fontId="1" type="noConversion"/>
  </si>
  <si>
    <t>변호사선임비용</t>
    <phoneticPr fontId="1" type="noConversion"/>
  </si>
  <si>
    <t>가족일상배상책임</t>
    <phoneticPr fontId="1" type="noConversion"/>
  </si>
  <si>
    <t>가족보장자산</t>
    <phoneticPr fontId="1" type="noConversion"/>
  </si>
  <si>
    <t>사망</t>
    <phoneticPr fontId="1" type="noConversion"/>
  </si>
  <si>
    <t>일반</t>
    <phoneticPr fontId="1" type="noConversion"/>
  </si>
  <si>
    <t>질병</t>
    <phoneticPr fontId="1" type="noConversion"/>
  </si>
  <si>
    <t>재해(상해)</t>
    <phoneticPr fontId="1" type="noConversion"/>
  </si>
  <si>
    <t>생활보장자산</t>
    <phoneticPr fontId="1" type="noConversion"/>
  </si>
  <si>
    <t>암치료비</t>
    <phoneticPr fontId="1" type="noConversion"/>
  </si>
  <si>
    <t>일반암</t>
    <phoneticPr fontId="1" type="noConversion"/>
  </si>
  <si>
    <t>유사암/소액암</t>
    <phoneticPr fontId="1" type="noConversion"/>
  </si>
  <si>
    <t>암수술비</t>
    <phoneticPr fontId="1" type="noConversion"/>
  </si>
  <si>
    <t>표적항암치료</t>
    <phoneticPr fontId="1" type="noConversion"/>
  </si>
  <si>
    <t>중입자치료</t>
    <phoneticPr fontId="1" type="noConversion"/>
  </si>
  <si>
    <t>암주요치료비</t>
    <phoneticPr fontId="1" type="noConversion"/>
  </si>
  <si>
    <t>2대질병치료비</t>
    <phoneticPr fontId="1" type="noConversion"/>
  </si>
  <si>
    <t>뇌졸중</t>
    <phoneticPr fontId="1" type="noConversion"/>
  </si>
  <si>
    <t>뇌출혈</t>
    <phoneticPr fontId="1" type="noConversion"/>
  </si>
  <si>
    <t>급성심근경색</t>
    <phoneticPr fontId="1" type="noConversion"/>
  </si>
  <si>
    <t>허혈성심장질환</t>
    <phoneticPr fontId="1" type="noConversion"/>
  </si>
  <si>
    <t>심혈관질환</t>
    <phoneticPr fontId="1" type="noConversion"/>
  </si>
  <si>
    <t>뇌혈관질환</t>
    <phoneticPr fontId="1" type="noConversion"/>
  </si>
  <si>
    <t>심혈관수술비</t>
    <phoneticPr fontId="1" type="noConversion"/>
  </si>
  <si>
    <t>2대주요치료비</t>
    <phoneticPr fontId="1" type="noConversion"/>
  </si>
  <si>
    <t>후유장해</t>
    <phoneticPr fontId="1" type="noConversion"/>
  </si>
  <si>
    <t>질병 후유장해(3%~)</t>
    <phoneticPr fontId="1" type="noConversion"/>
  </si>
  <si>
    <t>상해 후유장해(3%~)</t>
    <phoneticPr fontId="1" type="noConversion"/>
  </si>
  <si>
    <t>골절 진단비</t>
    <phoneticPr fontId="1" type="noConversion"/>
  </si>
  <si>
    <t>골절 수술비</t>
    <phoneticPr fontId="1" type="noConversion"/>
  </si>
  <si>
    <t>5대골절 진단비</t>
    <phoneticPr fontId="1" type="noConversion"/>
  </si>
  <si>
    <t>5대골절 수술비</t>
    <phoneticPr fontId="1" type="noConversion"/>
  </si>
  <si>
    <t>화상 수술비</t>
    <phoneticPr fontId="1" type="noConversion"/>
  </si>
  <si>
    <t>깁스 치료비</t>
    <phoneticPr fontId="1" type="noConversion"/>
  </si>
  <si>
    <t>화상 진단비</t>
    <phoneticPr fontId="1" type="noConversion"/>
  </si>
  <si>
    <t>화상</t>
    <phoneticPr fontId="1" type="noConversion"/>
  </si>
  <si>
    <t>상해입원의료비</t>
    <phoneticPr fontId="1" type="noConversion"/>
  </si>
  <si>
    <t>상해통원의료비</t>
    <phoneticPr fontId="1" type="noConversion"/>
  </si>
  <si>
    <t>질병입원의료비</t>
    <phoneticPr fontId="1" type="noConversion"/>
  </si>
  <si>
    <t>질병통원의료비</t>
    <phoneticPr fontId="1" type="noConversion"/>
  </si>
  <si>
    <t>질병 수술비</t>
    <phoneticPr fontId="1" type="noConversion"/>
  </si>
  <si>
    <t>상해 수술비</t>
    <phoneticPr fontId="1" type="noConversion"/>
  </si>
  <si>
    <t>질병 1~5종수술비</t>
    <phoneticPr fontId="1" type="noConversion"/>
  </si>
  <si>
    <t>상해 1~5종수술비</t>
    <phoneticPr fontId="1" type="noConversion"/>
  </si>
  <si>
    <t>N대 수술비</t>
    <phoneticPr fontId="1" type="noConversion"/>
  </si>
  <si>
    <t>실손의료비</t>
    <phoneticPr fontId="1" type="noConversion"/>
  </si>
  <si>
    <t>입원</t>
    <phoneticPr fontId="1" type="noConversion"/>
  </si>
  <si>
    <t>질병 입원일당</t>
    <phoneticPr fontId="1" type="noConversion"/>
  </si>
  <si>
    <t>상해 입원일당</t>
    <phoneticPr fontId="1" type="noConversion"/>
  </si>
  <si>
    <t>교통상해입원일당</t>
    <phoneticPr fontId="1" type="noConversion"/>
  </si>
  <si>
    <t>상해간병지원금</t>
    <phoneticPr fontId="1" type="noConversion"/>
  </si>
  <si>
    <t>질병간병지원금</t>
    <phoneticPr fontId="1" type="noConversion"/>
  </si>
  <si>
    <t>교통사고벌금</t>
    <phoneticPr fontId="1" type="noConversion"/>
  </si>
  <si>
    <t>자동차부상치료비</t>
    <phoneticPr fontId="1" type="noConversion"/>
  </si>
  <si>
    <t>운전자</t>
    <phoneticPr fontId="1" type="noConversion"/>
  </si>
  <si>
    <t>크라운</t>
    <phoneticPr fontId="1" type="noConversion"/>
  </si>
  <si>
    <t>임플란트</t>
    <phoneticPr fontId="1" type="noConversion"/>
  </si>
  <si>
    <t>화재벌금</t>
    <phoneticPr fontId="1" type="noConversion"/>
  </si>
  <si>
    <t>치아</t>
    <phoneticPr fontId="1" type="noConversion"/>
  </si>
  <si>
    <t>기타</t>
    <phoneticPr fontId="1" type="noConversion"/>
  </si>
  <si>
    <t>의료보장자산</t>
    <phoneticPr fontId="1" type="noConversion"/>
  </si>
  <si>
    <t>합계보장</t>
    <phoneticPr fontId="1" type="noConversion"/>
  </si>
  <si>
    <t>(단위 : 만원)</t>
    <phoneticPr fontId="1" type="noConversion"/>
  </si>
  <si>
    <t>항암 (방사선/약물)</t>
    <phoneticPr fontId="1" type="noConversion"/>
  </si>
  <si>
    <t>보  험  회  사</t>
    <phoneticPr fontId="1" type="noConversion"/>
  </si>
  <si>
    <t>상   품   명</t>
    <phoneticPr fontId="1" type="noConversion"/>
  </si>
  <si>
    <t>계   약   일</t>
    <phoneticPr fontId="1" type="noConversion"/>
  </si>
  <si>
    <t>납 입 기 간 &amp; 보 장 기 간</t>
    <phoneticPr fontId="1" type="noConversion"/>
  </si>
  <si>
    <t>납 입 보 험 료</t>
    <phoneticPr fontId="1" type="noConversion"/>
  </si>
  <si>
    <t>NO.</t>
    <phoneticPr fontId="1" type="noConversion"/>
  </si>
  <si>
    <t>119대수술</t>
    <phoneticPr fontId="1" type="noConversion"/>
  </si>
  <si>
    <t>내 보험 바로 알기 보장분석표</t>
    <phoneticPr fontId="1" type="noConversion"/>
  </si>
  <si>
    <t>담당자 박주완</t>
    <phoneticPr fontId="1" type="noConversion"/>
  </si>
  <si>
    <t>님</t>
    <phoneticPr fontId="1" type="noConversion"/>
  </si>
  <si>
    <t>고용민</t>
    <phoneticPr fontId="1" type="noConversion"/>
  </si>
  <si>
    <t>메리츠화재</t>
    <phoneticPr fontId="1" type="noConversion"/>
  </si>
  <si>
    <t>메리츠화재</t>
    <phoneticPr fontId="1" type="noConversion"/>
  </si>
  <si>
    <t>운전자보험</t>
    <phoneticPr fontId="1" type="noConversion"/>
  </si>
  <si>
    <t>실손의료비</t>
    <phoneticPr fontId="1" type="noConversion"/>
  </si>
  <si>
    <t>19.01.10</t>
    <phoneticPr fontId="1" type="noConversion"/>
  </si>
  <si>
    <t>19.01.10</t>
    <phoneticPr fontId="1" type="noConversion"/>
  </si>
  <si>
    <t>23.04.10</t>
    <phoneticPr fontId="1" type="noConversion"/>
  </si>
  <si>
    <t>DB손보</t>
    <phoneticPr fontId="1" type="noConversion"/>
  </si>
  <si>
    <t>컨버전스보험</t>
    <phoneticPr fontId="1" type="noConversion"/>
  </si>
  <si>
    <t>알파플러스</t>
    <phoneticPr fontId="1" type="noConversion"/>
  </si>
  <si>
    <t>푸본현대</t>
    <phoneticPr fontId="1" type="noConversion"/>
  </si>
  <si>
    <t>교통재해보험</t>
    <phoneticPr fontId="1" type="noConversion"/>
  </si>
  <si>
    <t>07.10.05</t>
    <phoneticPr fontId="1" type="noConversion"/>
  </si>
  <si>
    <t>19.01.10</t>
    <phoneticPr fontId="1" type="noConversion"/>
  </si>
  <si>
    <t>25.10.21</t>
    <phoneticPr fontId="1" type="noConversion"/>
  </si>
  <si>
    <t>1년납1년만기</t>
    <phoneticPr fontId="1" type="noConversion"/>
  </si>
  <si>
    <t>30년납90세만기</t>
    <phoneticPr fontId="1" type="noConversion"/>
  </si>
  <si>
    <t>20년납80세만기</t>
    <phoneticPr fontId="1" type="noConversion"/>
  </si>
  <si>
    <t>20년갱신</t>
    <phoneticPr fontId="1" type="noConversion"/>
  </si>
  <si>
    <t>1년갱신</t>
    <phoneticPr fontId="1" type="noConversion"/>
  </si>
  <si>
    <t>20년납80세만기</t>
    <phoneticPr fontId="1" type="noConversion"/>
  </si>
  <si>
    <t>7대수술</t>
    <phoneticPr fontId="1" type="noConversion"/>
  </si>
  <si>
    <t>64대수술</t>
    <phoneticPr fontId="1" type="noConversion"/>
  </si>
  <si>
    <t>현대해상</t>
    <phoneticPr fontId="1" type="noConversion"/>
  </si>
  <si>
    <t>현대해상</t>
    <phoneticPr fontId="1" type="noConversion"/>
  </si>
  <si>
    <t>케어프리보험</t>
    <phoneticPr fontId="1" type="noConversion"/>
  </si>
  <si>
    <t>굿앤굿스타</t>
    <phoneticPr fontId="1" type="noConversion"/>
  </si>
  <si>
    <t>13.03.26</t>
    <phoneticPr fontId="1" type="noConversion"/>
  </si>
  <si>
    <t>30년납100세만기</t>
    <phoneticPr fontId="1" type="noConversion"/>
  </si>
  <si>
    <t>25.10.23</t>
    <phoneticPr fontId="1" type="noConversion"/>
  </si>
  <si>
    <t>20년납20년만기</t>
    <phoneticPr fontId="1" type="noConversion"/>
  </si>
  <si>
    <t>25.10.23</t>
    <phoneticPr fontId="1" type="noConversion"/>
  </si>
  <si>
    <r>
      <rPr>
        <sz val="11"/>
        <color rgb="FFFF0000"/>
        <rFont val="HY견고딕"/>
        <family val="1"/>
        <charset val="129"/>
      </rPr>
      <t>3천갱신</t>
    </r>
    <r>
      <rPr>
        <sz val="11"/>
        <color theme="1"/>
        <rFont val="HY견고딕"/>
        <family val="1"/>
        <charset val="129"/>
      </rPr>
      <t xml:space="preserve">      2천비갱신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</si>
</sst>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SB 어그로 Light"/>
      <family val="1"/>
      <charset val="129"/>
    </font>
    <font>
      <sz val="9"/>
      <color theme="1"/>
      <name val="SB 어그로 Light"/>
      <family val="1"/>
      <charset val="129"/>
    </font>
    <font>
      <sz val="10"/>
      <color theme="1"/>
      <name val="SB 어그로 Light"/>
      <family val="1"/>
      <charset val="129"/>
    </font>
    <font>
      <sz val="11"/>
      <color rgb="FFFF0000"/>
      <name val="SB 어그로 Light"/>
      <family val="1"/>
      <charset val="129"/>
    </font>
    <font>
      <sz val="14"/>
      <color theme="1"/>
      <name val="SB 어그로 Light"/>
      <family val="1"/>
      <charset val="129"/>
    </font>
    <font>
      <sz val="18"/>
      <color theme="1"/>
      <name val="SB 어그로 Light"/>
      <family val="1"/>
      <charset val="129"/>
    </font>
    <font>
      <sz val="14"/>
      <color theme="1"/>
      <name val="HY견고딕"/>
      <family val="1"/>
      <charset val="129"/>
    </font>
    <font>
      <sz val="18"/>
      <color theme="1"/>
      <name val="HY견고딕"/>
      <family val="1"/>
      <charset val="129"/>
    </font>
    <font>
      <sz val="11"/>
      <color theme="1"/>
      <name val="HY견고딕"/>
      <family val="1"/>
      <charset val="129"/>
    </font>
    <font>
      <sz val="9"/>
      <color theme="1"/>
      <name val="HY견고딕"/>
      <family val="1"/>
      <charset val="129"/>
    </font>
    <font>
      <sz val="10"/>
      <color theme="1"/>
      <name val="HY견고딕"/>
      <family val="1"/>
      <charset val="129"/>
    </font>
    <font>
      <sz val="11"/>
      <color rgb="FFFF0000"/>
      <name val="HY견고딕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FFC000"/>
      </left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C000"/>
      </bottom>
      <diagonal/>
    </border>
    <border>
      <left style="medium">
        <color theme="4" tint="-0.24994659260841701"/>
      </left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medium">
        <color theme="4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-0.24994659260841701"/>
      </left>
      <right style="thin">
        <color indexed="64"/>
      </right>
      <top style="thin">
        <color indexed="64"/>
      </top>
      <bottom style="medium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24994659260841701"/>
      </bottom>
      <diagonal/>
    </border>
    <border>
      <left style="medium">
        <color theme="3" tint="0.39994506668294322"/>
      </left>
      <right style="thin">
        <color indexed="64"/>
      </right>
      <top style="medium">
        <color theme="4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 tint="-0.24994659260841701"/>
      </top>
      <bottom style="thin">
        <color indexed="64"/>
      </bottom>
      <diagonal/>
    </border>
    <border>
      <left style="medium">
        <color theme="3" tint="0.39994506668294322"/>
      </left>
      <right style="thin">
        <color indexed="64"/>
      </right>
      <top style="thin">
        <color indexed="64"/>
      </top>
      <bottom style="medium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 tint="0.39994506668294322"/>
      </bottom>
      <diagonal/>
    </border>
    <border>
      <left style="medium">
        <color theme="8" tint="-0.24994659260841701"/>
      </left>
      <right style="thin">
        <color indexed="64"/>
      </right>
      <top style="medium">
        <color theme="3" tint="0.399945066682943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3" tint="0.39994506668294322"/>
      </top>
      <bottom style="thin">
        <color indexed="64"/>
      </bottom>
      <diagonal/>
    </border>
    <border>
      <left style="medium">
        <color theme="8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-0.24994659260841701"/>
      </left>
      <right style="thin">
        <color indexed="64"/>
      </right>
      <top style="thin">
        <color indexed="64"/>
      </top>
      <bottom style="medium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8" tint="-0.24994659260841701"/>
      </bottom>
      <diagonal/>
    </border>
    <border>
      <left style="medium">
        <color theme="2" tint="-0.499984740745262"/>
      </left>
      <right style="thin">
        <color indexed="64"/>
      </right>
      <top style="medium">
        <color theme="8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8" tint="-0.24994659260841701"/>
      </top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medium">
        <color theme="5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5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-0.24994659260841701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C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C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4" tint="-0.24994659260841701"/>
      </bottom>
      <diagonal/>
    </border>
    <border>
      <left style="thin">
        <color indexed="64"/>
      </left>
      <right style="medium">
        <color indexed="64"/>
      </right>
      <top style="medium">
        <color theme="4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3" tint="0.39994506668294322"/>
      </bottom>
      <diagonal/>
    </border>
    <border>
      <left style="thin">
        <color indexed="64"/>
      </left>
      <right style="medium">
        <color indexed="64"/>
      </right>
      <top style="medium">
        <color theme="3" tint="0.399945066682943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8" tint="-0.24994659260841701"/>
      </bottom>
      <diagonal/>
    </border>
    <border>
      <left style="thin">
        <color indexed="64"/>
      </left>
      <right style="medium">
        <color indexed="64"/>
      </right>
      <top style="medium">
        <color theme="8" tint="-0.2499465926084170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theme="9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medium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9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9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C000"/>
      </top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58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1" fontId="3" fillId="4" borderId="17" xfId="1" applyFont="1" applyFill="1" applyBorder="1" applyAlignment="1">
      <alignment horizontal="center" vertical="center" wrapText="1"/>
    </xf>
    <xf numFmtId="41" fontId="3" fillId="0" borderId="4" xfId="1" applyFont="1" applyBorder="1" applyAlignment="1">
      <alignment horizontal="center" vertical="center" wrapText="1"/>
    </xf>
    <xf numFmtId="41" fontId="3" fillId="0" borderId="11" xfId="1" applyFont="1" applyBorder="1" applyAlignment="1">
      <alignment horizontal="center" vertical="center" wrapText="1"/>
    </xf>
    <xf numFmtId="41" fontId="3" fillId="0" borderId="1" xfId="1" applyFont="1" applyBorder="1" applyAlignment="1">
      <alignment horizontal="center" vertical="center" wrapText="1"/>
    </xf>
    <xf numFmtId="41" fontId="3" fillId="0" borderId="13" xfId="1" applyFont="1" applyBorder="1" applyAlignment="1">
      <alignment horizontal="center" vertical="center" wrapText="1"/>
    </xf>
    <xf numFmtId="41" fontId="3" fillId="0" borderId="6" xfId="1" applyFont="1" applyBorder="1" applyAlignment="1">
      <alignment horizontal="center" vertical="center" wrapText="1"/>
    </xf>
    <xf numFmtId="41" fontId="3" fillId="0" borderId="14" xfId="1" applyFont="1" applyBorder="1" applyAlignment="1">
      <alignment horizontal="center" vertical="center" wrapText="1"/>
    </xf>
    <xf numFmtId="41" fontId="3" fillId="4" borderId="16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1" fontId="3" fillId="6" borderId="1" xfId="1" applyFont="1" applyFill="1" applyBorder="1" applyAlignment="1">
      <alignment horizontal="center" vertical="center" wrapText="1"/>
    </xf>
    <xf numFmtId="41" fontId="3" fillId="6" borderId="13" xfId="1" applyFont="1" applyFill="1" applyBorder="1" applyAlignment="1">
      <alignment horizontal="center" vertical="center" wrapText="1"/>
    </xf>
    <xf numFmtId="41" fontId="3" fillId="4" borderId="4" xfId="1" applyFont="1" applyFill="1" applyBorder="1" applyAlignment="1">
      <alignment horizontal="center" vertical="center" wrapText="1"/>
    </xf>
    <xf numFmtId="41" fontId="3" fillId="4" borderId="11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1" fontId="3" fillId="7" borderId="1" xfId="1" applyFont="1" applyFill="1" applyBorder="1" applyAlignment="1">
      <alignment horizontal="center" vertical="center" wrapText="1"/>
    </xf>
    <xf numFmtId="41" fontId="3" fillId="7" borderId="13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1" fontId="3" fillId="2" borderId="1" xfId="1" applyFont="1" applyFill="1" applyBorder="1" applyAlignment="1">
      <alignment horizontal="center" vertical="center" wrapText="1"/>
    </xf>
    <xf numFmtId="41" fontId="3" fillId="2" borderId="13" xfId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1" fontId="3" fillId="8" borderId="1" xfId="1" applyFont="1" applyFill="1" applyBorder="1" applyAlignment="1">
      <alignment horizontal="center" vertical="center" wrapText="1"/>
    </xf>
    <xf numFmtId="41" fontId="3" fillId="8" borderId="13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1" fontId="3" fillId="3" borderId="1" xfId="1" applyFont="1" applyFill="1" applyBorder="1" applyAlignment="1">
      <alignment horizontal="center" vertical="center" wrapText="1"/>
    </xf>
    <xf numFmtId="41" fontId="3" fillId="3" borderId="13" xfId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41" fontId="3" fillId="10" borderId="1" xfId="1" applyFont="1" applyFill="1" applyBorder="1" applyAlignment="1">
      <alignment horizontal="center" vertical="center" wrapText="1"/>
    </xf>
    <xf numFmtId="41" fontId="3" fillId="10" borderId="13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41" fontId="3" fillId="6" borderId="27" xfId="1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41" fontId="3" fillId="6" borderId="30" xfId="1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41" fontId="3" fillId="2" borderId="27" xfId="1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41" fontId="3" fillId="2" borderId="34" xfId="1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41" fontId="3" fillId="5" borderId="36" xfId="1" applyFont="1" applyFill="1" applyBorder="1" applyAlignment="1">
      <alignment horizontal="center" vertical="center" wrapText="1"/>
    </xf>
    <xf numFmtId="0" fontId="3" fillId="5" borderId="38" xfId="0" applyFont="1" applyFill="1" applyBorder="1" applyAlignment="1">
      <alignment horizontal="center" vertical="center" wrapText="1"/>
    </xf>
    <xf numFmtId="41" fontId="3" fillId="5" borderId="38" xfId="1" applyFont="1" applyFill="1" applyBorder="1" applyAlignment="1">
      <alignment horizontal="center" vertical="center" wrapText="1"/>
    </xf>
    <xf numFmtId="0" fontId="3" fillId="8" borderId="40" xfId="0" applyFont="1" applyFill="1" applyBorder="1" applyAlignment="1">
      <alignment horizontal="center" vertical="center" wrapText="1"/>
    </xf>
    <xf numFmtId="41" fontId="3" fillId="8" borderId="40" xfId="1" applyFont="1" applyFill="1" applyBorder="1" applyAlignment="1">
      <alignment horizontal="center" vertical="center" wrapText="1"/>
    </xf>
    <xf numFmtId="0" fontId="3" fillId="8" borderId="43" xfId="0" applyFont="1" applyFill="1" applyBorder="1" applyAlignment="1">
      <alignment horizontal="center" vertical="center" wrapText="1"/>
    </xf>
    <xf numFmtId="41" fontId="3" fillId="8" borderId="43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1" fontId="3" fillId="0" borderId="2" xfId="1" applyFont="1" applyBorder="1" applyAlignment="1">
      <alignment horizontal="center" vertical="center" wrapText="1"/>
    </xf>
    <xf numFmtId="0" fontId="3" fillId="9" borderId="45" xfId="0" applyFont="1" applyFill="1" applyBorder="1" applyAlignment="1">
      <alignment horizontal="center" vertical="center" wrapText="1"/>
    </xf>
    <xf numFmtId="41" fontId="3" fillId="9" borderId="45" xfId="1" applyFont="1" applyFill="1" applyBorder="1" applyAlignment="1">
      <alignment horizontal="center" vertical="center" wrapText="1"/>
    </xf>
    <xf numFmtId="0" fontId="3" fillId="9" borderId="47" xfId="0" applyFont="1" applyFill="1" applyBorder="1" applyAlignment="1">
      <alignment horizontal="center" vertical="center" wrapText="1"/>
    </xf>
    <xf numFmtId="41" fontId="3" fillId="9" borderId="47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41" fontId="3" fillId="7" borderId="2" xfId="1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41" fontId="3" fillId="3" borderId="49" xfId="1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41" fontId="3" fillId="3" borderId="52" xfId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41" fontId="3" fillId="7" borderId="16" xfId="1" applyFont="1" applyFill="1" applyBorder="1" applyAlignment="1">
      <alignment horizontal="center" vertical="center" wrapText="1"/>
    </xf>
    <xf numFmtId="0" fontId="3" fillId="10" borderId="54" xfId="0" applyFont="1" applyFill="1" applyBorder="1" applyAlignment="1">
      <alignment horizontal="center" vertical="center" wrapText="1"/>
    </xf>
    <xf numFmtId="41" fontId="3" fillId="10" borderId="54" xfId="1" applyFont="1" applyFill="1" applyBorder="1" applyAlignment="1">
      <alignment horizontal="center" vertical="center" wrapText="1"/>
    </xf>
    <xf numFmtId="0" fontId="3" fillId="10" borderId="55" xfId="0" applyFont="1" applyFill="1" applyBorder="1" applyAlignment="1">
      <alignment horizontal="center" vertical="center" wrapText="1"/>
    </xf>
    <xf numFmtId="41" fontId="3" fillId="10" borderId="55" xfId="1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41" fontId="3" fillId="4" borderId="20" xfId="1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41" fontId="3" fillId="3" borderId="16" xfId="1" applyFont="1" applyFill="1" applyBorder="1" applyAlignment="1">
      <alignment horizontal="center" vertical="center" wrapText="1"/>
    </xf>
    <xf numFmtId="41" fontId="6" fillId="4" borderId="57" xfId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41" fontId="3" fillId="0" borderId="17" xfId="1" applyFont="1" applyBorder="1" applyAlignment="1">
      <alignment horizontal="center" vertical="center" wrapText="1"/>
    </xf>
    <xf numFmtId="41" fontId="3" fillId="6" borderId="60" xfId="1" applyFont="1" applyFill="1" applyBorder="1" applyAlignment="1">
      <alignment horizontal="center" vertical="center" wrapText="1"/>
    </xf>
    <xf numFmtId="41" fontId="3" fillId="6" borderId="61" xfId="1" applyFont="1" applyFill="1" applyBorder="1" applyAlignment="1">
      <alignment horizontal="center" vertical="center" wrapText="1"/>
    </xf>
    <xf numFmtId="41" fontId="3" fillId="2" borderId="60" xfId="1" applyFont="1" applyFill="1" applyBorder="1" applyAlignment="1">
      <alignment horizontal="center" vertical="center" wrapText="1"/>
    </xf>
    <xf numFmtId="41" fontId="3" fillId="2" borderId="62" xfId="1" applyFont="1" applyFill="1" applyBorder="1" applyAlignment="1">
      <alignment horizontal="center" vertical="center" wrapText="1"/>
    </xf>
    <xf numFmtId="41" fontId="3" fillId="5" borderId="63" xfId="1" applyFont="1" applyFill="1" applyBorder="1" applyAlignment="1">
      <alignment horizontal="center" vertical="center" wrapText="1"/>
    </xf>
    <xf numFmtId="41" fontId="3" fillId="5" borderId="64" xfId="1" applyFont="1" applyFill="1" applyBorder="1" applyAlignment="1">
      <alignment horizontal="center" vertical="center" wrapText="1"/>
    </xf>
    <xf numFmtId="41" fontId="3" fillId="8" borderId="65" xfId="1" applyFont="1" applyFill="1" applyBorder="1" applyAlignment="1">
      <alignment horizontal="center" vertical="center" wrapText="1"/>
    </xf>
    <xf numFmtId="41" fontId="3" fillId="8" borderId="66" xfId="1" applyFont="1" applyFill="1" applyBorder="1" applyAlignment="1">
      <alignment horizontal="center" vertical="center" wrapText="1"/>
    </xf>
    <xf numFmtId="41" fontId="3" fillId="9" borderId="67" xfId="1" applyFont="1" applyFill="1" applyBorder="1" applyAlignment="1">
      <alignment horizontal="center" vertical="center" wrapText="1"/>
    </xf>
    <xf numFmtId="41" fontId="3" fillId="9" borderId="69" xfId="1" applyFont="1" applyFill="1" applyBorder="1" applyAlignment="1">
      <alignment horizontal="center" vertical="center" wrapText="1"/>
    </xf>
    <xf numFmtId="41" fontId="3" fillId="0" borderId="19" xfId="1" applyFont="1" applyBorder="1" applyAlignment="1">
      <alignment horizontal="center" vertical="center" wrapText="1"/>
    </xf>
    <xf numFmtId="41" fontId="3" fillId="3" borderId="70" xfId="1" applyFont="1" applyFill="1" applyBorder="1" applyAlignment="1">
      <alignment horizontal="center" vertical="center" wrapText="1"/>
    </xf>
    <xf numFmtId="41" fontId="3" fillId="3" borderId="17" xfId="1" applyFont="1" applyFill="1" applyBorder="1" applyAlignment="1">
      <alignment horizontal="center" vertical="center" wrapText="1"/>
    </xf>
    <xf numFmtId="41" fontId="3" fillId="3" borderId="71" xfId="1" applyFont="1" applyFill="1" applyBorder="1" applyAlignment="1">
      <alignment horizontal="center" vertical="center" wrapText="1"/>
    </xf>
    <xf numFmtId="41" fontId="3" fillId="7" borderId="19" xfId="1" applyFont="1" applyFill="1" applyBorder="1" applyAlignment="1">
      <alignment horizontal="center" vertical="center" wrapText="1"/>
    </xf>
    <xf numFmtId="41" fontId="3" fillId="7" borderId="17" xfId="1" applyFont="1" applyFill="1" applyBorder="1" applyAlignment="1">
      <alignment horizontal="center" vertical="center" wrapText="1"/>
    </xf>
    <xf numFmtId="41" fontId="3" fillId="10" borderId="73" xfId="1" applyFont="1" applyFill="1" applyBorder="1" applyAlignment="1">
      <alignment horizontal="center" vertical="center" wrapText="1"/>
    </xf>
    <xf numFmtId="41" fontId="3" fillId="10" borderId="75" xfId="1" applyFont="1" applyFill="1" applyBorder="1" applyAlignment="1">
      <alignment horizontal="center" vertical="center" wrapText="1"/>
    </xf>
    <xf numFmtId="41" fontId="3" fillId="4" borderId="21" xfId="1" applyFont="1" applyFill="1" applyBorder="1" applyAlignment="1">
      <alignment horizontal="center" vertical="center" wrapText="1"/>
    </xf>
    <xf numFmtId="41" fontId="3" fillId="13" borderId="58" xfId="1" applyFont="1" applyFill="1" applyBorder="1" applyAlignment="1">
      <alignment horizontal="center" vertical="center" wrapText="1"/>
    </xf>
    <xf numFmtId="41" fontId="3" fillId="13" borderId="76" xfId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10" borderId="54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5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11" borderId="59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68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 wrapText="1"/>
    </xf>
    <xf numFmtId="0" fontId="3" fillId="8" borderId="39" xfId="0" applyFont="1" applyFill="1" applyBorder="1" applyAlignment="1">
      <alignment horizontal="center" vertical="center" wrapText="1"/>
    </xf>
    <xf numFmtId="0" fontId="3" fillId="8" borderId="41" xfId="0" applyFont="1" applyFill="1" applyBorder="1" applyAlignment="1">
      <alignment horizontal="center" vertical="center" wrapText="1"/>
    </xf>
    <xf numFmtId="0" fontId="3" fillId="8" borderId="42" xfId="0" applyFont="1" applyFill="1" applyBorder="1" applyAlignment="1">
      <alignment horizontal="center" vertical="center" wrapText="1"/>
    </xf>
    <xf numFmtId="0" fontId="3" fillId="9" borderId="44" xfId="0" applyFont="1" applyFill="1" applyBorder="1" applyAlignment="1">
      <alignment horizontal="center" vertical="center" wrapText="1"/>
    </xf>
    <xf numFmtId="0" fontId="3" fillId="9" borderId="46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53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10" borderId="72" xfId="0" applyFont="1" applyFill="1" applyBorder="1" applyAlignment="1">
      <alignment horizontal="center" vertical="center" wrapText="1"/>
    </xf>
    <xf numFmtId="0" fontId="3" fillId="10" borderId="54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74" xfId="0" applyFont="1" applyFill="1" applyBorder="1" applyAlignment="1">
      <alignment horizontal="center" vertical="center" wrapText="1"/>
    </xf>
    <xf numFmtId="0" fontId="3" fillId="10" borderId="5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41" fontId="14" fillId="4" borderId="57" xfId="1" applyFont="1" applyFill="1" applyBorder="1" applyAlignment="1">
      <alignment horizontal="center" vertical="center" wrapText="1"/>
    </xf>
    <xf numFmtId="41" fontId="11" fillId="4" borderId="16" xfId="1" applyFont="1" applyFill="1" applyBorder="1" applyAlignment="1">
      <alignment horizontal="center" vertical="center" wrapText="1"/>
    </xf>
    <xf numFmtId="41" fontId="11" fillId="4" borderId="17" xfId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1" fontId="11" fillId="13" borderId="58" xfId="1" applyFont="1" applyFill="1" applyBorder="1" applyAlignment="1">
      <alignment horizontal="center" vertical="center" wrapText="1"/>
    </xf>
    <xf numFmtId="41" fontId="11" fillId="0" borderId="4" xfId="1" applyFont="1" applyBorder="1" applyAlignment="1">
      <alignment horizontal="center" vertical="center" wrapText="1"/>
    </xf>
    <xf numFmtId="41" fontId="11" fillId="0" borderId="11" xfId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1" fontId="11" fillId="0" borderId="1" xfId="1" applyFont="1" applyBorder="1" applyAlignment="1">
      <alignment horizontal="center" vertical="center" wrapText="1"/>
    </xf>
    <xf numFmtId="41" fontId="14" fillId="0" borderId="1" xfId="1" applyFont="1" applyBorder="1" applyAlignment="1">
      <alignment horizontal="center" vertical="center" wrapText="1"/>
    </xf>
    <xf numFmtId="41" fontId="11" fillId="0" borderId="13" xfId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41" fontId="11" fillId="0" borderId="16" xfId="1" applyFont="1" applyBorder="1" applyAlignment="1">
      <alignment horizontal="center" vertical="center" wrapText="1"/>
    </xf>
    <xf numFmtId="41" fontId="11" fillId="0" borderId="17" xfId="1" applyFont="1" applyBorder="1" applyAlignment="1">
      <alignment horizontal="center" vertical="center" wrapText="1"/>
    </xf>
    <xf numFmtId="0" fontId="11" fillId="11" borderId="59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center" vertical="center" wrapText="1"/>
    </xf>
    <xf numFmtId="41" fontId="11" fillId="6" borderId="27" xfId="1" applyFont="1" applyFill="1" applyBorder="1" applyAlignment="1">
      <alignment horizontal="center" vertical="center" wrapText="1"/>
    </xf>
    <xf numFmtId="41" fontId="14" fillId="6" borderId="27" xfId="1" applyFont="1" applyFill="1" applyBorder="1" applyAlignment="1">
      <alignment horizontal="center" vertical="center" wrapText="1"/>
    </xf>
    <xf numFmtId="41" fontId="11" fillId="6" borderId="77" xfId="1" applyFont="1" applyFill="1" applyBorder="1" applyAlignment="1">
      <alignment horizontal="center" vertical="center" wrapText="1"/>
    </xf>
    <xf numFmtId="41" fontId="11" fillId="6" borderId="60" xfId="1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41" fontId="11" fillId="6" borderId="1" xfId="1" applyFont="1" applyFill="1" applyBorder="1" applyAlignment="1">
      <alignment horizontal="center" vertical="center" wrapText="1"/>
    </xf>
    <xf numFmtId="41" fontId="14" fillId="6" borderId="1" xfId="1" applyFont="1" applyFill="1" applyBorder="1" applyAlignment="1">
      <alignment horizontal="center" vertical="center" wrapText="1"/>
    </xf>
    <xf numFmtId="41" fontId="11" fillId="6" borderId="2" xfId="1" applyFont="1" applyFill="1" applyBorder="1" applyAlignment="1">
      <alignment horizontal="center" vertical="center" wrapText="1"/>
    </xf>
    <xf numFmtId="41" fontId="11" fillId="6" borderId="13" xfId="1" applyFont="1" applyFill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center" vertical="center" wrapText="1"/>
    </xf>
    <xf numFmtId="0" fontId="11" fillId="6" borderId="30" xfId="0" applyFont="1" applyFill="1" applyBorder="1" applyAlignment="1">
      <alignment horizontal="center" vertical="center" wrapText="1"/>
    </xf>
    <xf numFmtId="41" fontId="11" fillId="6" borderId="30" xfId="1" applyFont="1" applyFill="1" applyBorder="1" applyAlignment="1">
      <alignment horizontal="center" vertical="center" wrapText="1"/>
    </xf>
    <xf numFmtId="41" fontId="14" fillId="6" borderId="30" xfId="1" applyFont="1" applyFill="1" applyBorder="1" applyAlignment="1">
      <alignment horizontal="center" vertical="center" wrapText="1"/>
    </xf>
    <xf numFmtId="41" fontId="11" fillId="6" borderId="61" xfId="1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41" fontId="11" fillId="2" borderId="27" xfId="1" applyFont="1" applyFill="1" applyBorder="1" applyAlignment="1">
      <alignment horizontal="center" vertical="center" wrapText="1"/>
    </xf>
    <xf numFmtId="41" fontId="11" fillId="2" borderId="60" xfId="1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1" fontId="11" fillId="2" borderId="1" xfId="1" applyFont="1" applyFill="1" applyBorder="1" applyAlignment="1">
      <alignment horizontal="center" vertical="center" wrapText="1"/>
    </xf>
    <xf numFmtId="41" fontId="11" fillId="2" borderId="13" xfId="1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 wrapText="1"/>
    </xf>
    <xf numFmtId="41" fontId="11" fillId="2" borderId="34" xfId="1" applyFont="1" applyFill="1" applyBorder="1" applyAlignment="1">
      <alignment horizontal="center" vertical="center" wrapText="1"/>
    </xf>
    <xf numFmtId="41" fontId="11" fillId="2" borderId="62" xfId="1" applyFont="1" applyFill="1" applyBorder="1" applyAlignment="1">
      <alignment horizontal="center" vertical="center" wrapText="1"/>
    </xf>
    <xf numFmtId="0" fontId="11" fillId="5" borderId="35" xfId="0" applyFont="1" applyFill="1" applyBorder="1" applyAlignment="1">
      <alignment horizontal="center" vertical="center" wrapText="1"/>
    </xf>
    <xf numFmtId="0" fontId="11" fillId="5" borderId="36" xfId="0" applyFont="1" applyFill="1" applyBorder="1" applyAlignment="1">
      <alignment horizontal="center" vertical="center" wrapText="1"/>
    </xf>
    <xf numFmtId="41" fontId="11" fillId="5" borderId="36" xfId="1" applyFont="1" applyFill="1" applyBorder="1" applyAlignment="1">
      <alignment horizontal="center" vertical="center" wrapText="1"/>
    </xf>
    <xf numFmtId="41" fontId="11" fillId="5" borderId="63" xfId="1" applyFont="1" applyFill="1" applyBorder="1" applyAlignment="1">
      <alignment horizontal="center" vertical="center" wrapText="1"/>
    </xf>
    <xf numFmtId="0" fontId="11" fillId="5" borderId="37" xfId="0" applyFont="1" applyFill="1" applyBorder="1" applyAlignment="1">
      <alignment horizontal="center" vertical="center" wrapText="1"/>
    </xf>
    <xf numFmtId="0" fontId="11" fillId="5" borderId="38" xfId="0" applyFont="1" applyFill="1" applyBorder="1" applyAlignment="1">
      <alignment horizontal="center" vertical="center" wrapText="1"/>
    </xf>
    <xf numFmtId="41" fontId="11" fillId="5" borderId="38" xfId="1" applyFont="1" applyFill="1" applyBorder="1" applyAlignment="1">
      <alignment horizontal="center" vertical="center" wrapText="1"/>
    </xf>
    <xf numFmtId="41" fontId="11" fillId="5" borderId="64" xfId="1" applyFont="1" applyFill="1" applyBorder="1" applyAlignment="1">
      <alignment horizontal="center" vertical="center" wrapText="1"/>
    </xf>
    <xf numFmtId="0" fontId="11" fillId="8" borderId="39" xfId="0" applyFont="1" applyFill="1" applyBorder="1" applyAlignment="1">
      <alignment horizontal="center" vertical="center" wrapText="1"/>
    </xf>
    <xf numFmtId="0" fontId="11" fillId="8" borderId="40" xfId="0" applyFont="1" applyFill="1" applyBorder="1" applyAlignment="1">
      <alignment horizontal="center" vertical="center" wrapText="1"/>
    </xf>
    <xf numFmtId="41" fontId="11" fillId="8" borderId="40" xfId="1" applyFont="1" applyFill="1" applyBorder="1" applyAlignment="1">
      <alignment horizontal="center" vertical="center" wrapText="1"/>
    </xf>
    <xf numFmtId="41" fontId="11" fillId="8" borderId="65" xfId="1" applyFont="1" applyFill="1" applyBorder="1" applyAlignment="1">
      <alignment horizontal="center" vertical="center" wrapText="1"/>
    </xf>
    <xf numFmtId="0" fontId="11" fillId="8" borderId="4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41" fontId="11" fillId="8" borderId="1" xfId="1" applyFont="1" applyFill="1" applyBorder="1" applyAlignment="1">
      <alignment horizontal="center" vertical="center" wrapText="1"/>
    </xf>
    <xf numFmtId="41" fontId="11" fillId="8" borderId="13" xfId="1" applyFont="1" applyFill="1" applyBorder="1" applyAlignment="1">
      <alignment horizontal="center" vertical="center" wrapText="1"/>
    </xf>
    <xf numFmtId="0" fontId="11" fillId="8" borderId="42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41" fontId="11" fillId="8" borderId="43" xfId="1" applyFont="1" applyFill="1" applyBorder="1" applyAlignment="1">
      <alignment horizontal="center" vertical="center" wrapText="1"/>
    </xf>
    <xf numFmtId="41" fontId="11" fillId="8" borderId="66" xfId="1" applyFont="1" applyFill="1" applyBorder="1" applyAlignment="1">
      <alignment horizontal="center" vertical="center" wrapText="1"/>
    </xf>
    <xf numFmtId="0" fontId="11" fillId="9" borderId="44" xfId="0" applyFont="1" applyFill="1" applyBorder="1" applyAlignment="1">
      <alignment horizontal="center" vertical="center" wrapText="1"/>
    </xf>
    <xf numFmtId="0" fontId="11" fillId="9" borderId="45" xfId="0" applyFont="1" applyFill="1" applyBorder="1" applyAlignment="1">
      <alignment horizontal="center" vertical="center" wrapText="1"/>
    </xf>
    <xf numFmtId="41" fontId="11" fillId="9" borderId="45" xfId="1" applyFont="1" applyFill="1" applyBorder="1" applyAlignment="1">
      <alignment horizontal="center" vertical="center" wrapText="1"/>
    </xf>
    <xf numFmtId="41" fontId="11" fillId="9" borderId="67" xfId="1" applyFont="1" applyFill="1" applyBorder="1" applyAlignment="1">
      <alignment horizontal="center" vertical="center" wrapText="1"/>
    </xf>
    <xf numFmtId="0" fontId="11" fillId="11" borderId="68" xfId="0" applyFont="1" applyFill="1" applyBorder="1" applyAlignment="1">
      <alignment horizontal="center" vertical="center" wrapText="1"/>
    </xf>
    <xf numFmtId="0" fontId="11" fillId="9" borderId="46" xfId="0" applyFont="1" applyFill="1" applyBorder="1" applyAlignment="1">
      <alignment horizontal="center" vertical="center" wrapText="1"/>
    </xf>
    <xf numFmtId="0" fontId="11" fillId="9" borderId="47" xfId="0" applyFont="1" applyFill="1" applyBorder="1" applyAlignment="1">
      <alignment horizontal="center" vertical="center" wrapText="1"/>
    </xf>
    <xf numFmtId="41" fontId="11" fillId="9" borderId="47" xfId="1" applyFont="1" applyFill="1" applyBorder="1" applyAlignment="1">
      <alignment horizontal="center" vertical="center" wrapText="1"/>
    </xf>
    <xf numFmtId="41" fontId="11" fillId="9" borderId="69" xfId="1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41" fontId="11" fillId="0" borderId="2" xfId="1" applyFont="1" applyBorder="1" applyAlignment="1">
      <alignment horizontal="center" vertical="center" wrapText="1"/>
    </xf>
    <xf numFmtId="41" fontId="11" fillId="0" borderId="19" xfId="1" applyFont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 wrapText="1"/>
    </xf>
    <xf numFmtId="0" fontId="11" fillId="12" borderId="10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 wrapText="1"/>
    </xf>
    <xf numFmtId="41" fontId="11" fillId="3" borderId="49" xfId="1" applyFont="1" applyFill="1" applyBorder="1" applyAlignment="1">
      <alignment horizontal="center" vertical="center" wrapText="1"/>
    </xf>
    <xf numFmtId="41" fontId="11" fillId="3" borderId="70" xfId="1" applyFont="1" applyFill="1" applyBorder="1" applyAlignment="1">
      <alignment horizontal="center" vertical="center" wrapText="1"/>
    </xf>
    <xf numFmtId="0" fontId="11" fillId="3" borderId="50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1" fontId="11" fillId="3" borderId="1" xfId="1" applyFont="1" applyFill="1" applyBorder="1" applyAlignment="1">
      <alignment horizontal="center" vertical="center" wrapText="1"/>
    </xf>
    <xf numFmtId="41" fontId="11" fillId="3" borderId="13" xfId="1" applyFont="1" applyFill="1" applyBorder="1" applyAlignment="1">
      <alignment horizontal="center" vertical="center" wrapText="1"/>
    </xf>
    <xf numFmtId="0" fontId="11" fillId="3" borderId="56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41" fontId="11" fillId="3" borderId="16" xfId="1" applyFont="1" applyFill="1" applyBorder="1" applyAlignment="1">
      <alignment horizontal="center" vertical="center" wrapText="1"/>
    </xf>
    <xf numFmtId="41" fontId="11" fillId="3" borderId="17" xfId="1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center" vertical="center" wrapText="1"/>
    </xf>
    <xf numFmtId="41" fontId="11" fillId="3" borderId="52" xfId="1" applyFont="1" applyFill="1" applyBorder="1" applyAlignment="1">
      <alignment horizontal="center" vertical="center" wrapText="1"/>
    </xf>
    <xf numFmtId="41" fontId="11" fillId="3" borderId="71" xfId="1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41" fontId="11" fillId="7" borderId="2" xfId="1" applyFont="1" applyFill="1" applyBorder="1" applyAlignment="1">
      <alignment horizontal="center" vertical="center" wrapText="1"/>
    </xf>
    <xf numFmtId="41" fontId="11" fillId="7" borderId="19" xfId="1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41" fontId="11" fillId="7" borderId="1" xfId="1" applyFont="1" applyFill="1" applyBorder="1" applyAlignment="1">
      <alignment horizontal="center" vertical="center" wrapText="1"/>
    </xf>
    <xf numFmtId="41" fontId="11" fillId="7" borderId="13" xfId="1" applyFont="1" applyFill="1" applyBorder="1" applyAlignment="1">
      <alignment horizontal="center" vertical="center" wrapText="1"/>
    </xf>
    <xf numFmtId="0" fontId="11" fillId="12" borderId="53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41" fontId="11" fillId="7" borderId="16" xfId="1" applyFont="1" applyFill="1" applyBorder="1" applyAlignment="1">
      <alignment horizontal="center" vertical="center" wrapText="1"/>
    </xf>
    <xf numFmtId="41" fontId="11" fillId="7" borderId="17" xfId="1" applyFont="1" applyFill="1" applyBorder="1" applyAlignment="1">
      <alignment horizontal="center" vertical="center" wrapText="1"/>
    </xf>
    <xf numFmtId="0" fontId="11" fillId="10" borderId="72" xfId="0" applyFont="1" applyFill="1" applyBorder="1" applyAlignment="1">
      <alignment horizontal="center" vertical="center" wrapText="1"/>
    </xf>
    <xf numFmtId="0" fontId="11" fillId="10" borderId="54" xfId="0" applyFont="1" applyFill="1" applyBorder="1" applyAlignment="1">
      <alignment horizontal="center" vertical="center" wrapText="1"/>
    </xf>
    <xf numFmtId="0" fontId="11" fillId="10" borderId="54" xfId="0" applyFont="1" applyFill="1" applyBorder="1" applyAlignment="1">
      <alignment horizontal="center" vertical="center" wrapText="1"/>
    </xf>
    <xf numFmtId="41" fontId="11" fillId="10" borderId="54" xfId="1" applyFont="1" applyFill="1" applyBorder="1" applyAlignment="1">
      <alignment horizontal="center" vertical="center" wrapText="1"/>
    </xf>
    <xf numFmtId="41" fontId="11" fillId="10" borderId="73" xfId="1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41" fontId="11" fillId="10" borderId="1" xfId="1" applyFont="1" applyFill="1" applyBorder="1" applyAlignment="1">
      <alignment horizontal="center" vertical="center" wrapText="1"/>
    </xf>
    <xf numFmtId="41" fontId="11" fillId="10" borderId="13" xfId="1" applyFont="1" applyFill="1" applyBorder="1" applyAlignment="1">
      <alignment horizontal="center" vertical="center" wrapText="1"/>
    </xf>
    <xf numFmtId="0" fontId="11" fillId="10" borderId="74" xfId="0" applyFont="1" applyFill="1" applyBorder="1" applyAlignment="1">
      <alignment horizontal="center" vertical="center" wrapText="1"/>
    </xf>
    <xf numFmtId="0" fontId="11" fillId="10" borderId="55" xfId="0" applyFont="1" applyFill="1" applyBorder="1" applyAlignment="1">
      <alignment horizontal="center" vertical="center" wrapText="1"/>
    </xf>
    <xf numFmtId="0" fontId="11" fillId="10" borderId="55" xfId="0" applyFont="1" applyFill="1" applyBorder="1" applyAlignment="1">
      <alignment horizontal="center" vertical="center" wrapText="1"/>
    </xf>
    <xf numFmtId="41" fontId="11" fillId="10" borderId="55" xfId="1" applyFont="1" applyFill="1" applyBorder="1" applyAlignment="1">
      <alignment horizontal="center" vertical="center" wrapText="1"/>
    </xf>
    <xf numFmtId="41" fontId="11" fillId="10" borderId="75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41" fontId="11" fillId="0" borderId="14" xfId="1" applyFont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41" fontId="11" fillId="4" borderId="4" xfId="1" applyFont="1" applyFill="1" applyBorder="1" applyAlignment="1">
      <alignment horizontal="center" vertical="center" wrapText="1"/>
    </xf>
    <xf numFmtId="41" fontId="11" fillId="4" borderId="11" xfId="1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41" fontId="11" fillId="13" borderId="76" xfId="1" applyFont="1" applyFill="1" applyBorder="1" applyAlignment="1">
      <alignment horizontal="center" vertical="center" wrapText="1"/>
    </xf>
    <xf numFmtId="41" fontId="11" fillId="4" borderId="20" xfId="1" applyFont="1" applyFill="1" applyBorder="1" applyAlignment="1">
      <alignment horizontal="center" vertical="center" wrapText="1"/>
    </xf>
    <xf numFmtId="41" fontId="11" fillId="4" borderId="21" xfId="1" applyFont="1" applyFill="1" applyBorder="1" applyAlignment="1">
      <alignment horizontal="center" vertical="center" wrapText="1"/>
    </xf>
    <xf numFmtId="41" fontId="11" fillId="14" borderId="58" xfId="1" applyFont="1" applyFill="1" applyBorder="1" applyAlignment="1">
      <alignment horizontal="center" vertical="center" wrapText="1"/>
    </xf>
    <xf numFmtId="41" fontId="14" fillId="8" borderId="40" xfId="1" applyFont="1" applyFill="1" applyBorder="1" applyAlignment="1">
      <alignment horizontal="center" vertical="center" wrapText="1"/>
    </xf>
    <xf numFmtId="41" fontId="14" fillId="9" borderId="45" xfId="1" applyFont="1" applyFill="1" applyBorder="1" applyAlignment="1">
      <alignment horizontal="center" vertical="center" wrapText="1"/>
    </xf>
    <xf numFmtId="41" fontId="14" fillId="0" borderId="2" xfId="1" applyFont="1" applyBorder="1" applyAlignment="1">
      <alignment horizontal="center" vertical="center" wrapText="1"/>
    </xf>
    <xf numFmtId="41" fontId="14" fillId="0" borderId="16" xfId="1" applyFont="1" applyBorder="1" applyAlignment="1">
      <alignment horizontal="center" vertical="center" wrapText="1"/>
    </xf>
    <xf numFmtId="41" fontId="14" fillId="7" borderId="2" xfId="1" applyFont="1" applyFill="1" applyBorder="1" applyAlignment="1">
      <alignment horizontal="center" vertical="center" wrapText="1"/>
    </xf>
    <xf numFmtId="41" fontId="14" fillId="7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276224</xdr:colOff>
      <xdr:row>1</xdr:row>
      <xdr:rowOff>26502</xdr:rowOff>
    </xdr:from>
    <xdr:to>
      <xdr:col>16</xdr:col>
      <xdr:colOff>152399</xdr:colOff>
      <xdr:row>3</xdr:row>
      <xdr:rowOff>9525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34" b="30534"/>
        <a:stretch/>
      </xdr:blipFill>
      <xdr:spPr>
        <a:xfrm>
          <a:off x="11344274" y="236052"/>
          <a:ext cx="1495425" cy="4116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276224</xdr:colOff>
      <xdr:row>1</xdr:row>
      <xdr:rowOff>26502</xdr:rowOff>
    </xdr:from>
    <xdr:to>
      <xdr:col>16</xdr:col>
      <xdr:colOff>152399</xdr:colOff>
      <xdr:row>3</xdr:row>
      <xdr:rowOff>9525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34" b="30534"/>
        <a:stretch/>
      </xdr:blipFill>
      <xdr:spPr>
        <a:xfrm>
          <a:off x="11344274" y="236052"/>
          <a:ext cx="1495425" cy="4116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276224</xdr:colOff>
      <xdr:row>1</xdr:row>
      <xdr:rowOff>26502</xdr:rowOff>
    </xdr:from>
    <xdr:to>
      <xdr:col>16</xdr:col>
      <xdr:colOff>152399</xdr:colOff>
      <xdr:row>3</xdr:row>
      <xdr:rowOff>9525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34" b="30534"/>
        <a:stretch/>
      </xdr:blipFill>
      <xdr:spPr>
        <a:xfrm>
          <a:off x="11344274" y="236052"/>
          <a:ext cx="1495425" cy="4116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276224</xdr:colOff>
      <xdr:row>1</xdr:row>
      <xdr:rowOff>26502</xdr:rowOff>
    </xdr:from>
    <xdr:to>
      <xdr:col>16</xdr:col>
      <xdr:colOff>152399</xdr:colOff>
      <xdr:row>3</xdr:row>
      <xdr:rowOff>9525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34" b="30534"/>
        <a:stretch/>
      </xdr:blipFill>
      <xdr:spPr>
        <a:xfrm>
          <a:off x="11344274" y="236052"/>
          <a:ext cx="1495425" cy="411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0"/>
  <sheetViews>
    <sheetView workbookViewId="0">
      <selection activeCell="M9" sqref="M9"/>
    </sheetView>
  </sheetViews>
  <sheetFormatPr defaultRowHeight="13.5"/>
  <cols>
    <col min="1" max="1" width="9" style="1"/>
    <col min="2" max="2" width="5.25" style="1" customWidth="1"/>
    <col min="3" max="3" width="6.25" style="1" customWidth="1"/>
    <col min="4" max="4" width="17.875" style="1" customWidth="1"/>
    <col min="5" max="5" width="11.25" style="1" customWidth="1"/>
    <col min="6" max="16" width="10.625" style="1" customWidth="1"/>
    <col min="17" max="16384" width="9" style="1"/>
  </cols>
  <sheetData>
    <row r="2" spans="2:16" ht="16.5" customHeight="1">
      <c r="B2" s="179" t="s">
        <v>78</v>
      </c>
      <c r="C2" s="179"/>
      <c r="D2" s="179"/>
      <c r="E2" s="179" t="s">
        <v>77</v>
      </c>
      <c r="F2" s="180" t="s">
        <v>75</v>
      </c>
      <c r="G2" s="180"/>
      <c r="H2" s="180"/>
      <c r="I2" s="180"/>
      <c r="J2" s="180"/>
      <c r="K2" s="180"/>
      <c r="L2" s="179"/>
      <c r="M2" s="179"/>
      <c r="N2" s="181"/>
      <c r="O2" s="181"/>
      <c r="P2" s="182"/>
    </row>
    <row r="3" spans="2:16" ht="17.25" customHeight="1" thickBot="1"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3"/>
      <c r="M3" s="183"/>
      <c r="N3" s="185"/>
      <c r="O3" s="185"/>
      <c r="P3" s="186"/>
    </row>
    <row r="4" spans="2:16" ht="21.75" customHeight="1">
      <c r="B4" s="187" t="s">
        <v>73</v>
      </c>
      <c r="C4" s="188"/>
      <c r="D4" s="188"/>
      <c r="E4" s="189" t="s">
        <v>66</v>
      </c>
      <c r="F4" s="190">
        <v>1</v>
      </c>
      <c r="G4" s="190">
        <v>2</v>
      </c>
      <c r="H4" s="190">
        <v>3</v>
      </c>
      <c r="I4" s="190">
        <v>4</v>
      </c>
      <c r="J4" s="190">
        <v>5</v>
      </c>
      <c r="K4" s="190">
        <v>6</v>
      </c>
      <c r="L4" s="190">
        <v>7</v>
      </c>
      <c r="M4" s="190">
        <v>8</v>
      </c>
      <c r="N4" s="190">
        <v>9</v>
      </c>
      <c r="O4" s="190">
        <v>10</v>
      </c>
      <c r="P4" s="191">
        <v>11</v>
      </c>
    </row>
    <row r="5" spans="2:16" ht="21.75" customHeight="1">
      <c r="B5" s="192" t="s">
        <v>68</v>
      </c>
      <c r="C5" s="193"/>
      <c r="D5" s="193"/>
      <c r="E5" s="194" t="s">
        <v>65</v>
      </c>
      <c r="F5" s="195" t="s">
        <v>79</v>
      </c>
      <c r="G5" s="195" t="s">
        <v>80</v>
      </c>
      <c r="H5" s="195" t="s">
        <v>79</v>
      </c>
      <c r="I5" s="195" t="s">
        <v>86</v>
      </c>
      <c r="J5" s="195" t="s">
        <v>79</v>
      </c>
      <c r="K5" s="195" t="s">
        <v>89</v>
      </c>
      <c r="L5" s="195"/>
      <c r="M5" s="195"/>
      <c r="N5" s="195"/>
      <c r="O5" s="195"/>
      <c r="P5" s="196"/>
    </row>
    <row r="6" spans="2:16" ht="21.75" customHeight="1">
      <c r="B6" s="192" t="s">
        <v>69</v>
      </c>
      <c r="C6" s="193"/>
      <c r="D6" s="193"/>
      <c r="E6" s="194"/>
      <c r="F6" s="197" t="s">
        <v>81</v>
      </c>
      <c r="G6" s="197" t="s">
        <v>82</v>
      </c>
      <c r="H6" s="197" t="s">
        <v>81</v>
      </c>
      <c r="I6" s="197" t="s">
        <v>87</v>
      </c>
      <c r="J6" s="197" t="s">
        <v>88</v>
      </c>
      <c r="K6" s="197" t="s">
        <v>90</v>
      </c>
      <c r="L6" s="197"/>
      <c r="M6" s="197"/>
      <c r="N6" s="197"/>
      <c r="O6" s="197"/>
      <c r="P6" s="198"/>
    </row>
    <row r="7" spans="2:16" ht="21.75" customHeight="1">
      <c r="B7" s="192" t="s">
        <v>70</v>
      </c>
      <c r="C7" s="193"/>
      <c r="D7" s="193"/>
      <c r="E7" s="194"/>
      <c r="F7" s="199" t="s">
        <v>83</v>
      </c>
      <c r="G7" s="199" t="s">
        <v>84</v>
      </c>
      <c r="H7" s="199" t="s">
        <v>85</v>
      </c>
      <c r="I7" s="199" t="s">
        <v>91</v>
      </c>
      <c r="J7" s="199" t="s">
        <v>92</v>
      </c>
      <c r="K7" s="199" t="s">
        <v>93</v>
      </c>
      <c r="L7" s="199"/>
      <c r="M7" s="199"/>
      <c r="N7" s="199"/>
      <c r="O7" s="199"/>
      <c r="P7" s="200"/>
    </row>
    <row r="8" spans="2:16" ht="32.25" customHeight="1" thickBot="1">
      <c r="B8" s="192" t="s">
        <v>71</v>
      </c>
      <c r="C8" s="193"/>
      <c r="D8" s="193"/>
      <c r="E8" s="201"/>
      <c r="F8" s="199" t="s">
        <v>99</v>
      </c>
      <c r="G8" s="199" t="s">
        <v>98</v>
      </c>
      <c r="H8" s="199" t="s">
        <v>97</v>
      </c>
      <c r="I8" s="199" t="s">
        <v>96</v>
      </c>
      <c r="J8" s="199" t="s">
        <v>95</v>
      </c>
      <c r="K8" s="199" t="s">
        <v>94</v>
      </c>
      <c r="L8" s="199"/>
      <c r="M8" s="199"/>
      <c r="N8" s="199"/>
      <c r="O8" s="199"/>
      <c r="P8" s="200"/>
    </row>
    <row r="9" spans="2:16" ht="21.75" customHeight="1" thickBot="1">
      <c r="B9" s="202" t="s">
        <v>72</v>
      </c>
      <c r="C9" s="203"/>
      <c r="D9" s="203"/>
      <c r="E9" s="204">
        <f>F9+G9+H9+I9+J9+K9+L9+M9+N9+O9+P9</f>
        <v>309854</v>
      </c>
      <c r="F9" s="205">
        <v>26000</v>
      </c>
      <c r="G9" s="205">
        <v>26970</v>
      </c>
      <c r="H9" s="205">
        <v>7250</v>
      </c>
      <c r="I9" s="205">
        <v>101784</v>
      </c>
      <c r="J9" s="205">
        <v>147850</v>
      </c>
      <c r="K9" s="205"/>
      <c r="L9" s="205"/>
      <c r="M9" s="205"/>
      <c r="N9" s="205"/>
      <c r="O9" s="205"/>
      <c r="P9" s="206"/>
    </row>
    <row r="10" spans="2:16" ht="21.75" customHeight="1">
      <c r="B10" s="207" t="s">
        <v>7</v>
      </c>
      <c r="C10" s="208" t="s">
        <v>8</v>
      </c>
      <c r="D10" s="209" t="s">
        <v>9</v>
      </c>
      <c r="E10" s="210">
        <f>F10+G10+H10+I10+J10+K10+L10+M10+N10+O10+P10</f>
        <v>0</v>
      </c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2"/>
    </row>
    <row r="11" spans="2:16" ht="21.75" customHeight="1">
      <c r="B11" s="213"/>
      <c r="C11" s="214"/>
      <c r="D11" s="215" t="s">
        <v>10</v>
      </c>
      <c r="E11" s="210">
        <f t="shared" ref="E11:E60" si="0">F11+G11+H11+I11+J11+K11+L11+M11+N11+O11+P11</f>
        <v>4000</v>
      </c>
      <c r="F11" s="216"/>
      <c r="G11" s="216"/>
      <c r="H11" s="216"/>
      <c r="I11" s="216">
        <v>4000</v>
      </c>
      <c r="J11" s="216"/>
      <c r="K11" s="216"/>
      <c r="L11" s="216"/>
      <c r="M11" s="216"/>
      <c r="N11" s="216"/>
      <c r="O11" s="216"/>
      <c r="P11" s="218"/>
    </row>
    <row r="12" spans="2:16" ht="21.75" customHeight="1" thickBot="1">
      <c r="B12" s="219"/>
      <c r="C12" s="220"/>
      <c r="D12" s="221" t="s">
        <v>11</v>
      </c>
      <c r="E12" s="351">
        <f t="shared" si="0"/>
        <v>11000</v>
      </c>
      <c r="F12" s="222"/>
      <c r="G12" s="222"/>
      <c r="H12" s="222"/>
      <c r="I12" s="222">
        <v>1000</v>
      </c>
      <c r="J12" s="222">
        <v>10000</v>
      </c>
      <c r="K12" s="222"/>
      <c r="L12" s="222"/>
      <c r="M12" s="222"/>
      <c r="N12" s="222"/>
      <c r="O12" s="222"/>
      <c r="P12" s="223"/>
    </row>
    <row r="13" spans="2:16" ht="21.75" customHeight="1">
      <c r="B13" s="224" t="s">
        <v>12</v>
      </c>
      <c r="C13" s="225" t="s">
        <v>13</v>
      </c>
      <c r="D13" s="226" t="s">
        <v>14</v>
      </c>
      <c r="E13" s="210">
        <f t="shared" si="0"/>
        <v>5000</v>
      </c>
      <c r="F13" s="227"/>
      <c r="G13" s="227"/>
      <c r="H13" s="227"/>
      <c r="I13" s="227">
        <v>1000</v>
      </c>
      <c r="J13" s="227">
        <v>4000</v>
      </c>
      <c r="K13" s="227"/>
      <c r="L13" s="227"/>
      <c r="M13" s="227"/>
      <c r="N13" s="227"/>
      <c r="O13" s="227"/>
      <c r="P13" s="230"/>
    </row>
    <row r="14" spans="2:16" ht="21.75" customHeight="1">
      <c r="B14" s="231"/>
      <c r="C14" s="232"/>
      <c r="D14" s="233" t="s">
        <v>15</v>
      </c>
      <c r="E14" s="210">
        <f t="shared" si="0"/>
        <v>2000</v>
      </c>
      <c r="F14" s="234"/>
      <c r="G14" s="234"/>
      <c r="H14" s="234"/>
      <c r="I14" s="234">
        <v>1000</v>
      </c>
      <c r="J14" s="234">
        <v>1000</v>
      </c>
      <c r="K14" s="234"/>
      <c r="L14" s="234"/>
      <c r="M14" s="234"/>
      <c r="N14" s="234"/>
      <c r="O14" s="234"/>
      <c r="P14" s="237"/>
    </row>
    <row r="15" spans="2:16" ht="21.75" customHeight="1">
      <c r="B15" s="231"/>
      <c r="C15" s="232"/>
      <c r="D15" s="233" t="s">
        <v>16</v>
      </c>
      <c r="E15" s="210">
        <f t="shared" si="0"/>
        <v>500</v>
      </c>
      <c r="F15" s="234"/>
      <c r="G15" s="234"/>
      <c r="H15" s="234"/>
      <c r="I15" s="234">
        <v>200</v>
      </c>
      <c r="J15" s="234">
        <v>300</v>
      </c>
      <c r="K15" s="234"/>
      <c r="L15" s="234"/>
      <c r="M15" s="234"/>
      <c r="N15" s="234"/>
      <c r="O15" s="234"/>
      <c r="P15" s="237"/>
    </row>
    <row r="16" spans="2:16" ht="21.75" customHeight="1">
      <c r="B16" s="231"/>
      <c r="C16" s="232"/>
      <c r="D16" s="233" t="s">
        <v>67</v>
      </c>
      <c r="E16" s="210">
        <f t="shared" si="0"/>
        <v>300</v>
      </c>
      <c r="F16" s="234"/>
      <c r="G16" s="234"/>
      <c r="H16" s="234"/>
      <c r="I16" s="234"/>
      <c r="J16" s="234">
        <v>300</v>
      </c>
      <c r="K16" s="234"/>
      <c r="L16" s="234"/>
      <c r="M16" s="234"/>
      <c r="N16" s="234"/>
      <c r="O16" s="234"/>
      <c r="P16" s="237"/>
    </row>
    <row r="17" spans="2:16" ht="21.75" customHeight="1">
      <c r="B17" s="231"/>
      <c r="C17" s="232"/>
      <c r="D17" s="233" t="s">
        <v>17</v>
      </c>
      <c r="E17" s="351">
        <f t="shared" si="0"/>
        <v>0</v>
      </c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7"/>
    </row>
    <row r="18" spans="2:16" ht="21.75" customHeight="1">
      <c r="B18" s="231"/>
      <c r="C18" s="232"/>
      <c r="D18" s="233" t="s">
        <v>18</v>
      </c>
      <c r="E18" s="351">
        <f t="shared" si="0"/>
        <v>0</v>
      </c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7"/>
    </row>
    <row r="19" spans="2:16" ht="21.75" customHeight="1" thickBot="1">
      <c r="B19" s="231"/>
      <c r="C19" s="238"/>
      <c r="D19" s="239" t="s">
        <v>19</v>
      </c>
      <c r="E19" s="351">
        <f t="shared" si="0"/>
        <v>0</v>
      </c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2"/>
    </row>
    <row r="20" spans="2:16" ht="21.75" customHeight="1">
      <c r="B20" s="231"/>
      <c r="C20" s="243" t="s">
        <v>20</v>
      </c>
      <c r="D20" s="244" t="s">
        <v>26</v>
      </c>
      <c r="E20" s="351">
        <f t="shared" si="0"/>
        <v>1000</v>
      </c>
      <c r="F20" s="245"/>
      <c r="G20" s="245"/>
      <c r="H20" s="245"/>
      <c r="I20" s="245"/>
      <c r="J20" s="245">
        <v>1000</v>
      </c>
      <c r="K20" s="245"/>
      <c r="L20" s="245"/>
      <c r="M20" s="245"/>
      <c r="N20" s="245"/>
      <c r="O20" s="245"/>
      <c r="P20" s="246"/>
    </row>
    <row r="21" spans="2:16" ht="21.75" customHeight="1">
      <c r="B21" s="231"/>
      <c r="C21" s="247"/>
      <c r="D21" s="248" t="s">
        <v>21</v>
      </c>
      <c r="E21" s="210">
        <f t="shared" si="0"/>
        <v>2000</v>
      </c>
      <c r="F21" s="249"/>
      <c r="G21" s="249"/>
      <c r="H21" s="249"/>
      <c r="I21" s="249">
        <v>1000</v>
      </c>
      <c r="J21" s="249">
        <v>1000</v>
      </c>
      <c r="K21" s="249"/>
      <c r="L21" s="249"/>
      <c r="M21" s="249"/>
      <c r="N21" s="249"/>
      <c r="O21" s="249"/>
      <c r="P21" s="250"/>
    </row>
    <row r="22" spans="2:16" ht="21.75" customHeight="1">
      <c r="B22" s="231"/>
      <c r="C22" s="247"/>
      <c r="D22" s="248" t="s">
        <v>22</v>
      </c>
      <c r="E22" s="210">
        <f t="shared" si="0"/>
        <v>0</v>
      </c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50"/>
    </row>
    <row r="23" spans="2:16" ht="21.75" customHeight="1">
      <c r="B23" s="231"/>
      <c r="C23" s="247"/>
      <c r="D23" s="248" t="s">
        <v>23</v>
      </c>
      <c r="E23" s="210">
        <f t="shared" si="0"/>
        <v>2000</v>
      </c>
      <c r="F23" s="249"/>
      <c r="G23" s="249"/>
      <c r="H23" s="249"/>
      <c r="I23" s="249">
        <v>1000</v>
      </c>
      <c r="J23" s="249">
        <v>1000</v>
      </c>
      <c r="K23" s="249"/>
      <c r="L23" s="249"/>
      <c r="M23" s="249"/>
      <c r="N23" s="249"/>
      <c r="O23" s="249"/>
      <c r="P23" s="250"/>
    </row>
    <row r="24" spans="2:16" ht="21.75" customHeight="1">
      <c r="B24" s="231"/>
      <c r="C24" s="247"/>
      <c r="D24" s="248" t="s">
        <v>24</v>
      </c>
      <c r="E24" s="351">
        <f t="shared" si="0"/>
        <v>1000</v>
      </c>
      <c r="F24" s="249"/>
      <c r="G24" s="249"/>
      <c r="H24" s="249"/>
      <c r="I24" s="249"/>
      <c r="J24" s="249">
        <v>1000</v>
      </c>
      <c r="K24" s="249"/>
      <c r="L24" s="249"/>
      <c r="M24" s="249"/>
      <c r="N24" s="249"/>
      <c r="O24" s="249"/>
      <c r="P24" s="250"/>
    </row>
    <row r="25" spans="2:16" ht="21.75" customHeight="1">
      <c r="B25" s="231"/>
      <c r="C25" s="247"/>
      <c r="D25" s="248" t="s">
        <v>25</v>
      </c>
      <c r="E25" s="351">
        <f t="shared" si="0"/>
        <v>0</v>
      </c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50"/>
    </row>
    <row r="26" spans="2:16" ht="21.75" customHeight="1">
      <c r="B26" s="231"/>
      <c r="C26" s="247"/>
      <c r="D26" s="248" t="s">
        <v>1</v>
      </c>
      <c r="E26" s="210">
        <f t="shared" si="0"/>
        <v>1000</v>
      </c>
      <c r="F26" s="249"/>
      <c r="G26" s="249"/>
      <c r="H26" s="249"/>
      <c r="I26" s="249"/>
      <c r="J26" s="249">
        <v>1000</v>
      </c>
      <c r="K26" s="249"/>
      <c r="L26" s="249"/>
      <c r="M26" s="249"/>
      <c r="N26" s="249"/>
      <c r="O26" s="249"/>
      <c r="P26" s="250"/>
    </row>
    <row r="27" spans="2:16" ht="21.75" customHeight="1">
      <c r="B27" s="231"/>
      <c r="C27" s="247"/>
      <c r="D27" s="248" t="s">
        <v>27</v>
      </c>
      <c r="E27" s="210">
        <f t="shared" si="0"/>
        <v>1000</v>
      </c>
      <c r="F27" s="249"/>
      <c r="G27" s="249"/>
      <c r="H27" s="249"/>
      <c r="I27" s="249"/>
      <c r="J27" s="249">
        <v>1000</v>
      </c>
      <c r="K27" s="249"/>
      <c r="L27" s="249"/>
      <c r="M27" s="249"/>
      <c r="N27" s="249"/>
      <c r="O27" s="249"/>
      <c r="P27" s="250"/>
    </row>
    <row r="28" spans="2:16" ht="21.75" customHeight="1" thickBot="1">
      <c r="B28" s="231"/>
      <c r="C28" s="251"/>
      <c r="D28" s="252" t="s">
        <v>28</v>
      </c>
      <c r="E28" s="351">
        <f t="shared" si="0"/>
        <v>0</v>
      </c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4"/>
    </row>
    <row r="29" spans="2:16" ht="21.75" customHeight="1">
      <c r="B29" s="231"/>
      <c r="C29" s="255" t="s">
        <v>29</v>
      </c>
      <c r="D29" s="256" t="s">
        <v>30</v>
      </c>
      <c r="E29" s="210">
        <f t="shared" si="0"/>
        <v>3000</v>
      </c>
      <c r="F29" s="257"/>
      <c r="G29" s="257"/>
      <c r="H29" s="257"/>
      <c r="I29" s="257"/>
      <c r="J29" s="257">
        <v>3000</v>
      </c>
      <c r="K29" s="257"/>
      <c r="L29" s="257"/>
      <c r="M29" s="257"/>
      <c r="N29" s="257"/>
      <c r="O29" s="257"/>
      <c r="P29" s="258"/>
    </row>
    <row r="30" spans="2:16" ht="21.75" customHeight="1" thickBot="1">
      <c r="B30" s="231"/>
      <c r="C30" s="259"/>
      <c r="D30" s="260" t="s">
        <v>31</v>
      </c>
      <c r="E30" s="210">
        <f t="shared" si="0"/>
        <v>2000</v>
      </c>
      <c r="F30" s="261"/>
      <c r="G30" s="261"/>
      <c r="H30" s="261"/>
      <c r="I30" s="261">
        <v>1000</v>
      </c>
      <c r="J30" s="261"/>
      <c r="K30" s="261">
        <v>1000</v>
      </c>
      <c r="L30" s="261"/>
      <c r="M30" s="261"/>
      <c r="N30" s="261"/>
      <c r="O30" s="261"/>
      <c r="P30" s="262"/>
    </row>
    <row r="31" spans="2:16" ht="21.75" customHeight="1">
      <c r="B31" s="231"/>
      <c r="C31" s="263" t="s">
        <v>2</v>
      </c>
      <c r="D31" s="264" t="s">
        <v>32</v>
      </c>
      <c r="E31" s="210">
        <f t="shared" si="0"/>
        <v>70</v>
      </c>
      <c r="F31" s="265"/>
      <c r="G31" s="265"/>
      <c r="H31" s="265"/>
      <c r="I31" s="352">
        <v>20</v>
      </c>
      <c r="J31" s="265">
        <v>50</v>
      </c>
      <c r="K31" s="265"/>
      <c r="L31" s="265"/>
      <c r="M31" s="265"/>
      <c r="N31" s="265"/>
      <c r="O31" s="265"/>
      <c r="P31" s="266"/>
    </row>
    <row r="32" spans="2:16" ht="21.75" customHeight="1">
      <c r="B32" s="231"/>
      <c r="C32" s="267"/>
      <c r="D32" s="268" t="s">
        <v>33</v>
      </c>
      <c r="E32" s="210">
        <f t="shared" si="0"/>
        <v>20</v>
      </c>
      <c r="F32" s="269"/>
      <c r="G32" s="269"/>
      <c r="H32" s="269"/>
      <c r="I32" s="269"/>
      <c r="J32" s="269">
        <v>20</v>
      </c>
      <c r="K32" s="269"/>
      <c r="L32" s="269"/>
      <c r="M32" s="269"/>
      <c r="N32" s="269"/>
      <c r="O32" s="269"/>
      <c r="P32" s="270"/>
    </row>
    <row r="33" spans="2:16" ht="21.75" customHeight="1">
      <c r="B33" s="231"/>
      <c r="C33" s="267"/>
      <c r="D33" s="268" t="s">
        <v>34</v>
      </c>
      <c r="E33" s="210">
        <f t="shared" si="0"/>
        <v>200</v>
      </c>
      <c r="F33" s="269"/>
      <c r="G33" s="269"/>
      <c r="H33" s="269"/>
      <c r="I33" s="269"/>
      <c r="J33" s="269">
        <v>200</v>
      </c>
      <c r="K33" s="269"/>
      <c r="L33" s="269"/>
      <c r="M33" s="269"/>
      <c r="N33" s="269"/>
      <c r="O33" s="269"/>
      <c r="P33" s="270"/>
    </row>
    <row r="34" spans="2:16" ht="21.75" customHeight="1">
      <c r="B34" s="231"/>
      <c r="C34" s="267"/>
      <c r="D34" s="268" t="s">
        <v>35</v>
      </c>
      <c r="E34" s="210">
        <f t="shared" si="0"/>
        <v>200</v>
      </c>
      <c r="F34" s="269"/>
      <c r="G34" s="269"/>
      <c r="H34" s="269"/>
      <c r="I34" s="269"/>
      <c r="J34" s="269">
        <v>200</v>
      </c>
      <c r="K34" s="269"/>
      <c r="L34" s="269"/>
      <c r="M34" s="269"/>
      <c r="N34" s="269"/>
      <c r="O34" s="269"/>
      <c r="P34" s="270"/>
    </row>
    <row r="35" spans="2:16" ht="21.75" customHeight="1" thickBot="1">
      <c r="B35" s="231"/>
      <c r="C35" s="271"/>
      <c r="D35" s="272" t="s">
        <v>37</v>
      </c>
      <c r="E35" s="210">
        <f t="shared" si="0"/>
        <v>50</v>
      </c>
      <c r="F35" s="273"/>
      <c r="G35" s="273"/>
      <c r="H35" s="273"/>
      <c r="I35" s="273"/>
      <c r="J35" s="273">
        <v>50</v>
      </c>
      <c r="K35" s="273"/>
      <c r="L35" s="273"/>
      <c r="M35" s="273"/>
      <c r="N35" s="273"/>
      <c r="O35" s="273"/>
      <c r="P35" s="274"/>
    </row>
    <row r="36" spans="2:16" ht="21.75" customHeight="1">
      <c r="B36" s="231"/>
      <c r="C36" s="275" t="s">
        <v>39</v>
      </c>
      <c r="D36" s="276" t="s">
        <v>38</v>
      </c>
      <c r="E36" s="210">
        <f t="shared" si="0"/>
        <v>40</v>
      </c>
      <c r="F36" s="277"/>
      <c r="G36" s="277"/>
      <c r="H36" s="277"/>
      <c r="I36" s="353">
        <v>20</v>
      </c>
      <c r="J36" s="277">
        <v>20</v>
      </c>
      <c r="K36" s="277"/>
      <c r="L36" s="277"/>
      <c r="M36" s="277"/>
      <c r="N36" s="277"/>
      <c r="O36" s="277"/>
      <c r="P36" s="278"/>
    </row>
    <row r="37" spans="2:16" ht="21.75" customHeight="1" thickBot="1">
      <c r="B37" s="279"/>
      <c r="C37" s="280"/>
      <c r="D37" s="281" t="s">
        <v>36</v>
      </c>
      <c r="E37" s="210">
        <f t="shared" si="0"/>
        <v>0</v>
      </c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3"/>
    </row>
    <row r="38" spans="2:16" ht="21.75" customHeight="1">
      <c r="B38" s="284" t="s">
        <v>64</v>
      </c>
      <c r="C38" s="285" t="s">
        <v>49</v>
      </c>
      <c r="D38" s="286" t="s">
        <v>40</v>
      </c>
      <c r="E38" s="210">
        <f t="shared" si="0"/>
        <v>6000</v>
      </c>
      <c r="F38" s="287"/>
      <c r="G38" s="354">
        <v>5000</v>
      </c>
      <c r="H38" s="287"/>
      <c r="I38" s="287">
        <v>1000</v>
      </c>
      <c r="J38" s="287"/>
      <c r="K38" s="287"/>
      <c r="L38" s="287"/>
      <c r="M38" s="287"/>
      <c r="N38" s="287"/>
      <c r="O38" s="287"/>
      <c r="P38" s="288"/>
    </row>
    <row r="39" spans="2:16" ht="21.75" customHeight="1">
      <c r="B39" s="289"/>
      <c r="C39" s="213"/>
      <c r="D39" s="215" t="s">
        <v>41</v>
      </c>
      <c r="E39" s="210">
        <f t="shared" si="0"/>
        <v>30</v>
      </c>
      <c r="F39" s="216"/>
      <c r="G39" s="217">
        <v>30</v>
      </c>
      <c r="H39" s="216"/>
      <c r="I39" s="216"/>
      <c r="J39" s="216"/>
      <c r="K39" s="216"/>
      <c r="L39" s="216"/>
      <c r="M39" s="216"/>
      <c r="N39" s="216"/>
      <c r="O39" s="216"/>
      <c r="P39" s="218"/>
    </row>
    <row r="40" spans="2:16" ht="21.75" customHeight="1">
      <c r="B40" s="289"/>
      <c r="C40" s="213"/>
      <c r="D40" s="215" t="s">
        <v>42</v>
      </c>
      <c r="E40" s="210">
        <f t="shared" si="0"/>
        <v>8000</v>
      </c>
      <c r="F40" s="216"/>
      <c r="G40" s="217">
        <v>5000</v>
      </c>
      <c r="H40" s="216"/>
      <c r="I40" s="216">
        <v>3000</v>
      </c>
      <c r="J40" s="216"/>
      <c r="K40" s="216"/>
      <c r="L40" s="216"/>
      <c r="M40" s="216"/>
      <c r="N40" s="216"/>
      <c r="O40" s="216"/>
      <c r="P40" s="218"/>
    </row>
    <row r="41" spans="2:16" ht="21.75" customHeight="1" thickBot="1">
      <c r="B41" s="289"/>
      <c r="C41" s="219"/>
      <c r="D41" s="221" t="s">
        <v>43</v>
      </c>
      <c r="E41" s="210">
        <f t="shared" si="0"/>
        <v>40</v>
      </c>
      <c r="F41" s="222"/>
      <c r="G41" s="355">
        <v>30</v>
      </c>
      <c r="H41" s="222"/>
      <c r="I41" s="222">
        <v>10</v>
      </c>
      <c r="J41" s="222"/>
      <c r="K41" s="222"/>
      <c r="L41" s="222"/>
      <c r="M41" s="222"/>
      <c r="N41" s="222"/>
      <c r="O41" s="222"/>
      <c r="P41" s="223"/>
    </row>
    <row r="42" spans="2:16" ht="21.75" customHeight="1">
      <c r="B42" s="290"/>
      <c r="C42" s="291" t="s">
        <v>0</v>
      </c>
      <c r="D42" s="292" t="s">
        <v>44</v>
      </c>
      <c r="E42" s="351">
        <f t="shared" si="0"/>
        <v>30</v>
      </c>
      <c r="F42" s="293"/>
      <c r="G42" s="293"/>
      <c r="H42" s="293"/>
      <c r="I42" s="293"/>
      <c r="J42" s="293">
        <v>30</v>
      </c>
      <c r="K42" s="293"/>
      <c r="L42" s="293"/>
      <c r="M42" s="293"/>
      <c r="N42" s="293"/>
      <c r="O42" s="293"/>
      <c r="P42" s="294"/>
    </row>
    <row r="43" spans="2:16" ht="21.75" customHeight="1">
      <c r="B43" s="290"/>
      <c r="C43" s="295"/>
      <c r="D43" s="296" t="s">
        <v>46</v>
      </c>
      <c r="E43" s="351">
        <f t="shared" si="0"/>
        <v>0</v>
      </c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8"/>
    </row>
    <row r="44" spans="2:16" ht="21.75" customHeight="1">
      <c r="B44" s="290"/>
      <c r="C44" s="295"/>
      <c r="D44" s="296" t="s">
        <v>45</v>
      </c>
      <c r="E44" s="351">
        <f t="shared" si="0"/>
        <v>0</v>
      </c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8"/>
    </row>
    <row r="45" spans="2:16" ht="21.75" customHeight="1">
      <c r="B45" s="290"/>
      <c r="C45" s="295"/>
      <c r="D45" s="296" t="s">
        <v>47</v>
      </c>
      <c r="E45" s="351">
        <f t="shared" si="0"/>
        <v>0</v>
      </c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8"/>
    </row>
    <row r="46" spans="2:16" ht="21.75" customHeight="1">
      <c r="B46" s="290"/>
      <c r="C46" s="299"/>
      <c r="D46" s="300" t="s">
        <v>48</v>
      </c>
      <c r="E46" s="351"/>
      <c r="F46" s="301"/>
      <c r="G46" s="301"/>
      <c r="H46" s="301"/>
      <c r="I46" s="301" t="s">
        <v>100</v>
      </c>
      <c r="J46" s="301" t="s">
        <v>101</v>
      </c>
      <c r="K46" s="301"/>
      <c r="L46" s="301"/>
      <c r="M46" s="301"/>
      <c r="N46" s="301"/>
      <c r="O46" s="301"/>
      <c r="P46" s="302"/>
    </row>
    <row r="47" spans="2:16" ht="21.75" customHeight="1" thickBot="1">
      <c r="B47" s="290"/>
      <c r="C47" s="303"/>
      <c r="D47" s="304" t="s">
        <v>3</v>
      </c>
      <c r="E47" s="351">
        <f t="shared" si="0"/>
        <v>0</v>
      </c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6"/>
    </row>
    <row r="48" spans="2:16" ht="21.75" customHeight="1">
      <c r="B48" s="289"/>
      <c r="C48" s="307" t="s">
        <v>50</v>
      </c>
      <c r="D48" s="308" t="s">
        <v>51</v>
      </c>
      <c r="E48" s="210">
        <f t="shared" si="0"/>
        <v>5</v>
      </c>
      <c r="F48" s="309"/>
      <c r="G48" s="309"/>
      <c r="H48" s="309"/>
      <c r="I48" s="356">
        <v>2</v>
      </c>
      <c r="J48" s="309">
        <v>3</v>
      </c>
      <c r="K48" s="309"/>
      <c r="L48" s="309"/>
      <c r="M48" s="309"/>
      <c r="N48" s="309"/>
      <c r="O48" s="309"/>
      <c r="P48" s="310"/>
    </row>
    <row r="49" spans="2:16" ht="21.75" customHeight="1">
      <c r="B49" s="289"/>
      <c r="C49" s="311"/>
      <c r="D49" s="312" t="s">
        <v>52</v>
      </c>
      <c r="E49" s="210">
        <f t="shared" si="0"/>
        <v>5</v>
      </c>
      <c r="F49" s="313"/>
      <c r="G49" s="313"/>
      <c r="H49" s="313"/>
      <c r="I49" s="357">
        <v>2</v>
      </c>
      <c r="J49" s="313">
        <v>3</v>
      </c>
      <c r="K49" s="313"/>
      <c r="L49" s="313"/>
      <c r="M49" s="313"/>
      <c r="N49" s="313"/>
      <c r="O49" s="313"/>
      <c r="P49" s="314"/>
    </row>
    <row r="50" spans="2:16" ht="21.75" customHeight="1">
      <c r="B50" s="289"/>
      <c r="C50" s="311"/>
      <c r="D50" s="312" t="s">
        <v>53</v>
      </c>
      <c r="E50" s="210">
        <f t="shared" si="0"/>
        <v>0</v>
      </c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4"/>
    </row>
    <row r="51" spans="2:16" ht="21.75" customHeight="1">
      <c r="B51" s="289"/>
      <c r="C51" s="311"/>
      <c r="D51" s="312" t="s">
        <v>54</v>
      </c>
      <c r="E51" s="351">
        <f t="shared" si="0"/>
        <v>0</v>
      </c>
      <c r="F51" s="313"/>
      <c r="G51" s="313"/>
      <c r="H51" s="313"/>
      <c r="I51" s="313"/>
      <c r="J51" s="313"/>
      <c r="K51" s="313"/>
      <c r="L51" s="313"/>
      <c r="M51" s="313"/>
      <c r="N51" s="313"/>
      <c r="O51" s="313"/>
      <c r="P51" s="314"/>
    </row>
    <row r="52" spans="2:16" ht="21.75" customHeight="1" thickBot="1">
      <c r="B52" s="315"/>
      <c r="C52" s="316"/>
      <c r="D52" s="317" t="s">
        <v>55</v>
      </c>
      <c r="E52" s="351">
        <f t="shared" si="0"/>
        <v>0</v>
      </c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9"/>
    </row>
    <row r="53" spans="2:16" ht="21.75" customHeight="1">
      <c r="B53" s="320" t="s">
        <v>58</v>
      </c>
      <c r="C53" s="321"/>
      <c r="D53" s="322" t="s">
        <v>4</v>
      </c>
      <c r="E53" s="210">
        <f t="shared" si="0"/>
        <v>20000</v>
      </c>
      <c r="F53" s="323"/>
      <c r="G53" s="323"/>
      <c r="H53" s="323">
        <v>20000</v>
      </c>
      <c r="I53" s="323"/>
      <c r="J53" s="323"/>
      <c r="K53" s="323"/>
      <c r="L53" s="323"/>
      <c r="M53" s="323"/>
      <c r="N53" s="323"/>
      <c r="O53" s="323"/>
      <c r="P53" s="324"/>
    </row>
    <row r="54" spans="2:16" ht="21.75" customHeight="1">
      <c r="B54" s="325"/>
      <c r="C54" s="326"/>
      <c r="D54" s="327" t="s">
        <v>56</v>
      </c>
      <c r="E54" s="210">
        <f t="shared" si="0"/>
        <v>3000</v>
      </c>
      <c r="F54" s="328"/>
      <c r="G54" s="328"/>
      <c r="H54" s="328">
        <v>3000</v>
      </c>
      <c r="I54" s="328"/>
      <c r="J54" s="328"/>
      <c r="K54" s="328"/>
      <c r="L54" s="328"/>
      <c r="M54" s="328"/>
      <c r="N54" s="328"/>
      <c r="O54" s="328"/>
      <c r="P54" s="329"/>
    </row>
    <row r="55" spans="2:16" ht="21.75" customHeight="1">
      <c r="B55" s="325"/>
      <c r="C55" s="326"/>
      <c r="D55" s="327" t="s">
        <v>5</v>
      </c>
      <c r="E55" s="210">
        <f t="shared" si="0"/>
        <v>7000</v>
      </c>
      <c r="F55" s="328"/>
      <c r="G55" s="328"/>
      <c r="H55" s="328">
        <v>7000</v>
      </c>
      <c r="I55" s="328"/>
      <c r="J55" s="328"/>
      <c r="K55" s="328"/>
      <c r="L55" s="328"/>
      <c r="M55" s="328"/>
      <c r="N55" s="328"/>
      <c r="O55" s="328"/>
      <c r="P55" s="329"/>
    </row>
    <row r="56" spans="2:16" ht="21.75" customHeight="1" thickBot="1">
      <c r="B56" s="330"/>
      <c r="C56" s="331"/>
      <c r="D56" s="332" t="s">
        <v>57</v>
      </c>
      <c r="E56" s="210">
        <f t="shared" si="0"/>
        <v>40</v>
      </c>
      <c r="F56" s="333">
        <v>40</v>
      </c>
      <c r="G56" s="333"/>
      <c r="H56" s="333"/>
      <c r="I56" s="333"/>
      <c r="J56" s="333"/>
      <c r="K56" s="333"/>
      <c r="L56" s="333"/>
      <c r="M56" s="333"/>
      <c r="N56" s="333"/>
      <c r="O56" s="333"/>
      <c r="P56" s="334"/>
    </row>
    <row r="57" spans="2:16" ht="21.75" customHeight="1">
      <c r="B57" s="285" t="s">
        <v>62</v>
      </c>
      <c r="C57" s="335"/>
      <c r="D57" s="286" t="s">
        <v>60</v>
      </c>
      <c r="E57" s="210">
        <f t="shared" si="0"/>
        <v>0</v>
      </c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8"/>
    </row>
    <row r="58" spans="2:16" ht="21.75" customHeight="1" thickBot="1">
      <c r="B58" s="336"/>
      <c r="C58" s="337"/>
      <c r="D58" s="338" t="s">
        <v>59</v>
      </c>
      <c r="E58" s="210">
        <f t="shared" si="0"/>
        <v>0</v>
      </c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40"/>
    </row>
    <row r="59" spans="2:16" ht="21.75" customHeight="1">
      <c r="B59" s="341" t="s">
        <v>63</v>
      </c>
      <c r="C59" s="342"/>
      <c r="D59" s="190" t="s">
        <v>6</v>
      </c>
      <c r="E59" s="210">
        <f t="shared" si="0"/>
        <v>10000</v>
      </c>
      <c r="F59" s="343">
        <v>10000</v>
      </c>
      <c r="G59" s="343"/>
      <c r="H59" s="343"/>
      <c r="I59" s="343"/>
      <c r="J59" s="343"/>
      <c r="K59" s="343"/>
      <c r="L59" s="343"/>
      <c r="M59" s="343"/>
      <c r="N59" s="343"/>
      <c r="O59" s="343"/>
      <c r="P59" s="344"/>
    </row>
    <row r="60" spans="2:16" ht="21.75" customHeight="1" thickBot="1">
      <c r="B60" s="345"/>
      <c r="C60" s="346"/>
      <c r="D60" s="347" t="s">
        <v>61</v>
      </c>
      <c r="E60" s="348">
        <f t="shared" si="0"/>
        <v>2000</v>
      </c>
      <c r="F60" s="349">
        <v>2000</v>
      </c>
      <c r="G60" s="349"/>
      <c r="H60" s="349"/>
      <c r="I60" s="349"/>
      <c r="J60" s="349"/>
      <c r="K60" s="349"/>
      <c r="L60" s="349"/>
      <c r="M60" s="349"/>
      <c r="N60" s="349"/>
      <c r="O60" s="349"/>
      <c r="P60" s="350"/>
    </row>
  </sheetData>
  <mergeCells count="27">
    <mergeCell ref="B59:C60"/>
    <mergeCell ref="B38:B52"/>
    <mergeCell ref="C38:C41"/>
    <mergeCell ref="C42:C47"/>
    <mergeCell ref="C48:C52"/>
    <mergeCell ref="B53:C56"/>
    <mergeCell ref="B57:C58"/>
    <mergeCell ref="B10:B12"/>
    <mergeCell ref="C10:C12"/>
    <mergeCell ref="B13:B37"/>
    <mergeCell ref="C13:C19"/>
    <mergeCell ref="C20:C28"/>
    <mergeCell ref="C29:C30"/>
    <mergeCell ref="C31:C35"/>
    <mergeCell ref="C36:C37"/>
    <mergeCell ref="N2:O3"/>
    <mergeCell ref="B4:D4"/>
    <mergeCell ref="B9:D9"/>
    <mergeCell ref="B2:D3"/>
    <mergeCell ref="E2:E3"/>
    <mergeCell ref="F2:K3"/>
    <mergeCell ref="L2:M3"/>
    <mergeCell ref="B5:D5"/>
    <mergeCell ref="E5:E8"/>
    <mergeCell ref="B6:D6"/>
    <mergeCell ref="B7:D7"/>
    <mergeCell ref="B8:D8"/>
  </mergeCells>
  <phoneticPr fontId="1" type="noConversion"/>
  <pageMargins left="3.937007874015748E-2" right="3.937007874015748E-2" top="0.74803149606299213" bottom="0.74803149606299213" header="0.31496062992125984" footer="0.31496062992125984"/>
  <pageSetup paperSize="9" scale="56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0"/>
  <sheetViews>
    <sheetView tabSelected="1" workbookViewId="0">
      <selection activeCell="H20" sqref="H20"/>
    </sheetView>
  </sheetViews>
  <sheetFormatPr defaultRowHeight="13.5"/>
  <cols>
    <col min="1" max="1" width="9" style="1"/>
    <col min="2" max="2" width="5.25" style="1" customWidth="1"/>
    <col min="3" max="3" width="6.25" style="1" customWidth="1"/>
    <col min="4" max="4" width="17.875" style="1" customWidth="1"/>
    <col min="5" max="5" width="11.25" style="1" customWidth="1"/>
    <col min="6" max="16" width="10.625" style="1" customWidth="1"/>
    <col min="17" max="16384" width="9" style="1"/>
  </cols>
  <sheetData>
    <row r="2" spans="2:16" ht="16.5" customHeight="1">
      <c r="B2" s="179"/>
      <c r="C2" s="179"/>
      <c r="D2" s="179"/>
      <c r="E2" s="179" t="s">
        <v>77</v>
      </c>
      <c r="F2" s="180" t="s">
        <v>75</v>
      </c>
      <c r="G2" s="180"/>
      <c r="H2" s="180"/>
      <c r="I2" s="180"/>
      <c r="J2" s="180"/>
      <c r="K2" s="180"/>
      <c r="L2" s="179"/>
      <c r="M2" s="179"/>
      <c r="N2" s="181"/>
      <c r="O2" s="181"/>
      <c r="P2" s="182"/>
    </row>
    <row r="3" spans="2:16" ht="17.25" customHeight="1" thickBot="1"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3"/>
      <c r="M3" s="183"/>
      <c r="N3" s="185"/>
      <c r="O3" s="185"/>
      <c r="P3" s="186"/>
    </row>
    <row r="4" spans="2:16" ht="21.75" customHeight="1">
      <c r="B4" s="187" t="s">
        <v>73</v>
      </c>
      <c r="C4" s="188"/>
      <c r="D4" s="188"/>
      <c r="E4" s="189" t="s">
        <v>66</v>
      </c>
      <c r="F4" s="190">
        <v>1</v>
      </c>
      <c r="G4" s="190">
        <v>2</v>
      </c>
      <c r="H4" s="190">
        <v>3</v>
      </c>
      <c r="I4" s="190">
        <v>4</v>
      </c>
      <c r="J4" s="190">
        <v>5</v>
      </c>
      <c r="K4" s="190">
        <v>6</v>
      </c>
      <c r="L4" s="190">
        <v>7</v>
      </c>
      <c r="M4" s="190">
        <v>8</v>
      </c>
      <c r="N4" s="190">
        <v>9</v>
      </c>
      <c r="O4" s="190">
        <v>10</v>
      </c>
      <c r="P4" s="191">
        <v>11</v>
      </c>
    </row>
    <row r="5" spans="2:16" ht="21.75" customHeight="1">
      <c r="B5" s="192" t="s">
        <v>68</v>
      </c>
      <c r="C5" s="193"/>
      <c r="D5" s="193"/>
      <c r="E5" s="194" t="s">
        <v>65</v>
      </c>
      <c r="F5" s="195" t="s">
        <v>79</v>
      </c>
      <c r="G5" s="195" t="s">
        <v>102</v>
      </c>
      <c r="H5" s="195" t="s">
        <v>103</v>
      </c>
      <c r="I5" s="195"/>
      <c r="J5" s="195"/>
      <c r="K5" s="195"/>
      <c r="L5" s="195"/>
      <c r="M5" s="195"/>
      <c r="N5" s="195"/>
      <c r="O5" s="195"/>
      <c r="P5" s="196"/>
    </row>
    <row r="6" spans="2:16" ht="21.75" customHeight="1">
      <c r="B6" s="192" t="s">
        <v>69</v>
      </c>
      <c r="C6" s="193"/>
      <c r="D6" s="193"/>
      <c r="E6" s="194"/>
      <c r="F6" s="197" t="s">
        <v>104</v>
      </c>
      <c r="G6" s="197" t="s">
        <v>81</v>
      </c>
      <c r="H6" s="197" t="s">
        <v>105</v>
      </c>
      <c r="I6" s="197"/>
      <c r="J6" s="197"/>
      <c r="K6" s="197"/>
      <c r="L6" s="197"/>
      <c r="M6" s="197"/>
      <c r="N6" s="197"/>
      <c r="O6" s="197"/>
      <c r="P6" s="198"/>
    </row>
    <row r="7" spans="2:16" ht="21.75" customHeight="1">
      <c r="B7" s="192" t="s">
        <v>70</v>
      </c>
      <c r="C7" s="193"/>
      <c r="D7" s="193"/>
      <c r="E7" s="194"/>
      <c r="F7" s="199" t="s">
        <v>106</v>
      </c>
      <c r="G7" s="199" t="s">
        <v>108</v>
      </c>
      <c r="H7" s="199" t="s">
        <v>110</v>
      </c>
      <c r="I7" s="199"/>
      <c r="J7" s="199"/>
      <c r="K7" s="199"/>
      <c r="L7" s="199"/>
      <c r="M7" s="199"/>
      <c r="N7" s="199"/>
      <c r="O7" s="199"/>
      <c r="P7" s="200"/>
    </row>
    <row r="8" spans="2:16" ht="32.25" customHeight="1" thickBot="1">
      <c r="B8" s="192" t="s">
        <v>71</v>
      </c>
      <c r="C8" s="193"/>
      <c r="D8" s="193"/>
      <c r="E8" s="201"/>
      <c r="F8" s="199" t="s">
        <v>107</v>
      </c>
      <c r="G8" s="199" t="s">
        <v>109</v>
      </c>
      <c r="H8" s="199" t="s">
        <v>95</v>
      </c>
      <c r="I8" s="199"/>
      <c r="J8" s="199"/>
      <c r="K8" s="199"/>
      <c r="L8" s="199"/>
      <c r="M8" s="199"/>
      <c r="N8" s="199"/>
      <c r="O8" s="199"/>
      <c r="P8" s="200"/>
    </row>
    <row r="9" spans="2:16" ht="21.75" customHeight="1" thickBot="1">
      <c r="B9" s="202" t="s">
        <v>72</v>
      </c>
      <c r="C9" s="203"/>
      <c r="D9" s="203"/>
      <c r="E9" s="204">
        <f>F9+G9+H9+I9+J9+K9+L9+M9+N9+O9+P9</f>
        <v>239160</v>
      </c>
      <c r="F9" s="205">
        <v>49000</v>
      </c>
      <c r="G9" s="205">
        <v>12260</v>
      </c>
      <c r="H9" s="205">
        <v>177900</v>
      </c>
      <c r="I9" s="205"/>
      <c r="J9" s="205"/>
      <c r="K9" s="205"/>
      <c r="L9" s="205"/>
      <c r="M9" s="205"/>
      <c r="N9" s="205"/>
      <c r="O9" s="205"/>
      <c r="P9" s="206"/>
    </row>
    <row r="10" spans="2:16" ht="21.75" customHeight="1">
      <c r="B10" s="207" t="s">
        <v>7</v>
      </c>
      <c r="C10" s="208" t="s">
        <v>8</v>
      </c>
      <c r="D10" s="209" t="s">
        <v>9</v>
      </c>
      <c r="E10" s="210">
        <f>F10+G10+H10+I10+J10+K10+L10+M10+N10+O10+P10</f>
        <v>0</v>
      </c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2"/>
    </row>
    <row r="11" spans="2:16" ht="21.75" customHeight="1">
      <c r="B11" s="213"/>
      <c r="C11" s="214"/>
      <c r="D11" s="215" t="s">
        <v>10</v>
      </c>
      <c r="E11" s="210">
        <f t="shared" ref="E11:E60" si="0">F11+G11+H11+I11+J11+K11+L11+M11+N11+O11+P11</f>
        <v>11000</v>
      </c>
      <c r="F11" s="216">
        <v>6000</v>
      </c>
      <c r="G11" s="216"/>
      <c r="H11" s="217">
        <v>5000</v>
      </c>
      <c r="I11" s="216"/>
      <c r="J11" s="216"/>
      <c r="K11" s="216"/>
      <c r="L11" s="216"/>
      <c r="M11" s="216"/>
      <c r="N11" s="216"/>
      <c r="O11" s="216"/>
      <c r="P11" s="218"/>
    </row>
    <row r="12" spans="2:16" ht="21.75" customHeight="1" thickBot="1">
      <c r="B12" s="219"/>
      <c r="C12" s="220"/>
      <c r="D12" s="221" t="s">
        <v>11</v>
      </c>
      <c r="E12" s="210">
        <f t="shared" si="0"/>
        <v>20000</v>
      </c>
      <c r="F12" s="222">
        <v>10000</v>
      </c>
      <c r="G12" s="222"/>
      <c r="H12" s="222">
        <v>10000</v>
      </c>
      <c r="I12" s="222"/>
      <c r="J12" s="222"/>
      <c r="K12" s="222"/>
      <c r="L12" s="222"/>
      <c r="M12" s="222"/>
      <c r="N12" s="222"/>
      <c r="O12" s="222"/>
      <c r="P12" s="223"/>
    </row>
    <row r="13" spans="2:16" ht="21.75" customHeight="1">
      <c r="B13" s="224" t="s">
        <v>12</v>
      </c>
      <c r="C13" s="225" t="s">
        <v>13</v>
      </c>
      <c r="D13" s="226" t="s">
        <v>14</v>
      </c>
      <c r="E13" s="210">
        <f>F13+G13+H13+J13+K13+L13+M13+N13+O13+P13</f>
        <v>5000</v>
      </c>
      <c r="F13" s="227"/>
      <c r="G13" s="227"/>
      <c r="H13" s="228">
        <v>5000</v>
      </c>
      <c r="I13" s="229" t="s">
        <v>111</v>
      </c>
      <c r="J13" s="227"/>
      <c r="K13" s="227"/>
      <c r="L13" s="227"/>
      <c r="M13" s="227"/>
      <c r="N13" s="227"/>
      <c r="O13" s="227"/>
      <c r="P13" s="230"/>
    </row>
    <row r="14" spans="2:16" ht="21.75" customHeight="1">
      <c r="B14" s="231"/>
      <c r="C14" s="232"/>
      <c r="D14" s="233" t="s">
        <v>15</v>
      </c>
      <c r="E14" s="210">
        <f>F14+G14+H14+J14+K14+L14+M14+N14+O14+P14</f>
        <v>1000</v>
      </c>
      <c r="F14" s="234"/>
      <c r="G14" s="234"/>
      <c r="H14" s="235">
        <v>1000</v>
      </c>
      <c r="I14" s="236"/>
      <c r="J14" s="234"/>
      <c r="K14" s="234"/>
      <c r="L14" s="234"/>
      <c r="M14" s="234"/>
      <c r="N14" s="234"/>
      <c r="O14" s="234"/>
      <c r="P14" s="237"/>
    </row>
    <row r="15" spans="2:16" ht="21.75" customHeight="1">
      <c r="B15" s="231"/>
      <c r="C15" s="232"/>
      <c r="D15" s="233" t="s">
        <v>16</v>
      </c>
      <c r="E15" s="210">
        <f t="shared" si="0"/>
        <v>100</v>
      </c>
      <c r="F15" s="234"/>
      <c r="G15" s="234"/>
      <c r="H15" s="234">
        <v>100</v>
      </c>
      <c r="I15" s="234"/>
      <c r="J15" s="234"/>
      <c r="K15" s="234"/>
      <c r="L15" s="234"/>
      <c r="M15" s="234"/>
      <c r="N15" s="234"/>
      <c r="O15" s="234"/>
      <c r="P15" s="237"/>
    </row>
    <row r="16" spans="2:16" ht="21.75" customHeight="1">
      <c r="B16" s="231"/>
      <c r="C16" s="232"/>
      <c r="D16" s="233" t="s">
        <v>67</v>
      </c>
      <c r="E16" s="210">
        <f t="shared" si="0"/>
        <v>100</v>
      </c>
      <c r="F16" s="234"/>
      <c r="G16" s="234"/>
      <c r="H16" s="234">
        <v>100</v>
      </c>
      <c r="I16" s="234"/>
      <c r="J16" s="234"/>
      <c r="K16" s="234"/>
      <c r="L16" s="234"/>
      <c r="M16" s="234"/>
      <c r="N16" s="234"/>
      <c r="O16" s="234"/>
      <c r="P16" s="237"/>
    </row>
    <row r="17" spans="2:16" ht="21.75" customHeight="1">
      <c r="B17" s="231"/>
      <c r="C17" s="232"/>
      <c r="D17" s="233" t="s">
        <v>17</v>
      </c>
      <c r="E17" s="210">
        <f t="shared" si="0"/>
        <v>5000</v>
      </c>
      <c r="F17" s="234"/>
      <c r="G17" s="234"/>
      <c r="H17" s="235">
        <v>5000</v>
      </c>
      <c r="I17" s="234"/>
      <c r="J17" s="234"/>
      <c r="K17" s="234"/>
      <c r="L17" s="234"/>
      <c r="M17" s="234"/>
      <c r="N17" s="234"/>
      <c r="O17" s="234"/>
      <c r="P17" s="237"/>
    </row>
    <row r="18" spans="2:16" ht="21.75" customHeight="1">
      <c r="B18" s="231"/>
      <c r="C18" s="232"/>
      <c r="D18" s="233" t="s">
        <v>18</v>
      </c>
      <c r="E18" s="210">
        <f t="shared" si="0"/>
        <v>5000</v>
      </c>
      <c r="F18" s="234"/>
      <c r="G18" s="234"/>
      <c r="H18" s="235">
        <v>5000</v>
      </c>
      <c r="I18" s="234"/>
      <c r="J18" s="234"/>
      <c r="K18" s="234"/>
      <c r="L18" s="234"/>
      <c r="M18" s="234"/>
      <c r="N18" s="234"/>
      <c r="O18" s="234"/>
      <c r="P18" s="237"/>
    </row>
    <row r="19" spans="2:16" ht="21.75" customHeight="1" thickBot="1">
      <c r="B19" s="231"/>
      <c r="C19" s="238"/>
      <c r="D19" s="239" t="s">
        <v>19</v>
      </c>
      <c r="E19" s="210">
        <f t="shared" si="0"/>
        <v>1000</v>
      </c>
      <c r="F19" s="240"/>
      <c r="G19" s="240"/>
      <c r="H19" s="241">
        <v>1000</v>
      </c>
      <c r="I19" s="240"/>
      <c r="J19" s="240"/>
      <c r="K19" s="240"/>
      <c r="L19" s="240"/>
      <c r="M19" s="240"/>
      <c r="N19" s="240"/>
      <c r="O19" s="240"/>
      <c r="P19" s="242"/>
    </row>
    <row r="20" spans="2:16" ht="21.75" customHeight="1">
      <c r="B20" s="231"/>
      <c r="C20" s="243" t="s">
        <v>20</v>
      </c>
      <c r="D20" s="244" t="s">
        <v>26</v>
      </c>
      <c r="E20" s="210">
        <f t="shared" si="0"/>
        <v>1000</v>
      </c>
      <c r="F20" s="245"/>
      <c r="G20" s="245"/>
      <c r="H20" s="245">
        <v>1000</v>
      </c>
      <c r="I20" s="245"/>
      <c r="J20" s="245"/>
      <c r="K20" s="245"/>
      <c r="L20" s="245"/>
      <c r="M20" s="245"/>
      <c r="N20" s="245"/>
      <c r="O20" s="245"/>
      <c r="P20" s="246"/>
    </row>
    <row r="21" spans="2:16" ht="21.75" customHeight="1">
      <c r="B21" s="231"/>
      <c r="C21" s="247"/>
      <c r="D21" s="248" t="s">
        <v>21</v>
      </c>
      <c r="E21" s="210">
        <f t="shared" si="0"/>
        <v>2000</v>
      </c>
      <c r="F21" s="249"/>
      <c r="G21" s="249"/>
      <c r="H21" s="249">
        <v>2000</v>
      </c>
      <c r="I21" s="249"/>
      <c r="J21" s="249"/>
      <c r="K21" s="249"/>
      <c r="L21" s="249"/>
      <c r="M21" s="249"/>
      <c r="N21" s="249"/>
      <c r="O21" s="249"/>
      <c r="P21" s="250"/>
    </row>
    <row r="22" spans="2:16" ht="21.75" customHeight="1">
      <c r="B22" s="231"/>
      <c r="C22" s="247"/>
      <c r="D22" s="248" t="s">
        <v>22</v>
      </c>
      <c r="E22" s="210">
        <f t="shared" si="0"/>
        <v>0</v>
      </c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50"/>
    </row>
    <row r="23" spans="2:16" ht="21.75" customHeight="1">
      <c r="B23" s="231"/>
      <c r="C23" s="247"/>
      <c r="D23" s="248" t="s">
        <v>23</v>
      </c>
      <c r="E23" s="210">
        <f t="shared" si="0"/>
        <v>2000</v>
      </c>
      <c r="F23" s="249"/>
      <c r="G23" s="249"/>
      <c r="H23" s="249">
        <v>2000</v>
      </c>
      <c r="I23" s="249"/>
      <c r="J23" s="249"/>
      <c r="K23" s="249"/>
      <c r="L23" s="249"/>
      <c r="M23" s="249"/>
      <c r="N23" s="249"/>
      <c r="O23" s="249"/>
      <c r="P23" s="250"/>
    </row>
    <row r="24" spans="2:16" ht="21.75" customHeight="1">
      <c r="B24" s="231"/>
      <c r="C24" s="247"/>
      <c r="D24" s="248" t="s">
        <v>24</v>
      </c>
      <c r="E24" s="210">
        <f t="shared" si="0"/>
        <v>1000</v>
      </c>
      <c r="F24" s="249"/>
      <c r="G24" s="249"/>
      <c r="H24" s="249">
        <v>1000</v>
      </c>
      <c r="I24" s="249"/>
      <c r="J24" s="249"/>
      <c r="K24" s="249"/>
      <c r="L24" s="249"/>
      <c r="M24" s="249"/>
      <c r="N24" s="249"/>
      <c r="O24" s="249"/>
      <c r="P24" s="250"/>
    </row>
    <row r="25" spans="2:16" ht="21.75" customHeight="1">
      <c r="B25" s="231"/>
      <c r="C25" s="247"/>
      <c r="D25" s="248" t="s">
        <v>25</v>
      </c>
      <c r="E25" s="210">
        <f t="shared" si="0"/>
        <v>1000</v>
      </c>
      <c r="F25" s="249"/>
      <c r="G25" s="249"/>
      <c r="H25" s="249">
        <v>1000</v>
      </c>
      <c r="I25" s="249"/>
      <c r="J25" s="249"/>
      <c r="K25" s="249"/>
      <c r="L25" s="249"/>
      <c r="M25" s="249"/>
      <c r="N25" s="249"/>
      <c r="O25" s="249"/>
      <c r="P25" s="250"/>
    </row>
    <row r="26" spans="2:16" ht="21.75" customHeight="1">
      <c r="B26" s="231"/>
      <c r="C26" s="247"/>
      <c r="D26" s="248" t="s">
        <v>1</v>
      </c>
      <c r="E26" s="210">
        <f t="shared" si="0"/>
        <v>0</v>
      </c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50"/>
    </row>
    <row r="27" spans="2:16" ht="21.75" customHeight="1">
      <c r="B27" s="231"/>
      <c r="C27" s="247"/>
      <c r="D27" s="248" t="s">
        <v>27</v>
      </c>
      <c r="E27" s="210">
        <f t="shared" si="0"/>
        <v>0</v>
      </c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50"/>
    </row>
    <row r="28" spans="2:16" ht="21.75" customHeight="1" thickBot="1">
      <c r="B28" s="231"/>
      <c r="C28" s="251"/>
      <c r="D28" s="252" t="s">
        <v>28</v>
      </c>
      <c r="E28" s="210">
        <f t="shared" si="0"/>
        <v>1000</v>
      </c>
      <c r="F28" s="253"/>
      <c r="G28" s="253"/>
      <c r="H28" s="253">
        <v>1000</v>
      </c>
      <c r="I28" s="253"/>
      <c r="J28" s="253"/>
      <c r="K28" s="253"/>
      <c r="L28" s="253"/>
      <c r="M28" s="253"/>
      <c r="N28" s="253"/>
      <c r="O28" s="253"/>
      <c r="P28" s="254"/>
    </row>
    <row r="29" spans="2:16" ht="21.75" customHeight="1">
      <c r="B29" s="231"/>
      <c r="C29" s="255" t="s">
        <v>29</v>
      </c>
      <c r="D29" s="256" t="s">
        <v>30</v>
      </c>
      <c r="E29" s="210">
        <f t="shared" si="0"/>
        <v>0</v>
      </c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8"/>
    </row>
    <row r="30" spans="2:16" ht="21.75" customHeight="1" thickBot="1">
      <c r="B30" s="231"/>
      <c r="C30" s="259"/>
      <c r="D30" s="260" t="s">
        <v>31</v>
      </c>
      <c r="E30" s="210">
        <f t="shared" si="0"/>
        <v>5000</v>
      </c>
      <c r="F30" s="261">
        <v>5000</v>
      </c>
      <c r="G30" s="261"/>
      <c r="H30" s="261"/>
      <c r="I30" s="261"/>
      <c r="J30" s="261"/>
      <c r="K30" s="261"/>
      <c r="L30" s="261"/>
      <c r="M30" s="261"/>
      <c r="N30" s="261"/>
      <c r="O30" s="261"/>
      <c r="P30" s="262"/>
    </row>
    <row r="31" spans="2:16" ht="21.75" customHeight="1">
      <c r="B31" s="231"/>
      <c r="C31" s="263" t="s">
        <v>2</v>
      </c>
      <c r="D31" s="264" t="s">
        <v>32</v>
      </c>
      <c r="E31" s="210">
        <f t="shared" si="0"/>
        <v>50</v>
      </c>
      <c r="F31" s="265"/>
      <c r="G31" s="265"/>
      <c r="H31" s="265">
        <v>50</v>
      </c>
      <c r="I31" s="265"/>
      <c r="J31" s="265"/>
      <c r="K31" s="265"/>
      <c r="L31" s="265"/>
      <c r="M31" s="265"/>
      <c r="N31" s="265"/>
      <c r="O31" s="265"/>
      <c r="P31" s="266"/>
    </row>
    <row r="32" spans="2:16" ht="21.75" customHeight="1">
      <c r="B32" s="231"/>
      <c r="C32" s="267"/>
      <c r="D32" s="268" t="s">
        <v>33</v>
      </c>
      <c r="E32" s="210">
        <f t="shared" si="0"/>
        <v>100</v>
      </c>
      <c r="F32" s="269"/>
      <c r="G32" s="269"/>
      <c r="H32" s="269">
        <v>100</v>
      </c>
      <c r="I32" s="269"/>
      <c r="J32" s="269"/>
      <c r="K32" s="269"/>
      <c r="L32" s="269"/>
      <c r="M32" s="269"/>
      <c r="N32" s="269"/>
      <c r="O32" s="269"/>
      <c r="P32" s="270"/>
    </row>
    <row r="33" spans="2:16" ht="21.75" customHeight="1">
      <c r="B33" s="231"/>
      <c r="C33" s="267"/>
      <c r="D33" s="268" t="s">
        <v>34</v>
      </c>
      <c r="E33" s="210">
        <f t="shared" si="0"/>
        <v>100</v>
      </c>
      <c r="F33" s="269"/>
      <c r="G33" s="269"/>
      <c r="H33" s="269">
        <v>100</v>
      </c>
      <c r="I33" s="269"/>
      <c r="J33" s="269"/>
      <c r="K33" s="269"/>
      <c r="L33" s="269"/>
      <c r="M33" s="269"/>
      <c r="N33" s="269"/>
      <c r="O33" s="269"/>
      <c r="P33" s="270"/>
    </row>
    <row r="34" spans="2:16" ht="21.75" customHeight="1">
      <c r="B34" s="231"/>
      <c r="C34" s="267"/>
      <c r="D34" s="268" t="s">
        <v>35</v>
      </c>
      <c r="E34" s="210">
        <f t="shared" si="0"/>
        <v>0</v>
      </c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70"/>
    </row>
    <row r="35" spans="2:16" ht="21.75" customHeight="1" thickBot="1">
      <c r="B35" s="231"/>
      <c r="C35" s="271"/>
      <c r="D35" s="272" t="s">
        <v>37</v>
      </c>
      <c r="E35" s="210">
        <f t="shared" si="0"/>
        <v>0</v>
      </c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4"/>
    </row>
    <row r="36" spans="2:16" ht="21.75" customHeight="1">
      <c r="B36" s="231"/>
      <c r="C36" s="275" t="s">
        <v>39</v>
      </c>
      <c r="D36" s="276" t="s">
        <v>38</v>
      </c>
      <c r="E36" s="210">
        <f t="shared" si="0"/>
        <v>50</v>
      </c>
      <c r="F36" s="277"/>
      <c r="G36" s="277"/>
      <c r="H36" s="277">
        <v>50</v>
      </c>
      <c r="I36" s="277"/>
      <c r="J36" s="277"/>
      <c r="K36" s="277"/>
      <c r="L36" s="277"/>
      <c r="M36" s="277"/>
      <c r="N36" s="277"/>
      <c r="O36" s="277"/>
      <c r="P36" s="278"/>
    </row>
    <row r="37" spans="2:16" ht="21.75" customHeight="1" thickBot="1">
      <c r="B37" s="279"/>
      <c r="C37" s="280"/>
      <c r="D37" s="281" t="s">
        <v>36</v>
      </c>
      <c r="E37" s="210">
        <f t="shared" si="0"/>
        <v>50</v>
      </c>
      <c r="F37" s="282"/>
      <c r="G37" s="282"/>
      <c r="H37" s="282">
        <v>50</v>
      </c>
      <c r="I37" s="282"/>
      <c r="J37" s="282"/>
      <c r="K37" s="282"/>
      <c r="L37" s="282"/>
      <c r="M37" s="282"/>
      <c r="N37" s="282"/>
      <c r="O37" s="282"/>
      <c r="P37" s="283"/>
    </row>
    <row r="38" spans="2:16" ht="21.75" customHeight="1">
      <c r="B38" s="284" t="s">
        <v>64</v>
      </c>
      <c r="C38" s="285" t="s">
        <v>49</v>
      </c>
      <c r="D38" s="286" t="s">
        <v>40</v>
      </c>
      <c r="E38" s="210">
        <f t="shared" si="0"/>
        <v>5000</v>
      </c>
      <c r="F38" s="287">
        <v>5000</v>
      </c>
      <c r="G38" s="287"/>
      <c r="H38" s="287"/>
      <c r="I38" s="287"/>
      <c r="J38" s="287"/>
      <c r="K38" s="287"/>
      <c r="L38" s="287"/>
      <c r="M38" s="287"/>
      <c r="N38" s="287"/>
      <c r="O38" s="287"/>
      <c r="P38" s="288"/>
    </row>
    <row r="39" spans="2:16" ht="21.75" customHeight="1">
      <c r="B39" s="289"/>
      <c r="C39" s="213"/>
      <c r="D39" s="215" t="s">
        <v>41</v>
      </c>
      <c r="E39" s="210">
        <f t="shared" si="0"/>
        <v>30</v>
      </c>
      <c r="F39" s="216">
        <v>30</v>
      </c>
      <c r="G39" s="216"/>
      <c r="H39" s="216"/>
      <c r="I39" s="216"/>
      <c r="J39" s="216"/>
      <c r="K39" s="216"/>
      <c r="L39" s="216"/>
      <c r="M39" s="216"/>
      <c r="N39" s="216"/>
      <c r="O39" s="216"/>
      <c r="P39" s="218"/>
    </row>
    <row r="40" spans="2:16" ht="21.75" customHeight="1">
      <c r="B40" s="289"/>
      <c r="C40" s="213"/>
      <c r="D40" s="215" t="s">
        <v>42</v>
      </c>
      <c r="E40" s="210">
        <f t="shared" si="0"/>
        <v>5000</v>
      </c>
      <c r="F40" s="216">
        <v>5000</v>
      </c>
      <c r="G40" s="216"/>
      <c r="H40" s="216"/>
      <c r="I40" s="216"/>
      <c r="J40" s="216"/>
      <c r="K40" s="216"/>
      <c r="L40" s="216"/>
      <c r="M40" s="216"/>
      <c r="N40" s="216"/>
      <c r="O40" s="216"/>
      <c r="P40" s="218"/>
    </row>
    <row r="41" spans="2:16" ht="21.75" customHeight="1" thickBot="1">
      <c r="B41" s="289"/>
      <c r="C41" s="219"/>
      <c r="D41" s="221" t="s">
        <v>43</v>
      </c>
      <c r="E41" s="210">
        <f t="shared" si="0"/>
        <v>30</v>
      </c>
      <c r="F41" s="222">
        <v>30</v>
      </c>
      <c r="G41" s="222"/>
      <c r="H41" s="222"/>
      <c r="I41" s="222"/>
      <c r="J41" s="222"/>
      <c r="K41" s="222"/>
      <c r="L41" s="222"/>
      <c r="M41" s="222"/>
      <c r="N41" s="222"/>
      <c r="O41" s="222"/>
      <c r="P41" s="223"/>
    </row>
    <row r="42" spans="2:16" ht="21.75" customHeight="1">
      <c r="B42" s="290"/>
      <c r="C42" s="291" t="s">
        <v>0</v>
      </c>
      <c r="D42" s="292" t="s">
        <v>44</v>
      </c>
      <c r="E42" s="210">
        <f t="shared" si="0"/>
        <v>10</v>
      </c>
      <c r="F42" s="293"/>
      <c r="G42" s="293"/>
      <c r="H42" s="293">
        <v>10</v>
      </c>
      <c r="I42" s="293"/>
      <c r="J42" s="293"/>
      <c r="K42" s="293"/>
      <c r="L42" s="293"/>
      <c r="M42" s="293"/>
      <c r="N42" s="293"/>
      <c r="O42" s="293"/>
      <c r="P42" s="294"/>
    </row>
    <row r="43" spans="2:16" ht="21.75" customHeight="1">
      <c r="B43" s="290"/>
      <c r="C43" s="295"/>
      <c r="D43" s="296" t="s">
        <v>46</v>
      </c>
      <c r="E43" s="210">
        <f t="shared" si="0"/>
        <v>500</v>
      </c>
      <c r="F43" s="297"/>
      <c r="G43" s="297"/>
      <c r="H43" s="297">
        <v>500</v>
      </c>
      <c r="I43" s="297"/>
      <c r="J43" s="297"/>
      <c r="K43" s="297"/>
      <c r="L43" s="297"/>
      <c r="M43" s="297"/>
      <c r="N43" s="297"/>
      <c r="O43" s="297"/>
      <c r="P43" s="298"/>
    </row>
    <row r="44" spans="2:16" ht="21.75" customHeight="1">
      <c r="B44" s="290"/>
      <c r="C44" s="295"/>
      <c r="D44" s="296" t="s">
        <v>45</v>
      </c>
      <c r="E44" s="210">
        <f t="shared" si="0"/>
        <v>50</v>
      </c>
      <c r="F44" s="297"/>
      <c r="G44" s="297"/>
      <c r="H44" s="297">
        <v>50</v>
      </c>
      <c r="I44" s="297"/>
      <c r="J44" s="297"/>
      <c r="K44" s="297"/>
      <c r="L44" s="297"/>
      <c r="M44" s="297"/>
      <c r="N44" s="297"/>
      <c r="O44" s="297"/>
      <c r="P44" s="298"/>
    </row>
    <row r="45" spans="2:16" ht="21.75" customHeight="1">
      <c r="B45" s="290"/>
      <c r="C45" s="295"/>
      <c r="D45" s="296" t="s">
        <v>47</v>
      </c>
      <c r="E45" s="210">
        <f t="shared" si="0"/>
        <v>1000</v>
      </c>
      <c r="F45" s="297"/>
      <c r="G45" s="297"/>
      <c r="H45" s="297">
        <v>1000</v>
      </c>
      <c r="I45" s="297"/>
      <c r="J45" s="297"/>
      <c r="K45" s="297"/>
      <c r="L45" s="297"/>
      <c r="M45" s="297"/>
      <c r="N45" s="297"/>
      <c r="O45" s="297"/>
      <c r="P45" s="298"/>
    </row>
    <row r="46" spans="2:16" ht="21.75" customHeight="1">
      <c r="B46" s="290"/>
      <c r="C46" s="299"/>
      <c r="D46" s="300" t="s">
        <v>48</v>
      </c>
      <c r="E46" s="210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2"/>
    </row>
    <row r="47" spans="2:16" ht="21.75" customHeight="1" thickBot="1">
      <c r="B47" s="290"/>
      <c r="C47" s="303"/>
      <c r="D47" s="304" t="s">
        <v>3</v>
      </c>
      <c r="E47" s="210">
        <f t="shared" si="0"/>
        <v>5</v>
      </c>
      <c r="F47" s="305"/>
      <c r="G47" s="305"/>
      <c r="H47" s="305">
        <v>5</v>
      </c>
      <c r="I47" s="305"/>
      <c r="J47" s="305"/>
      <c r="K47" s="305"/>
      <c r="L47" s="305"/>
      <c r="M47" s="305"/>
      <c r="N47" s="305"/>
      <c r="O47" s="305"/>
      <c r="P47" s="306"/>
    </row>
    <row r="48" spans="2:16" ht="21.75" customHeight="1">
      <c r="B48" s="289"/>
      <c r="C48" s="307" t="s">
        <v>50</v>
      </c>
      <c r="D48" s="308" t="s">
        <v>51</v>
      </c>
      <c r="E48" s="210">
        <f t="shared" si="0"/>
        <v>0</v>
      </c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10"/>
    </row>
    <row r="49" spans="2:16" ht="21.75" customHeight="1">
      <c r="B49" s="289"/>
      <c r="C49" s="311"/>
      <c r="D49" s="312" t="s">
        <v>52</v>
      </c>
      <c r="E49" s="210">
        <f t="shared" si="0"/>
        <v>2</v>
      </c>
      <c r="F49" s="313"/>
      <c r="G49" s="313"/>
      <c r="H49" s="313">
        <v>2</v>
      </c>
      <c r="I49" s="313"/>
      <c r="J49" s="313"/>
      <c r="K49" s="313"/>
      <c r="L49" s="313"/>
      <c r="M49" s="313"/>
      <c r="N49" s="313"/>
      <c r="O49" s="313"/>
      <c r="P49" s="314"/>
    </row>
    <row r="50" spans="2:16" ht="21.75" customHeight="1">
      <c r="B50" s="289"/>
      <c r="C50" s="311"/>
      <c r="D50" s="312" t="s">
        <v>53</v>
      </c>
      <c r="E50" s="210">
        <f t="shared" si="0"/>
        <v>0</v>
      </c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4"/>
    </row>
    <row r="51" spans="2:16" ht="21.75" customHeight="1">
      <c r="B51" s="289"/>
      <c r="C51" s="311"/>
      <c r="D51" s="312" t="s">
        <v>54</v>
      </c>
      <c r="E51" s="210">
        <f t="shared" si="0"/>
        <v>4</v>
      </c>
      <c r="F51" s="313">
        <v>4</v>
      </c>
      <c r="G51" s="313"/>
      <c r="H51" s="313"/>
      <c r="I51" s="313"/>
      <c r="J51" s="313"/>
      <c r="K51" s="313"/>
      <c r="L51" s="313"/>
      <c r="M51" s="313"/>
      <c r="N51" s="313"/>
      <c r="O51" s="313"/>
      <c r="P51" s="314"/>
    </row>
    <row r="52" spans="2:16" ht="21.75" customHeight="1" thickBot="1">
      <c r="B52" s="315"/>
      <c r="C52" s="316"/>
      <c r="D52" s="317" t="s">
        <v>55</v>
      </c>
      <c r="E52" s="210">
        <f t="shared" si="0"/>
        <v>4</v>
      </c>
      <c r="F52" s="318">
        <v>4</v>
      </c>
      <c r="G52" s="318"/>
      <c r="H52" s="318"/>
      <c r="I52" s="318"/>
      <c r="J52" s="318"/>
      <c r="K52" s="318"/>
      <c r="L52" s="318"/>
      <c r="M52" s="318"/>
      <c r="N52" s="318"/>
      <c r="O52" s="318"/>
      <c r="P52" s="319"/>
    </row>
    <row r="53" spans="2:16" ht="21.75" customHeight="1">
      <c r="B53" s="320" t="s">
        <v>58</v>
      </c>
      <c r="C53" s="321"/>
      <c r="D53" s="322" t="s">
        <v>4</v>
      </c>
      <c r="E53" s="210">
        <f t="shared" si="0"/>
        <v>20000</v>
      </c>
      <c r="F53" s="323"/>
      <c r="G53" s="323">
        <v>20000</v>
      </c>
      <c r="H53" s="323"/>
      <c r="I53" s="323"/>
      <c r="J53" s="323"/>
      <c r="K53" s="323"/>
      <c r="L53" s="323"/>
      <c r="M53" s="323"/>
      <c r="N53" s="323"/>
      <c r="O53" s="323"/>
      <c r="P53" s="324"/>
    </row>
    <row r="54" spans="2:16" ht="21.75" customHeight="1">
      <c r="B54" s="325"/>
      <c r="C54" s="326"/>
      <c r="D54" s="327" t="s">
        <v>56</v>
      </c>
      <c r="E54" s="210">
        <f t="shared" si="0"/>
        <v>3000</v>
      </c>
      <c r="F54" s="328"/>
      <c r="G54" s="328">
        <v>3000</v>
      </c>
      <c r="H54" s="328"/>
      <c r="I54" s="328"/>
      <c r="J54" s="328"/>
      <c r="K54" s="328"/>
      <c r="L54" s="328"/>
      <c r="M54" s="328"/>
      <c r="N54" s="328"/>
      <c r="O54" s="328"/>
      <c r="P54" s="329"/>
    </row>
    <row r="55" spans="2:16" ht="21.75" customHeight="1">
      <c r="B55" s="325"/>
      <c r="C55" s="326"/>
      <c r="D55" s="327" t="s">
        <v>5</v>
      </c>
      <c r="E55" s="210">
        <f t="shared" si="0"/>
        <v>5000</v>
      </c>
      <c r="F55" s="328"/>
      <c r="G55" s="328">
        <v>5000</v>
      </c>
      <c r="H55" s="328"/>
      <c r="I55" s="328"/>
      <c r="J55" s="328"/>
      <c r="K55" s="328"/>
      <c r="L55" s="328"/>
      <c r="M55" s="328"/>
      <c r="N55" s="328"/>
      <c r="O55" s="328"/>
      <c r="P55" s="329"/>
    </row>
    <row r="56" spans="2:16" ht="21.75" customHeight="1" thickBot="1">
      <c r="B56" s="330"/>
      <c r="C56" s="331"/>
      <c r="D56" s="332" t="s">
        <v>57</v>
      </c>
      <c r="E56" s="210">
        <f t="shared" si="0"/>
        <v>30</v>
      </c>
      <c r="F56" s="333"/>
      <c r="G56" s="333">
        <v>30</v>
      </c>
      <c r="H56" s="333"/>
      <c r="I56" s="333"/>
      <c r="J56" s="333"/>
      <c r="K56" s="333"/>
      <c r="L56" s="333"/>
      <c r="M56" s="333"/>
      <c r="N56" s="333"/>
      <c r="O56" s="333"/>
      <c r="P56" s="334"/>
    </row>
    <row r="57" spans="2:16" ht="21.75" customHeight="1">
      <c r="B57" s="285" t="s">
        <v>62</v>
      </c>
      <c r="C57" s="335"/>
      <c r="D57" s="286" t="s">
        <v>60</v>
      </c>
      <c r="E57" s="210">
        <f t="shared" si="0"/>
        <v>0</v>
      </c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8"/>
    </row>
    <row r="58" spans="2:16" ht="21.75" customHeight="1" thickBot="1">
      <c r="B58" s="336"/>
      <c r="C58" s="337"/>
      <c r="D58" s="338" t="s">
        <v>59</v>
      </c>
      <c r="E58" s="210">
        <f t="shared" si="0"/>
        <v>0</v>
      </c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40"/>
    </row>
    <row r="59" spans="2:16" ht="21.75" customHeight="1">
      <c r="B59" s="341" t="s">
        <v>63</v>
      </c>
      <c r="C59" s="342"/>
      <c r="D59" s="190" t="s">
        <v>6</v>
      </c>
      <c r="E59" s="210">
        <f t="shared" si="0"/>
        <v>10000</v>
      </c>
      <c r="F59" s="343">
        <v>10000</v>
      </c>
      <c r="G59" s="343"/>
      <c r="H59" s="343"/>
      <c r="I59" s="343"/>
      <c r="J59" s="343"/>
      <c r="K59" s="343"/>
      <c r="L59" s="343"/>
      <c r="M59" s="343"/>
      <c r="N59" s="343"/>
      <c r="O59" s="343"/>
      <c r="P59" s="344"/>
    </row>
    <row r="60" spans="2:16" ht="21.75" customHeight="1" thickBot="1">
      <c r="B60" s="345"/>
      <c r="C60" s="346"/>
      <c r="D60" s="347" t="s">
        <v>61</v>
      </c>
      <c r="E60" s="348">
        <f t="shared" si="0"/>
        <v>0</v>
      </c>
      <c r="F60" s="349"/>
      <c r="G60" s="349"/>
      <c r="H60" s="349"/>
      <c r="I60" s="349"/>
      <c r="J60" s="349"/>
      <c r="K60" s="349"/>
      <c r="L60" s="349"/>
      <c r="M60" s="349"/>
      <c r="N60" s="349"/>
      <c r="O60" s="349"/>
      <c r="P60" s="350"/>
    </row>
  </sheetData>
  <mergeCells count="28">
    <mergeCell ref="B59:C60"/>
    <mergeCell ref="I13:I14"/>
    <mergeCell ref="B38:B52"/>
    <mergeCell ref="C38:C41"/>
    <mergeCell ref="C42:C47"/>
    <mergeCell ref="C48:C52"/>
    <mergeCell ref="B53:C56"/>
    <mergeCell ref="B57:C58"/>
    <mergeCell ref="B10:B12"/>
    <mergeCell ref="C10:C12"/>
    <mergeCell ref="B13:B37"/>
    <mergeCell ref="C13:C19"/>
    <mergeCell ref="C20:C28"/>
    <mergeCell ref="C29:C30"/>
    <mergeCell ref="C31:C35"/>
    <mergeCell ref="C36:C37"/>
    <mergeCell ref="N2:O3"/>
    <mergeCell ref="B4:D4"/>
    <mergeCell ref="B9:D9"/>
    <mergeCell ref="B2:D3"/>
    <mergeCell ref="E2:E3"/>
    <mergeCell ref="F2:K3"/>
    <mergeCell ref="L2:M3"/>
    <mergeCell ref="B5:D5"/>
    <mergeCell ref="E5:E8"/>
    <mergeCell ref="B6:D6"/>
    <mergeCell ref="B7:D7"/>
    <mergeCell ref="B8:D8"/>
  </mergeCells>
  <phoneticPr fontId="1" type="noConversion"/>
  <pageMargins left="3.937007874015748E-2" right="3.937007874015748E-2" top="0.74803149606299213" bottom="0.74803149606299213" header="0.31496062992125984" footer="0.31496062992125984"/>
  <pageSetup paperSize="9" scale="56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0"/>
  <sheetViews>
    <sheetView workbookViewId="0">
      <selection activeCell="L2" sqref="L2:M3"/>
    </sheetView>
  </sheetViews>
  <sheetFormatPr defaultRowHeight="13.5"/>
  <cols>
    <col min="1" max="1" width="9" style="1"/>
    <col min="2" max="2" width="5.25" style="1" customWidth="1"/>
    <col min="3" max="3" width="6.25" style="1" customWidth="1"/>
    <col min="4" max="4" width="17.875" style="1" customWidth="1"/>
    <col min="5" max="5" width="11.25" style="1" customWidth="1"/>
    <col min="6" max="16" width="10.625" style="1" customWidth="1"/>
    <col min="17" max="16384" width="9" style="1"/>
  </cols>
  <sheetData>
    <row r="2" spans="2:16" ht="16.5" customHeight="1">
      <c r="B2" s="124"/>
      <c r="C2" s="124"/>
      <c r="D2" s="124"/>
      <c r="E2" s="124" t="s">
        <v>77</v>
      </c>
      <c r="F2" s="126" t="s">
        <v>75</v>
      </c>
      <c r="G2" s="126"/>
      <c r="H2" s="126"/>
      <c r="I2" s="126"/>
      <c r="J2" s="126"/>
      <c r="K2" s="126"/>
      <c r="L2" s="124"/>
      <c r="M2" s="124"/>
      <c r="N2" s="118" t="s">
        <v>76</v>
      </c>
      <c r="O2" s="118"/>
      <c r="P2" s="105"/>
    </row>
    <row r="3" spans="2:16" ht="17.25" customHeight="1" thickBot="1">
      <c r="B3" s="125"/>
      <c r="C3" s="125"/>
      <c r="D3" s="125"/>
      <c r="E3" s="125"/>
      <c r="F3" s="127"/>
      <c r="G3" s="127"/>
      <c r="H3" s="127"/>
      <c r="I3" s="127"/>
      <c r="J3" s="127"/>
      <c r="K3" s="127"/>
      <c r="L3" s="125"/>
      <c r="M3" s="125"/>
      <c r="N3" s="119"/>
      <c r="O3" s="119"/>
      <c r="P3" s="106"/>
    </row>
    <row r="4" spans="2:16" ht="21.75" customHeight="1">
      <c r="B4" s="120" t="s">
        <v>73</v>
      </c>
      <c r="C4" s="121"/>
      <c r="D4" s="121"/>
      <c r="E4" s="3" t="s">
        <v>66</v>
      </c>
      <c r="F4" s="107">
        <v>1</v>
      </c>
      <c r="G4" s="107">
        <v>2</v>
      </c>
      <c r="H4" s="107">
        <v>3</v>
      </c>
      <c r="I4" s="107">
        <v>4</v>
      </c>
      <c r="J4" s="107">
        <v>5</v>
      </c>
      <c r="K4" s="107">
        <v>6</v>
      </c>
      <c r="L4" s="107">
        <v>7</v>
      </c>
      <c r="M4" s="107">
        <v>8</v>
      </c>
      <c r="N4" s="107">
        <v>9</v>
      </c>
      <c r="O4" s="107">
        <v>10</v>
      </c>
      <c r="P4" s="80">
        <v>11</v>
      </c>
    </row>
    <row r="5" spans="2:16" ht="21.75" customHeight="1">
      <c r="B5" s="128" t="s">
        <v>68</v>
      </c>
      <c r="C5" s="129"/>
      <c r="D5" s="129"/>
      <c r="E5" s="130" t="s">
        <v>65</v>
      </c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08"/>
    </row>
    <row r="6" spans="2:16" ht="21.75" customHeight="1">
      <c r="B6" s="128" t="s">
        <v>69</v>
      </c>
      <c r="C6" s="129"/>
      <c r="D6" s="129"/>
      <c r="E6" s="130"/>
      <c r="F6" s="9"/>
      <c r="G6" s="9"/>
      <c r="H6" s="9"/>
      <c r="I6" s="9"/>
      <c r="J6" s="9"/>
      <c r="K6" s="9"/>
      <c r="L6" s="9"/>
      <c r="M6" s="9"/>
      <c r="N6" s="9"/>
      <c r="O6" s="9"/>
      <c r="P6" s="81"/>
    </row>
    <row r="7" spans="2:16" ht="21.75" customHeight="1">
      <c r="B7" s="128" t="s">
        <v>70</v>
      </c>
      <c r="C7" s="129"/>
      <c r="D7" s="129"/>
      <c r="E7" s="130"/>
      <c r="F7" s="8"/>
      <c r="G7" s="8"/>
      <c r="H7" s="8"/>
      <c r="I7" s="8"/>
      <c r="J7" s="8"/>
      <c r="K7" s="8"/>
      <c r="L7" s="8"/>
      <c r="M7" s="8"/>
      <c r="N7" s="8"/>
      <c r="O7" s="8"/>
      <c r="P7" s="82"/>
    </row>
    <row r="8" spans="2:16" ht="32.25" customHeight="1" thickBot="1">
      <c r="B8" s="128" t="s">
        <v>71</v>
      </c>
      <c r="C8" s="129"/>
      <c r="D8" s="129"/>
      <c r="E8" s="131"/>
      <c r="F8" s="8"/>
      <c r="G8" s="8"/>
      <c r="H8" s="8"/>
      <c r="I8" s="8"/>
      <c r="J8" s="8"/>
      <c r="K8" s="8"/>
      <c r="L8" s="8"/>
      <c r="M8" s="8"/>
      <c r="N8" s="8"/>
      <c r="O8" s="8"/>
      <c r="P8" s="82"/>
    </row>
    <row r="9" spans="2:16" ht="21.75" customHeight="1" thickBot="1">
      <c r="B9" s="122" t="s">
        <v>72</v>
      </c>
      <c r="C9" s="123"/>
      <c r="D9" s="123"/>
      <c r="E9" s="78">
        <f>F9+G9+H9+I9+J9+K9+L9+M9+N9+O9+P9</f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0"/>
    </row>
    <row r="10" spans="2:16" ht="21.75" customHeight="1">
      <c r="B10" s="132" t="s">
        <v>7</v>
      </c>
      <c r="C10" s="135" t="s">
        <v>8</v>
      </c>
      <c r="D10" s="115" t="s">
        <v>9</v>
      </c>
      <c r="E10" s="103">
        <f>F10+G10+H10+I10+J10+K10+L10+M10+N10+O10+P10</f>
        <v>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2:16" ht="21.75" customHeight="1">
      <c r="B11" s="133"/>
      <c r="C11" s="136"/>
      <c r="D11" s="116" t="s">
        <v>10</v>
      </c>
      <c r="E11" s="103">
        <f t="shared" ref="E11:E60" si="0">F11+G11+H11+I11+J11+K11+L11+M11+N11+O11+P11</f>
        <v>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/>
    </row>
    <row r="12" spans="2:16" ht="21.75" customHeight="1" thickBot="1">
      <c r="B12" s="134"/>
      <c r="C12" s="137"/>
      <c r="D12" s="117" t="s">
        <v>11</v>
      </c>
      <c r="E12" s="103">
        <f t="shared" si="0"/>
        <v>0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83"/>
    </row>
    <row r="13" spans="2:16" ht="21.75" customHeight="1">
      <c r="B13" s="138" t="s">
        <v>12</v>
      </c>
      <c r="C13" s="141" t="s">
        <v>13</v>
      </c>
      <c r="D13" s="40" t="s">
        <v>14</v>
      </c>
      <c r="E13" s="103">
        <f t="shared" si="0"/>
        <v>0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84"/>
    </row>
    <row r="14" spans="2:16" ht="21.75" customHeight="1">
      <c r="B14" s="139"/>
      <c r="C14" s="142"/>
      <c r="D14" s="18" t="s">
        <v>15</v>
      </c>
      <c r="E14" s="103">
        <f t="shared" si="0"/>
        <v>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</row>
    <row r="15" spans="2:16" ht="21.75" customHeight="1">
      <c r="B15" s="139"/>
      <c r="C15" s="142"/>
      <c r="D15" s="18" t="s">
        <v>16</v>
      </c>
      <c r="E15" s="103">
        <f t="shared" si="0"/>
        <v>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</row>
    <row r="16" spans="2:16" ht="21.75" customHeight="1">
      <c r="B16" s="139"/>
      <c r="C16" s="142"/>
      <c r="D16" s="18" t="s">
        <v>67</v>
      </c>
      <c r="E16" s="103">
        <f t="shared" si="0"/>
        <v>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</row>
    <row r="17" spans="2:16" ht="21.75" customHeight="1">
      <c r="B17" s="139"/>
      <c r="C17" s="142"/>
      <c r="D17" s="18" t="s">
        <v>17</v>
      </c>
      <c r="E17" s="103">
        <f t="shared" si="0"/>
        <v>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</row>
    <row r="18" spans="2:16" ht="21.75" customHeight="1">
      <c r="B18" s="139"/>
      <c r="C18" s="142"/>
      <c r="D18" s="18" t="s">
        <v>18</v>
      </c>
      <c r="E18" s="103">
        <f t="shared" si="0"/>
        <v>0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</row>
    <row r="19" spans="2:16" ht="21.75" customHeight="1" thickBot="1">
      <c r="B19" s="139"/>
      <c r="C19" s="143"/>
      <c r="D19" s="42" t="s">
        <v>19</v>
      </c>
      <c r="E19" s="103">
        <f t="shared" si="0"/>
        <v>0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85"/>
    </row>
    <row r="20" spans="2:16" ht="21.75" customHeight="1">
      <c r="B20" s="139"/>
      <c r="C20" s="144" t="s">
        <v>20</v>
      </c>
      <c r="D20" s="44" t="s">
        <v>26</v>
      </c>
      <c r="E20" s="103">
        <f t="shared" si="0"/>
        <v>0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86"/>
    </row>
    <row r="21" spans="2:16" ht="21.75" customHeight="1">
      <c r="B21" s="139"/>
      <c r="C21" s="145"/>
      <c r="D21" s="26" t="s">
        <v>21</v>
      </c>
      <c r="E21" s="103">
        <f t="shared" si="0"/>
        <v>0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21.75" customHeight="1">
      <c r="B22" s="139"/>
      <c r="C22" s="145"/>
      <c r="D22" s="26" t="s">
        <v>22</v>
      </c>
      <c r="E22" s="103">
        <f t="shared" si="0"/>
        <v>0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</row>
    <row r="23" spans="2:16" ht="21.75" customHeight="1">
      <c r="B23" s="139"/>
      <c r="C23" s="145"/>
      <c r="D23" s="26" t="s">
        <v>23</v>
      </c>
      <c r="E23" s="103">
        <f t="shared" si="0"/>
        <v>0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</row>
    <row r="24" spans="2:16" ht="21.75" customHeight="1">
      <c r="B24" s="139"/>
      <c r="C24" s="145"/>
      <c r="D24" s="26" t="s">
        <v>24</v>
      </c>
      <c r="E24" s="103">
        <f t="shared" si="0"/>
        <v>0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/>
    </row>
    <row r="25" spans="2:16" ht="21.75" customHeight="1">
      <c r="B25" s="139"/>
      <c r="C25" s="145"/>
      <c r="D25" s="26" t="s">
        <v>25</v>
      </c>
      <c r="E25" s="103">
        <f t="shared" si="0"/>
        <v>0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</row>
    <row r="26" spans="2:16" ht="21.75" customHeight="1">
      <c r="B26" s="139"/>
      <c r="C26" s="145"/>
      <c r="D26" s="26" t="s">
        <v>1</v>
      </c>
      <c r="E26" s="103">
        <f t="shared" si="0"/>
        <v>0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</row>
    <row r="27" spans="2:16" ht="21.75" customHeight="1">
      <c r="B27" s="139"/>
      <c r="C27" s="145"/>
      <c r="D27" s="26" t="s">
        <v>27</v>
      </c>
      <c r="E27" s="103">
        <f t="shared" si="0"/>
        <v>0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</row>
    <row r="28" spans="2:16" ht="21.75" customHeight="1" thickBot="1">
      <c r="B28" s="139"/>
      <c r="C28" s="146"/>
      <c r="D28" s="46" t="s">
        <v>28</v>
      </c>
      <c r="E28" s="103">
        <f t="shared" si="0"/>
        <v>0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87"/>
    </row>
    <row r="29" spans="2:16" ht="21.75" customHeight="1">
      <c r="B29" s="139"/>
      <c r="C29" s="147" t="s">
        <v>29</v>
      </c>
      <c r="D29" s="48" t="s">
        <v>30</v>
      </c>
      <c r="E29" s="103">
        <f t="shared" si="0"/>
        <v>0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88"/>
    </row>
    <row r="30" spans="2:16" ht="21.75" customHeight="1" thickBot="1">
      <c r="B30" s="139"/>
      <c r="C30" s="148"/>
      <c r="D30" s="50" t="s">
        <v>31</v>
      </c>
      <c r="E30" s="103">
        <f t="shared" si="0"/>
        <v>0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89"/>
    </row>
    <row r="31" spans="2:16" ht="21.75" customHeight="1">
      <c r="B31" s="139"/>
      <c r="C31" s="149" t="s">
        <v>2</v>
      </c>
      <c r="D31" s="52" t="s">
        <v>32</v>
      </c>
      <c r="E31" s="103">
        <f t="shared" si="0"/>
        <v>0</v>
      </c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90"/>
    </row>
    <row r="32" spans="2:16" ht="21.75" customHeight="1">
      <c r="B32" s="139"/>
      <c r="C32" s="150"/>
      <c r="D32" s="29" t="s">
        <v>33</v>
      </c>
      <c r="E32" s="103">
        <f t="shared" si="0"/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</row>
    <row r="33" spans="2:16" ht="21.75" customHeight="1">
      <c r="B33" s="139"/>
      <c r="C33" s="150"/>
      <c r="D33" s="29" t="s">
        <v>34</v>
      </c>
      <c r="E33" s="103">
        <f t="shared" si="0"/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</row>
    <row r="34" spans="2:16" ht="21.75" customHeight="1">
      <c r="B34" s="139"/>
      <c r="C34" s="150"/>
      <c r="D34" s="29" t="s">
        <v>35</v>
      </c>
      <c r="E34" s="103">
        <f t="shared" si="0"/>
        <v>0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</row>
    <row r="35" spans="2:16" ht="21.75" customHeight="1" thickBot="1">
      <c r="B35" s="139"/>
      <c r="C35" s="151"/>
      <c r="D35" s="54" t="s">
        <v>37</v>
      </c>
      <c r="E35" s="103">
        <f t="shared" si="0"/>
        <v>0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91"/>
    </row>
    <row r="36" spans="2:16" ht="21.75" customHeight="1">
      <c r="B36" s="139"/>
      <c r="C36" s="152" t="s">
        <v>39</v>
      </c>
      <c r="D36" s="58" t="s">
        <v>38</v>
      </c>
      <c r="E36" s="103">
        <f t="shared" si="0"/>
        <v>0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92"/>
    </row>
    <row r="37" spans="2:16" ht="21.75" customHeight="1" thickBot="1">
      <c r="B37" s="140"/>
      <c r="C37" s="153"/>
      <c r="D37" s="60" t="s">
        <v>36</v>
      </c>
      <c r="E37" s="103">
        <f t="shared" si="0"/>
        <v>0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93"/>
    </row>
    <row r="38" spans="2:16" ht="21.75" customHeight="1">
      <c r="B38" s="158" t="s">
        <v>64</v>
      </c>
      <c r="C38" s="162" t="s">
        <v>49</v>
      </c>
      <c r="D38" s="112" t="s">
        <v>40</v>
      </c>
      <c r="E38" s="103">
        <f t="shared" si="0"/>
        <v>0</v>
      </c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94"/>
    </row>
    <row r="39" spans="2:16" ht="21.75" customHeight="1">
      <c r="B39" s="159"/>
      <c r="C39" s="133"/>
      <c r="D39" s="116" t="s">
        <v>41</v>
      </c>
      <c r="E39" s="103">
        <f t="shared" si="0"/>
        <v>0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</row>
    <row r="40" spans="2:16" ht="21.75" customHeight="1">
      <c r="B40" s="159"/>
      <c r="C40" s="133"/>
      <c r="D40" s="116" t="s">
        <v>42</v>
      </c>
      <c r="E40" s="103">
        <f t="shared" si="0"/>
        <v>0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</row>
    <row r="41" spans="2:16" ht="21.75" customHeight="1" thickBot="1">
      <c r="B41" s="159"/>
      <c r="C41" s="134"/>
      <c r="D41" s="117" t="s">
        <v>43</v>
      </c>
      <c r="E41" s="103">
        <f t="shared" si="0"/>
        <v>0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83"/>
    </row>
    <row r="42" spans="2:16" ht="21.75" customHeight="1">
      <c r="B42" s="160"/>
      <c r="C42" s="163" t="s">
        <v>0</v>
      </c>
      <c r="D42" s="64" t="s">
        <v>44</v>
      </c>
      <c r="E42" s="103">
        <f t="shared" si="0"/>
        <v>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95"/>
    </row>
    <row r="43" spans="2:16" ht="21.75" customHeight="1">
      <c r="B43" s="160"/>
      <c r="C43" s="164"/>
      <c r="D43" s="32" t="s">
        <v>46</v>
      </c>
      <c r="E43" s="103">
        <f t="shared" si="0"/>
        <v>0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4"/>
    </row>
    <row r="44" spans="2:16" ht="21.75" customHeight="1">
      <c r="B44" s="160"/>
      <c r="C44" s="164"/>
      <c r="D44" s="32" t="s">
        <v>45</v>
      </c>
      <c r="E44" s="103">
        <f t="shared" si="0"/>
        <v>0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4"/>
    </row>
    <row r="45" spans="2:16" ht="21.75" customHeight="1">
      <c r="B45" s="160"/>
      <c r="C45" s="164"/>
      <c r="D45" s="32" t="s">
        <v>47</v>
      </c>
      <c r="E45" s="103">
        <f t="shared" si="0"/>
        <v>0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4"/>
    </row>
    <row r="46" spans="2:16" ht="21.75" customHeight="1">
      <c r="B46" s="160"/>
      <c r="C46" s="165"/>
      <c r="D46" s="76" t="s">
        <v>48</v>
      </c>
      <c r="E46" s="103" t="s">
        <v>74</v>
      </c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96"/>
    </row>
    <row r="47" spans="2:16" ht="21.75" customHeight="1" thickBot="1">
      <c r="B47" s="160"/>
      <c r="C47" s="166"/>
      <c r="D47" s="66" t="s">
        <v>3</v>
      </c>
      <c r="E47" s="103">
        <f t="shared" si="0"/>
        <v>0</v>
      </c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97"/>
    </row>
    <row r="48" spans="2:16" ht="21.75" customHeight="1">
      <c r="B48" s="159"/>
      <c r="C48" s="167" t="s">
        <v>50</v>
      </c>
      <c r="D48" s="62" t="s">
        <v>51</v>
      </c>
      <c r="E48" s="103">
        <f t="shared" si="0"/>
        <v>0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98"/>
    </row>
    <row r="49" spans="2:16" ht="21.75" customHeight="1">
      <c r="B49" s="159"/>
      <c r="C49" s="168"/>
      <c r="D49" s="23" t="s">
        <v>52</v>
      </c>
      <c r="E49" s="103">
        <f t="shared" si="0"/>
        <v>0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5"/>
    </row>
    <row r="50" spans="2:16" ht="21.75" customHeight="1">
      <c r="B50" s="159"/>
      <c r="C50" s="168"/>
      <c r="D50" s="23" t="s">
        <v>53</v>
      </c>
      <c r="E50" s="103">
        <f t="shared" si="0"/>
        <v>0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5"/>
    </row>
    <row r="51" spans="2:16" ht="21.75" customHeight="1">
      <c r="B51" s="159"/>
      <c r="C51" s="168"/>
      <c r="D51" s="23" t="s">
        <v>54</v>
      </c>
      <c r="E51" s="103">
        <f t="shared" si="0"/>
        <v>0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5"/>
    </row>
    <row r="52" spans="2:16" ht="21.75" customHeight="1" thickBot="1">
      <c r="B52" s="161"/>
      <c r="C52" s="169"/>
      <c r="D52" s="68" t="s">
        <v>55</v>
      </c>
      <c r="E52" s="103">
        <f t="shared" si="0"/>
        <v>0</v>
      </c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99"/>
    </row>
    <row r="53" spans="2:16" ht="21.75" customHeight="1">
      <c r="B53" s="170" t="s">
        <v>58</v>
      </c>
      <c r="C53" s="171"/>
      <c r="D53" s="109" t="s">
        <v>4</v>
      </c>
      <c r="E53" s="103">
        <f t="shared" si="0"/>
        <v>0</v>
      </c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100"/>
    </row>
    <row r="54" spans="2:16" ht="21.75" customHeight="1">
      <c r="B54" s="172"/>
      <c r="C54" s="173"/>
      <c r="D54" s="110" t="s">
        <v>56</v>
      </c>
      <c r="E54" s="103">
        <f t="shared" si="0"/>
        <v>0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7"/>
    </row>
    <row r="55" spans="2:16" ht="21.75" customHeight="1">
      <c r="B55" s="172"/>
      <c r="C55" s="173"/>
      <c r="D55" s="110" t="s">
        <v>5</v>
      </c>
      <c r="E55" s="103">
        <f t="shared" si="0"/>
        <v>0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7"/>
    </row>
    <row r="56" spans="2:16" ht="21.75" customHeight="1" thickBot="1">
      <c r="B56" s="174"/>
      <c r="C56" s="175"/>
      <c r="D56" s="111" t="s">
        <v>57</v>
      </c>
      <c r="E56" s="103">
        <f t="shared" si="0"/>
        <v>0</v>
      </c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101"/>
    </row>
    <row r="57" spans="2:16" ht="21.75" customHeight="1">
      <c r="B57" s="162" t="s">
        <v>62</v>
      </c>
      <c r="C57" s="176"/>
      <c r="D57" s="112" t="s">
        <v>60</v>
      </c>
      <c r="E57" s="103">
        <f t="shared" si="0"/>
        <v>0</v>
      </c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94"/>
    </row>
    <row r="58" spans="2:16" ht="21.75" customHeight="1" thickBot="1">
      <c r="B58" s="177"/>
      <c r="C58" s="178"/>
      <c r="D58" s="113" t="s">
        <v>59</v>
      </c>
      <c r="E58" s="103">
        <f t="shared" si="0"/>
        <v>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6"/>
    </row>
    <row r="59" spans="2:16" ht="21.75" customHeight="1">
      <c r="B59" s="154" t="s">
        <v>63</v>
      </c>
      <c r="C59" s="155"/>
      <c r="D59" s="107" t="s">
        <v>6</v>
      </c>
      <c r="E59" s="103">
        <f t="shared" si="0"/>
        <v>0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2"/>
    </row>
    <row r="60" spans="2:16" ht="21.75" customHeight="1" thickBot="1">
      <c r="B60" s="156"/>
      <c r="C60" s="157"/>
      <c r="D60" s="74" t="s">
        <v>61</v>
      </c>
      <c r="E60" s="104">
        <f t="shared" si="0"/>
        <v>0</v>
      </c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102"/>
    </row>
  </sheetData>
  <mergeCells count="27">
    <mergeCell ref="B59:C60"/>
    <mergeCell ref="B38:B52"/>
    <mergeCell ref="C38:C41"/>
    <mergeCell ref="C42:C47"/>
    <mergeCell ref="C48:C52"/>
    <mergeCell ref="B53:C56"/>
    <mergeCell ref="B57:C58"/>
    <mergeCell ref="B10:B12"/>
    <mergeCell ref="C10:C12"/>
    <mergeCell ref="B13:B37"/>
    <mergeCell ref="C13:C19"/>
    <mergeCell ref="C20:C28"/>
    <mergeCell ref="C29:C30"/>
    <mergeCell ref="C31:C35"/>
    <mergeCell ref="C36:C37"/>
    <mergeCell ref="N2:O3"/>
    <mergeCell ref="B4:D4"/>
    <mergeCell ref="B9:D9"/>
    <mergeCell ref="B2:D3"/>
    <mergeCell ref="E2:E3"/>
    <mergeCell ref="F2:K3"/>
    <mergeCell ref="L2:M3"/>
    <mergeCell ref="B5:D5"/>
    <mergeCell ref="E5:E8"/>
    <mergeCell ref="B6:D6"/>
    <mergeCell ref="B7:D7"/>
    <mergeCell ref="B8:D8"/>
  </mergeCells>
  <phoneticPr fontId="1" type="noConversion"/>
  <pageMargins left="3.937007874015748E-2" right="3.937007874015748E-2" top="0.74803149606299213" bottom="0.74803149606299213" header="0.31496062992125984" footer="0.31496062992125984"/>
  <pageSetup paperSize="9" scale="56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0"/>
  <sheetViews>
    <sheetView workbookViewId="0">
      <selection activeCell="E24" sqref="E24"/>
    </sheetView>
  </sheetViews>
  <sheetFormatPr defaultRowHeight="13.5"/>
  <cols>
    <col min="1" max="1" width="9" style="1"/>
    <col min="2" max="2" width="5.25" style="1" customWidth="1"/>
    <col min="3" max="3" width="6.25" style="1" customWidth="1"/>
    <col min="4" max="4" width="17.875" style="1" customWidth="1"/>
    <col min="5" max="5" width="11.25" style="1" customWidth="1"/>
    <col min="6" max="16" width="10.625" style="1" customWidth="1"/>
    <col min="17" max="16384" width="9" style="1"/>
  </cols>
  <sheetData>
    <row r="2" spans="2:16" ht="16.5" customHeight="1">
      <c r="B2" s="124"/>
      <c r="C2" s="124"/>
      <c r="D2" s="124"/>
      <c r="E2" s="124" t="s">
        <v>77</v>
      </c>
      <c r="F2" s="126" t="s">
        <v>75</v>
      </c>
      <c r="G2" s="126"/>
      <c r="H2" s="126"/>
      <c r="I2" s="126"/>
      <c r="J2" s="126"/>
      <c r="K2" s="126"/>
      <c r="L2" s="124"/>
      <c r="M2" s="124"/>
      <c r="N2" s="118" t="s">
        <v>76</v>
      </c>
      <c r="O2" s="118"/>
      <c r="P2" s="105"/>
    </row>
    <row r="3" spans="2:16" ht="17.25" customHeight="1" thickBot="1">
      <c r="B3" s="125"/>
      <c r="C3" s="125"/>
      <c r="D3" s="125"/>
      <c r="E3" s="125"/>
      <c r="F3" s="127"/>
      <c r="G3" s="127"/>
      <c r="H3" s="127"/>
      <c r="I3" s="127"/>
      <c r="J3" s="127"/>
      <c r="K3" s="127"/>
      <c r="L3" s="125"/>
      <c r="M3" s="125"/>
      <c r="N3" s="119"/>
      <c r="O3" s="119"/>
      <c r="P3" s="106"/>
    </row>
    <row r="4" spans="2:16" ht="21.75" customHeight="1">
      <c r="B4" s="120" t="s">
        <v>73</v>
      </c>
      <c r="C4" s="121"/>
      <c r="D4" s="121"/>
      <c r="E4" s="3" t="s">
        <v>66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7</v>
      </c>
      <c r="M4" s="2">
        <v>8</v>
      </c>
      <c r="N4" s="2">
        <v>9</v>
      </c>
      <c r="O4" s="2">
        <v>10</v>
      </c>
      <c r="P4" s="80">
        <v>11</v>
      </c>
    </row>
    <row r="5" spans="2:16" ht="21.75" customHeight="1">
      <c r="B5" s="128" t="s">
        <v>68</v>
      </c>
      <c r="C5" s="129"/>
      <c r="D5" s="129"/>
      <c r="E5" s="130" t="s">
        <v>65</v>
      </c>
      <c r="F5" s="4"/>
      <c r="G5" s="4"/>
      <c r="H5" s="4"/>
      <c r="I5" s="4"/>
      <c r="J5" s="4"/>
      <c r="K5" s="4"/>
      <c r="L5" s="4"/>
      <c r="M5" s="4"/>
      <c r="N5" s="4"/>
      <c r="O5" s="4"/>
      <c r="P5" s="79"/>
    </row>
    <row r="6" spans="2:16" ht="21.75" customHeight="1">
      <c r="B6" s="128" t="s">
        <v>69</v>
      </c>
      <c r="C6" s="129"/>
      <c r="D6" s="129"/>
      <c r="E6" s="130"/>
      <c r="F6" s="9"/>
      <c r="G6" s="9"/>
      <c r="H6" s="9"/>
      <c r="I6" s="9"/>
      <c r="J6" s="9"/>
      <c r="K6" s="9"/>
      <c r="L6" s="9"/>
      <c r="M6" s="9"/>
      <c r="N6" s="9"/>
      <c r="O6" s="9"/>
      <c r="P6" s="81"/>
    </row>
    <row r="7" spans="2:16" ht="21.75" customHeight="1">
      <c r="B7" s="128" t="s">
        <v>70</v>
      </c>
      <c r="C7" s="129"/>
      <c r="D7" s="129"/>
      <c r="E7" s="130"/>
      <c r="F7" s="8"/>
      <c r="G7" s="8"/>
      <c r="H7" s="8"/>
      <c r="I7" s="8"/>
      <c r="J7" s="8"/>
      <c r="K7" s="8"/>
      <c r="L7" s="8"/>
      <c r="M7" s="8"/>
      <c r="N7" s="8"/>
      <c r="O7" s="8"/>
      <c r="P7" s="82"/>
    </row>
    <row r="8" spans="2:16" ht="32.25" customHeight="1" thickBot="1">
      <c r="B8" s="128" t="s">
        <v>71</v>
      </c>
      <c r="C8" s="129"/>
      <c r="D8" s="129"/>
      <c r="E8" s="131"/>
      <c r="F8" s="8"/>
      <c r="G8" s="8"/>
      <c r="H8" s="8"/>
      <c r="I8" s="8"/>
      <c r="J8" s="8"/>
      <c r="K8" s="8"/>
      <c r="L8" s="8"/>
      <c r="M8" s="8"/>
      <c r="N8" s="8"/>
      <c r="O8" s="8"/>
      <c r="P8" s="82"/>
    </row>
    <row r="9" spans="2:16" ht="21.75" customHeight="1" thickBot="1">
      <c r="B9" s="122" t="s">
        <v>72</v>
      </c>
      <c r="C9" s="123"/>
      <c r="D9" s="123"/>
      <c r="E9" s="78">
        <f>F9+G9+H9+I9+J9+K9+L9+M9+N9+O9+P9</f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0"/>
    </row>
    <row r="10" spans="2:16" ht="21.75" customHeight="1">
      <c r="B10" s="132" t="s">
        <v>7</v>
      </c>
      <c r="C10" s="135" t="s">
        <v>8</v>
      </c>
      <c r="D10" s="5" t="s">
        <v>9</v>
      </c>
      <c r="E10" s="103">
        <f>F10+G10+H10+I10+J10+K10+L10+M10+N10+O10+P10</f>
        <v>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2:16" ht="21.75" customHeight="1">
      <c r="B11" s="133"/>
      <c r="C11" s="136"/>
      <c r="D11" s="6" t="s">
        <v>10</v>
      </c>
      <c r="E11" s="103">
        <f t="shared" ref="E11:E60" si="0">F11+G11+H11+I11+J11+K11+L11+M11+N11+O11+P11</f>
        <v>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/>
    </row>
    <row r="12" spans="2:16" ht="21.75" customHeight="1" thickBot="1">
      <c r="B12" s="134"/>
      <c r="C12" s="137"/>
      <c r="D12" s="38" t="s">
        <v>11</v>
      </c>
      <c r="E12" s="103">
        <f t="shared" si="0"/>
        <v>0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83"/>
    </row>
    <row r="13" spans="2:16" ht="21.75" customHeight="1">
      <c r="B13" s="138" t="s">
        <v>12</v>
      </c>
      <c r="C13" s="141" t="s">
        <v>13</v>
      </c>
      <c r="D13" s="40" t="s">
        <v>14</v>
      </c>
      <c r="E13" s="103">
        <f t="shared" si="0"/>
        <v>0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84"/>
    </row>
    <row r="14" spans="2:16" ht="21.75" customHeight="1">
      <c r="B14" s="139"/>
      <c r="C14" s="142"/>
      <c r="D14" s="18" t="s">
        <v>15</v>
      </c>
      <c r="E14" s="103">
        <f t="shared" si="0"/>
        <v>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</row>
    <row r="15" spans="2:16" ht="21.75" customHeight="1">
      <c r="B15" s="139"/>
      <c r="C15" s="142"/>
      <c r="D15" s="18" t="s">
        <v>16</v>
      </c>
      <c r="E15" s="103">
        <f t="shared" si="0"/>
        <v>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</row>
    <row r="16" spans="2:16" ht="21.75" customHeight="1">
      <c r="B16" s="139"/>
      <c r="C16" s="142"/>
      <c r="D16" s="18" t="s">
        <v>67</v>
      </c>
      <c r="E16" s="103">
        <f t="shared" si="0"/>
        <v>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</row>
    <row r="17" spans="2:16" ht="21.75" customHeight="1">
      <c r="B17" s="139"/>
      <c r="C17" s="142"/>
      <c r="D17" s="18" t="s">
        <v>17</v>
      </c>
      <c r="E17" s="103">
        <f t="shared" si="0"/>
        <v>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</row>
    <row r="18" spans="2:16" ht="21.75" customHeight="1">
      <c r="B18" s="139"/>
      <c r="C18" s="142"/>
      <c r="D18" s="18" t="s">
        <v>18</v>
      </c>
      <c r="E18" s="103">
        <f t="shared" si="0"/>
        <v>0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</row>
    <row r="19" spans="2:16" ht="21.75" customHeight="1" thickBot="1">
      <c r="B19" s="139"/>
      <c r="C19" s="143"/>
      <c r="D19" s="42" t="s">
        <v>19</v>
      </c>
      <c r="E19" s="103">
        <f t="shared" si="0"/>
        <v>0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85"/>
    </row>
    <row r="20" spans="2:16" ht="21.75" customHeight="1">
      <c r="B20" s="139"/>
      <c r="C20" s="144" t="s">
        <v>20</v>
      </c>
      <c r="D20" s="44" t="s">
        <v>26</v>
      </c>
      <c r="E20" s="103">
        <f t="shared" si="0"/>
        <v>0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86"/>
    </row>
    <row r="21" spans="2:16" ht="21.75" customHeight="1">
      <c r="B21" s="139"/>
      <c r="C21" s="145"/>
      <c r="D21" s="26" t="s">
        <v>21</v>
      </c>
      <c r="E21" s="103">
        <f t="shared" si="0"/>
        <v>0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21.75" customHeight="1">
      <c r="B22" s="139"/>
      <c r="C22" s="145"/>
      <c r="D22" s="26" t="s">
        <v>22</v>
      </c>
      <c r="E22" s="103">
        <f t="shared" si="0"/>
        <v>0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</row>
    <row r="23" spans="2:16" ht="21.75" customHeight="1">
      <c r="B23" s="139"/>
      <c r="C23" s="145"/>
      <c r="D23" s="26" t="s">
        <v>23</v>
      </c>
      <c r="E23" s="103">
        <f t="shared" si="0"/>
        <v>0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</row>
    <row r="24" spans="2:16" ht="21.75" customHeight="1">
      <c r="B24" s="139"/>
      <c r="C24" s="145"/>
      <c r="D24" s="26" t="s">
        <v>24</v>
      </c>
      <c r="E24" s="103">
        <f t="shared" si="0"/>
        <v>0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/>
    </row>
    <row r="25" spans="2:16" ht="21.75" customHeight="1">
      <c r="B25" s="139"/>
      <c r="C25" s="145"/>
      <c r="D25" s="26" t="s">
        <v>25</v>
      </c>
      <c r="E25" s="103">
        <f t="shared" si="0"/>
        <v>0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</row>
    <row r="26" spans="2:16" ht="21.75" customHeight="1">
      <c r="B26" s="139"/>
      <c r="C26" s="145"/>
      <c r="D26" s="26" t="s">
        <v>1</v>
      </c>
      <c r="E26" s="103">
        <f t="shared" si="0"/>
        <v>0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</row>
    <row r="27" spans="2:16" ht="21.75" customHeight="1">
      <c r="B27" s="139"/>
      <c r="C27" s="145"/>
      <c r="D27" s="26" t="s">
        <v>27</v>
      </c>
      <c r="E27" s="103">
        <f t="shared" si="0"/>
        <v>0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</row>
    <row r="28" spans="2:16" ht="21.75" customHeight="1" thickBot="1">
      <c r="B28" s="139"/>
      <c r="C28" s="146"/>
      <c r="D28" s="46" t="s">
        <v>28</v>
      </c>
      <c r="E28" s="103">
        <f t="shared" si="0"/>
        <v>0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87"/>
    </row>
    <row r="29" spans="2:16" ht="21.75" customHeight="1">
      <c r="B29" s="139"/>
      <c r="C29" s="147" t="s">
        <v>29</v>
      </c>
      <c r="D29" s="48" t="s">
        <v>30</v>
      </c>
      <c r="E29" s="103">
        <f t="shared" si="0"/>
        <v>0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88"/>
    </row>
    <row r="30" spans="2:16" ht="21.75" customHeight="1" thickBot="1">
      <c r="B30" s="139"/>
      <c r="C30" s="148"/>
      <c r="D30" s="50" t="s">
        <v>31</v>
      </c>
      <c r="E30" s="103">
        <f t="shared" si="0"/>
        <v>0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89"/>
    </row>
    <row r="31" spans="2:16" ht="21.75" customHeight="1">
      <c r="B31" s="139"/>
      <c r="C31" s="149" t="s">
        <v>2</v>
      </c>
      <c r="D31" s="52" t="s">
        <v>32</v>
      </c>
      <c r="E31" s="103">
        <f t="shared" si="0"/>
        <v>0</v>
      </c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90"/>
    </row>
    <row r="32" spans="2:16" ht="21.75" customHeight="1">
      <c r="B32" s="139"/>
      <c r="C32" s="150"/>
      <c r="D32" s="29" t="s">
        <v>33</v>
      </c>
      <c r="E32" s="103">
        <f t="shared" si="0"/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</row>
    <row r="33" spans="2:16" ht="21.75" customHeight="1">
      <c r="B33" s="139"/>
      <c r="C33" s="150"/>
      <c r="D33" s="29" t="s">
        <v>34</v>
      </c>
      <c r="E33" s="103">
        <f t="shared" si="0"/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</row>
    <row r="34" spans="2:16" ht="21.75" customHeight="1">
      <c r="B34" s="139"/>
      <c r="C34" s="150"/>
      <c r="D34" s="29" t="s">
        <v>35</v>
      </c>
      <c r="E34" s="103">
        <f t="shared" si="0"/>
        <v>0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</row>
    <row r="35" spans="2:16" ht="21.75" customHeight="1" thickBot="1">
      <c r="B35" s="139"/>
      <c r="C35" s="151"/>
      <c r="D35" s="54" t="s">
        <v>37</v>
      </c>
      <c r="E35" s="103">
        <f t="shared" si="0"/>
        <v>0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91"/>
    </row>
    <row r="36" spans="2:16" ht="21.75" customHeight="1">
      <c r="B36" s="139"/>
      <c r="C36" s="152" t="s">
        <v>39</v>
      </c>
      <c r="D36" s="58" t="s">
        <v>38</v>
      </c>
      <c r="E36" s="103">
        <f t="shared" si="0"/>
        <v>0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92"/>
    </row>
    <row r="37" spans="2:16" ht="21.75" customHeight="1" thickBot="1">
      <c r="B37" s="140"/>
      <c r="C37" s="153"/>
      <c r="D37" s="60" t="s">
        <v>36</v>
      </c>
      <c r="E37" s="103">
        <f t="shared" si="0"/>
        <v>0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93"/>
    </row>
    <row r="38" spans="2:16" ht="21.75" customHeight="1">
      <c r="B38" s="158" t="s">
        <v>64</v>
      </c>
      <c r="C38" s="162" t="s">
        <v>49</v>
      </c>
      <c r="D38" s="56" t="s">
        <v>40</v>
      </c>
      <c r="E38" s="103">
        <f t="shared" si="0"/>
        <v>0</v>
      </c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94"/>
    </row>
    <row r="39" spans="2:16" ht="21.75" customHeight="1">
      <c r="B39" s="159"/>
      <c r="C39" s="133"/>
      <c r="D39" s="6" t="s">
        <v>41</v>
      </c>
      <c r="E39" s="103">
        <f t="shared" si="0"/>
        <v>0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</row>
    <row r="40" spans="2:16" ht="21.75" customHeight="1">
      <c r="B40" s="159"/>
      <c r="C40" s="133"/>
      <c r="D40" s="6" t="s">
        <v>42</v>
      </c>
      <c r="E40" s="103">
        <f t="shared" si="0"/>
        <v>0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</row>
    <row r="41" spans="2:16" ht="21.75" customHeight="1" thickBot="1">
      <c r="B41" s="159"/>
      <c r="C41" s="134"/>
      <c r="D41" s="38" t="s">
        <v>43</v>
      </c>
      <c r="E41" s="103">
        <f t="shared" si="0"/>
        <v>0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83"/>
    </row>
    <row r="42" spans="2:16" ht="21.75" customHeight="1">
      <c r="B42" s="160"/>
      <c r="C42" s="163" t="s">
        <v>0</v>
      </c>
      <c r="D42" s="64" t="s">
        <v>44</v>
      </c>
      <c r="E42" s="103">
        <f t="shared" si="0"/>
        <v>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95"/>
    </row>
    <row r="43" spans="2:16" ht="21.75" customHeight="1">
      <c r="B43" s="160"/>
      <c r="C43" s="164"/>
      <c r="D43" s="32" t="s">
        <v>46</v>
      </c>
      <c r="E43" s="103">
        <f t="shared" si="0"/>
        <v>0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4"/>
    </row>
    <row r="44" spans="2:16" ht="21.75" customHeight="1">
      <c r="B44" s="160"/>
      <c r="C44" s="164"/>
      <c r="D44" s="32" t="s">
        <v>45</v>
      </c>
      <c r="E44" s="103">
        <f t="shared" si="0"/>
        <v>0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4"/>
    </row>
    <row r="45" spans="2:16" ht="21.75" customHeight="1">
      <c r="B45" s="160"/>
      <c r="C45" s="164"/>
      <c r="D45" s="32" t="s">
        <v>47</v>
      </c>
      <c r="E45" s="103">
        <f t="shared" si="0"/>
        <v>0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4"/>
    </row>
    <row r="46" spans="2:16" ht="21.75" customHeight="1">
      <c r="B46" s="160"/>
      <c r="C46" s="165"/>
      <c r="D46" s="76" t="s">
        <v>48</v>
      </c>
      <c r="E46" s="103" t="s">
        <v>74</v>
      </c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96"/>
    </row>
    <row r="47" spans="2:16" ht="21.75" customHeight="1" thickBot="1">
      <c r="B47" s="160"/>
      <c r="C47" s="166"/>
      <c r="D47" s="66" t="s">
        <v>3</v>
      </c>
      <c r="E47" s="103">
        <f t="shared" si="0"/>
        <v>0</v>
      </c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97"/>
    </row>
    <row r="48" spans="2:16" ht="21.75" customHeight="1">
      <c r="B48" s="159"/>
      <c r="C48" s="167" t="s">
        <v>50</v>
      </c>
      <c r="D48" s="62" t="s">
        <v>51</v>
      </c>
      <c r="E48" s="103">
        <f t="shared" si="0"/>
        <v>0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98"/>
    </row>
    <row r="49" spans="2:16" ht="21.75" customHeight="1">
      <c r="B49" s="159"/>
      <c r="C49" s="168"/>
      <c r="D49" s="23" t="s">
        <v>52</v>
      </c>
      <c r="E49" s="103">
        <f t="shared" si="0"/>
        <v>0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5"/>
    </row>
    <row r="50" spans="2:16" ht="21.75" customHeight="1">
      <c r="B50" s="159"/>
      <c r="C50" s="168"/>
      <c r="D50" s="23" t="s">
        <v>53</v>
      </c>
      <c r="E50" s="103">
        <f t="shared" si="0"/>
        <v>0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5"/>
    </row>
    <row r="51" spans="2:16" ht="21.75" customHeight="1">
      <c r="B51" s="159"/>
      <c r="C51" s="168"/>
      <c r="D51" s="23" t="s">
        <v>54</v>
      </c>
      <c r="E51" s="103">
        <f t="shared" si="0"/>
        <v>0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5"/>
    </row>
    <row r="52" spans="2:16" ht="21.75" customHeight="1" thickBot="1">
      <c r="B52" s="161"/>
      <c r="C52" s="169"/>
      <c r="D52" s="68" t="s">
        <v>55</v>
      </c>
      <c r="E52" s="103">
        <f t="shared" si="0"/>
        <v>0</v>
      </c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99"/>
    </row>
    <row r="53" spans="2:16" ht="21.75" customHeight="1">
      <c r="B53" s="170" t="s">
        <v>58</v>
      </c>
      <c r="C53" s="171"/>
      <c r="D53" s="70" t="s">
        <v>4</v>
      </c>
      <c r="E53" s="103">
        <f t="shared" si="0"/>
        <v>0</v>
      </c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100"/>
    </row>
    <row r="54" spans="2:16" ht="21.75" customHeight="1">
      <c r="B54" s="172"/>
      <c r="C54" s="173"/>
      <c r="D54" s="35" t="s">
        <v>56</v>
      </c>
      <c r="E54" s="103">
        <f t="shared" si="0"/>
        <v>0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7"/>
    </row>
    <row r="55" spans="2:16" ht="21.75" customHeight="1">
      <c r="B55" s="172"/>
      <c r="C55" s="173"/>
      <c r="D55" s="35" t="s">
        <v>5</v>
      </c>
      <c r="E55" s="103">
        <f t="shared" si="0"/>
        <v>0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7"/>
    </row>
    <row r="56" spans="2:16" ht="21.75" customHeight="1" thickBot="1">
      <c r="B56" s="174"/>
      <c r="C56" s="175"/>
      <c r="D56" s="72" t="s">
        <v>57</v>
      </c>
      <c r="E56" s="103">
        <f t="shared" si="0"/>
        <v>0</v>
      </c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101"/>
    </row>
    <row r="57" spans="2:16" ht="21.75" customHeight="1">
      <c r="B57" s="162" t="s">
        <v>62</v>
      </c>
      <c r="C57" s="176"/>
      <c r="D57" s="56" t="s">
        <v>60</v>
      </c>
      <c r="E57" s="103">
        <f t="shared" si="0"/>
        <v>0</v>
      </c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94"/>
    </row>
    <row r="58" spans="2:16" ht="21.75" customHeight="1" thickBot="1">
      <c r="B58" s="177"/>
      <c r="C58" s="178"/>
      <c r="D58" s="7" t="s">
        <v>59</v>
      </c>
      <c r="E58" s="103">
        <f t="shared" si="0"/>
        <v>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6"/>
    </row>
    <row r="59" spans="2:16" ht="21.75" customHeight="1">
      <c r="B59" s="154" t="s">
        <v>63</v>
      </c>
      <c r="C59" s="155"/>
      <c r="D59" s="2" t="s">
        <v>6</v>
      </c>
      <c r="E59" s="103">
        <f t="shared" si="0"/>
        <v>0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2"/>
    </row>
    <row r="60" spans="2:16" ht="21.75" customHeight="1" thickBot="1">
      <c r="B60" s="156"/>
      <c r="C60" s="157"/>
      <c r="D60" s="74" t="s">
        <v>61</v>
      </c>
      <c r="E60" s="104">
        <f t="shared" si="0"/>
        <v>0</v>
      </c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102"/>
    </row>
  </sheetData>
  <mergeCells count="27">
    <mergeCell ref="B2:D3"/>
    <mergeCell ref="E2:E3"/>
    <mergeCell ref="F2:K3"/>
    <mergeCell ref="L2:M3"/>
    <mergeCell ref="N2:O3"/>
    <mergeCell ref="B4:D4"/>
    <mergeCell ref="B59:C60"/>
    <mergeCell ref="E5:E8"/>
    <mergeCell ref="B38:B52"/>
    <mergeCell ref="B53:C56"/>
    <mergeCell ref="B57:C58"/>
    <mergeCell ref="B5:D5"/>
    <mergeCell ref="B6:D6"/>
    <mergeCell ref="B7:D7"/>
    <mergeCell ref="B8:D8"/>
    <mergeCell ref="B9:D9"/>
    <mergeCell ref="C36:C37"/>
    <mergeCell ref="C38:C41"/>
    <mergeCell ref="C42:C47"/>
    <mergeCell ref="C48:C52"/>
    <mergeCell ref="B10:B12"/>
    <mergeCell ref="B13:B37"/>
    <mergeCell ref="C10:C12"/>
    <mergeCell ref="C13:C19"/>
    <mergeCell ref="C20:C28"/>
    <mergeCell ref="C29:C30"/>
    <mergeCell ref="C31:C35"/>
  </mergeCells>
  <phoneticPr fontId="1" type="noConversion"/>
  <pageMargins left="3.937007874015748E-2" right="3.937007874015748E-2" top="0.74803149606299213" bottom="0.74803149606299213" header="0.31496062992125984" footer="0.31496062992125984"/>
  <pageSetup paperSize="9" scale="56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고용민</vt:lpstr>
      <vt:lpstr>최유라</vt:lpstr>
      <vt:lpstr>고태경</vt:lpstr>
      <vt:lpstr>고하경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hoo</cp:lastModifiedBy>
  <cp:lastPrinted>2025-12-24T07:44:43Z</cp:lastPrinted>
  <dcterms:created xsi:type="dcterms:W3CDTF">2019-12-27T05:14:10Z</dcterms:created>
  <dcterms:modified xsi:type="dcterms:W3CDTF">2026-05-27T03:22:45Z</dcterms:modified>
</cp:coreProperties>
</file>