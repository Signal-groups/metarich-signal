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hoo\Desktop\보장분석 제안\"/>
    </mc:Choice>
  </mc:AlternateContent>
  <bookViews>
    <workbookView minimized="1" xWindow="-105" yWindow="-105" windowWidth="38625" windowHeight="21105"/>
  </bookViews>
  <sheets>
    <sheet name="홍길동님(전)" sheetId="22" r:id="rId1"/>
    <sheet name="홍길동님(후)" sheetId="25" r:id="rId2"/>
    <sheet name="빈양식" sheetId="21" r:id="rId3"/>
    <sheet name="Sheet1" sheetId="26" r:id="rId4"/>
    <sheet name="이민호 (후ㄴㅁㅇㄴ)" sheetId="8" state="hidden" r:id="rId5"/>
    <sheet name="이민호" sheetId="7" state="hidden" r:id="rId6"/>
    <sheet name="이나현님 둘째 (후)" sheetId="2" state="hidden" r:id="rId7"/>
  </sheets>
  <definedNames>
    <definedName name="_xlnm.Print_Area" localSheetId="2">빈양식!$A$1:$T$63</definedName>
    <definedName name="_xlnm.Print_Area" localSheetId="6">'이나현님 둘째 (후)'!$A$1:$R$102</definedName>
    <definedName name="_xlnm.Print_Area" localSheetId="5">이민호!$A$1:$R$114</definedName>
    <definedName name="_xlnm.Print_Area" localSheetId="4">'이민호 (후ㄴㅁㅇㄴ)'!$A$1:$R$59</definedName>
    <definedName name="_xlnm.Print_Area" localSheetId="0">'홍길동님(전)'!$A$1:$T$63</definedName>
    <definedName name="_xlnm.Print_Area" localSheetId="1">'홍길동님(후)'!$A$1:$T$63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2" l="1"/>
  <c r="E9" i="22"/>
  <c r="C10" i="22"/>
  <c r="E10" i="22"/>
  <c r="C11" i="22"/>
  <c r="E11" i="22"/>
  <c r="G9" i="25" l="1"/>
  <c r="E9" i="25"/>
  <c r="O261" i="25"/>
  <c r="M261" i="25"/>
  <c r="K261" i="25"/>
  <c r="I261" i="25"/>
  <c r="G261" i="25"/>
  <c r="E261" i="25"/>
  <c r="O198" i="25"/>
  <c r="M198" i="25"/>
  <c r="K198" i="25"/>
  <c r="I198" i="25"/>
  <c r="G198" i="25"/>
  <c r="E198" i="25"/>
  <c r="O135" i="25"/>
  <c r="M135" i="25"/>
  <c r="K135" i="25"/>
  <c r="I135" i="25"/>
  <c r="G135" i="25"/>
  <c r="E135" i="25"/>
  <c r="T92" i="25"/>
  <c r="T155" i="25" s="1"/>
  <c r="T218" i="25" s="1"/>
  <c r="T281" i="25" s="1"/>
  <c r="T77" i="25"/>
  <c r="T140" i="25" s="1"/>
  <c r="T203" i="25" s="1"/>
  <c r="T266" i="25" s="1"/>
  <c r="T76" i="25"/>
  <c r="T139" i="25" s="1"/>
  <c r="T202" i="25" s="1"/>
  <c r="T265" i="25" s="1"/>
  <c r="O72" i="25"/>
  <c r="M72" i="25"/>
  <c r="K72" i="25"/>
  <c r="I72" i="25"/>
  <c r="G72" i="25"/>
  <c r="E72" i="25"/>
  <c r="C72" i="25"/>
  <c r="A64" i="25"/>
  <c r="A127" i="25" s="1"/>
  <c r="A190" i="25" s="1"/>
  <c r="A253" i="25" s="1"/>
  <c r="T59" i="25"/>
  <c r="T122" i="25" s="1"/>
  <c r="T185" i="25" s="1"/>
  <c r="T248" i="25" s="1"/>
  <c r="T311" i="25" s="1"/>
  <c r="T58" i="25"/>
  <c r="T121" i="25" s="1"/>
  <c r="T184" i="25" s="1"/>
  <c r="T247" i="25" s="1"/>
  <c r="T310" i="25" s="1"/>
  <c r="T57" i="25"/>
  <c r="T120" i="25" s="1"/>
  <c r="T183" i="25" s="1"/>
  <c r="T246" i="25" s="1"/>
  <c r="T309" i="25" s="1"/>
  <c r="T56" i="25"/>
  <c r="T119" i="25" s="1"/>
  <c r="T182" i="25" s="1"/>
  <c r="T245" i="25" s="1"/>
  <c r="T308" i="25" s="1"/>
  <c r="T55" i="25"/>
  <c r="T54" i="25"/>
  <c r="T117" i="25" s="1"/>
  <c r="T180" i="25" s="1"/>
  <c r="T243" i="25" s="1"/>
  <c r="T306" i="25" s="1"/>
  <c r="T53" i="25"/>
  <c r="T116" i="25" s="1"/>
  <c r="T179" i="25" s="1"/>
  <c r="T242" i="25" s="1"/>
  <c r="T305" i="25" s="1"/>
  <c r="T52" i="25"/>
  <c r="T115" i="25" s="1"/>
  <c r="T178" i="25" s="1"/>
  <c r="T241" i="25" s="1"/>
  <c r="T304" i="25" s="1"/>
  <c r="T51" i="25"/>
  <c r="T114" i="25" s="1"/>
  <c r="T177" i="25" s="1"/>
  <c r="T240" i="25" s="1"/>
  <c r="T303" i="25" s="1"/>
  <c r="T50" i="25"/>
  <c r="T113" i="25" s="1"/>
  <c r="T176" i="25" s="1"/>
  <c r="T239" i="25" s="1"/>
  <c r="T302" i="25" s="1"/>
  <c r="T49" i="25"/>
  <c r="T112" i="25" s="1"/>
  <c r="T175" i="25" s="1"/>
  <c r="T238" i="25" s="1"/>
  <c r="T301" i="25" s="1"/>
  <c r="T48" i="25"/>
  <c r="T111" i="25" s="1"/>
  <c r="T174" i="25" s="1"/>
  <c r="T237" i="25" s="1"/>
  <c r="T300" i="25" s="1"/>
  <c r="T47" i="25"/>
  <c r="T110" i="25" s="1"/>
  <c r="T173" i="25" s="1"/>
  <c r="T236" i="25" s="1"/>
  <c r="T299" i="25" s="1"/>
  <c r="T46" i="25"/>
  <c r="T109" i="25" s="1"/>
  <c r="T172" i="25" s="1"/>
  <c r="T235" i="25" s="1"/>
  <c r="T298" i="25" s="1"/>
  <c r="T45" i="25"/>
  <c r="T108" i="25" s="1"/>
  <c r="T171" i="25" s="1"/>
  <c r="T234" i="25" s="1"/>
  <c r="T297" i="25" s="1"/>
  <c r="T44" i="25"/>
  <c r="T107" i="25" s="1"/>
  <c r="T170" i="25" s="1"/>
  <c r="T233" i="25" s="1"/>
  <c r="T296" i="25" s="1"/>
  <c r="T43" i="25"/>
  <c r="T106" i="25" s="1"/>
  <c r="T169" i="25" s="1"/>
  <c r="T232" i="25" s="1"/>
  <c r="T295" i="25" s="1"/>
  <c r="T42" i="25"/>
  <c r="T105" i="25" s="1"/>
  <c r="T168" i="25" s="1"/>
  <c r="T231" i="25" s="1"/>
  <c r="T294" i="25" s="1"/>
  <c r="T41" i="25"/>
  <c r="T104" i="25" s="1"/>
  <c r="T167" i="25" s="1"/>
  <c r="T230" i="25" s="1"/>
  <c r="T293" i="25" s="1"/>
  <c r="T40" i="25"/>
  <c r="T103" i="25" s="1"/>
  <c r="T166" i="25" s="1"/>
  <c r="T229" i="25" s="1"/>
  <c r="T292" i="25" s="1"/>
  <c r="T39" i="25"/>
  <c r="T102" i="25" s="1"/>
  <c r="T165" i="25" s="1"/>
  <c r="T228" i="25" s="1"/>
  <c r="T291" i="25" s="1"/>
  <c r="T38" i="25"/>
  <c r="T101" i="25" s="1"/>
  <c r="T164" i="25" s="1"/>
  <c r="T227" i="25" s="1"/>
  <c r="T290" i="25" s="1"/>
  <c r="T37" i="25"/>
  <c r="T100" i="25" s="1"/>
  <c r="T163" i="25" s="1"/>
  <c r="T226" i="25" s="1"/>
  <c r="T289" i="25" s="1"/>
  <c r="T36" i="25"/>
  <c r="T99" i="25" s="1"/>
  <c r="T162" i="25" s="1"/>
  <c r="T225" i="25" s="1"/>
  <c r="T288" i="25" s="1"/>
  <c r="T35" i="25"/>
  <c r="T98" i="25" s="1"/>
  <c r="T161" i="25" s="1"/>
  <c r="T224" i="25" s="1"/>
  <c r="T287" i="25" s="1"/>
  <c r="T34" i="25"/>
  <c r="T97" i="25" s="1"/>
  <c r="T160" i="25" s="1"/>
  <c r="T223" i="25" s="1"/>
  <c r="T286" i="25" s="1"/>
  <c r="T33" i="25"/>
  <c r="T96" i="25" s="1"/>
  <c r="T159" i="25" s="1"/>
  <c r="T222" i="25" s="1"/>
  <c r="T285" i="25" s="1"/>
  <c r="T32" i="25"/>
  <c r="T95" i="25" s="1"/>
  <c r="T158" i="25" s="1"/>
  <c r="T221" i="25" s="1"/>
  <c r="T284" i="25" s="1"/>
  <c r="T31" i="25"/>
  <c r="T94" i="25" s="1"/>
  <c r="T157" i="25" s="1"/>
  <c r="T220" i="25" s="1"/>
  <c r="T283" i="25" s="1"/>
  <c r="T30" i="25"/>
  <c r="T93" i="25" s="1"/>
  <c r="T156" i="25" s="1"/>
  <c r="T219" i="25" s="1"/>
  <c r="T282" i="25" s="1"/>
  <c r="T29" i="25"/>
  <c r="T28" i="25"/>
  <c r="T91" i="25" s="1"/>
  <c r="T154" i="25" s="1"/>
  <c r="T217" i="25" s="1"/>
  <c r="T280" i="25" s="1"/>
  <c r="T27" i="25"/>
  <c r="T90" i="25" s="1"/>
  <c r="T153" i="25" s="1"/>
  <c r="T216" i="25" s="1"/>
  <c r="T279" i="25" s="1"/>
  <c r="T26" i="25"/>
  <c r="T89" i="25" s="1"/>
  <c r="T152" i="25" s="1"/>
  <c r="T215" i="25" s="1"/>
  <c r="T278" i="25" s="1"/>
  <c r="T25" i="25"/>
  <c r="T88" i="25" s="1"/>
  <c r="T24" i="25"/>
  <c r="T87" i="25" s="1"/>
  <c r="T23" i="25"/>
  <c r="T86" i="25" s="1"/>
  <c r="T149" i="25" s="1"/>
  <c r="T212" i="25" s="1"/>
  <c r="T275" i="25" s="1"/>
  <c r="T22" i="25"/>
  <c r="T85" i="25" s="1"/>
  <c r="T148" i="25" s="1"/>
  <c r="T211" i="25" s="1"/>
  <c r="T274" i="25" s="1"/>
  <c r="T21" i="25"/>
  <c r="T84" i="25" s="1"/>
  <c r="T147" i="25" s="1"/>
  <c r="T210" i="25" s="1"/>
  <c r="T273" i="25" s="1"/>
  <c r="T20" i="25"/>
  <c r="T83" i="25" s="1"/>
  <c r="T146" i="25" s="1"/>
  <c r="T209" i="25" s="1"/>
  <c r="T272" i="25" s="1"/>
  <c r="T19" i="25"/>
  <c r="T82" i="25" s="1"/>
  <c r="T145" i="25" s="1"/>
  <c r="T208" i="25" s="1"/>
  <c r="T271" i="25" s="1"/>
  <c r="T18" i="25"/>
  <c r="T81" i="25" s="1"/>
  <c r="T144" i="25" s="1"/>
  <c r="T207" i="25" s="1"/>
  <c r="T270" i="25" s="1"/>
  <c r="T17" i="25"/>
  <c r="T80" i="25" s="1"/>
  <c r="T143" i="25" s="1"/>
  <c r="T206" i="25" s="1"/>
  <c r="T269" i="25" s="1"/>
  <c r="T16" i="25"/>
  <c r="T79" i="25" s="1"/>
  <c r="T142" i="25" s="1"/>
  <c r="T205" i="25" s="1"/>
  <c r="T268" i="25" s="1"/>
  <c r="T15" i="25"/>
  <c r="T78" i="25" s="1"/>
  <c r="T141" i="25" s="1"/>
  <c r="T204" i="25" s="1"/>
  <c r="T267" i="25" s="1"/>
  <c r="T14" i="25"/>
  <c r="T13" i="25"/>
  <c r="T12" i="25"/>
  <c r="T75" i="25" s="1"/>
  <c r="T138" i="25" s="1"/>
  <c r="T201" i="25" s="1"/>
  <c r="T264" i="25" s="1"/>
  <c r="O9" i="25"/>
  <c r="M9" i="25"/>
  <c r="K9" i="25"/>
  <c r="I9" i="25"/>
  <c r="C9" i="25"/>
  <c r="T8" i="25"/>
  <c r="T71" i="25" s="1"/>
  <c r="T134" i="25" s="1"/>
  <c r="T197" i="25" s="1"/>
  <c r="T260" i="25" s="1"/>
  <c r="T1" i="25"/>
  <c r="J257" i="25" s="1"/>
  <c r="I262" i="25" s="1"/>
  <c r="I263" i="25" s="1"/>
  <c r="T9" i="25" l="1"/>
  <c r="T72" i="25" s="1"/>
  <c r="T135" i="25" s="1"/>
  <c r="T198" i="25" s="1"/>
  <c r="T261" i="25" s="1"/>
  <c r="H5" i="25"/>
  <c r="G10" i="25" s="1"/>
  <c r="G11" i="25" s="1"/>
  <c r="F5" i="25"/>
  <c r="E10" i="25" s="1"/>
  <c r="E11" i="25" s="1"/>
  <c r="P194" i="25"/>
  <c r="O199" i="25" s="1"/>
  <c r="O200" i="25" s="1"/>
  <c r="N194" i="25"/>
  <c r="M199" i="25" s="1"/>
  <c r="M200" i="25" s="1"/>
  <c r="N131" i="25"/>
  <c r="M136" i="25" s="1"/>
  <c r="M137" i="25" s="1"/>
  <c r="F68" i="25"/>
  <c r="E73" i="25" s="1"/>
  <c r="E74" i="25" s="1"/>
  <c r="H68" i="25"/>
  <c r="G73" i="25" s="1"/>
  <c r="G74" i="25" s="1"/>
  <c r="L257" i="25"/>
  <c r="K262" i="25" s="1"/>
  <c r="K263" i="25" s="1"/>
  <c r="P131" i="25"/>
  <c r="O136" i="25" s="1"/>
  <c r="O137" i="25" s="1"/>
  <c r="J5" i="25"/>
  <c r="I10" i="25" s="1"/>
  <c r="I11" i="25" s="1"/>
  <c r="P257" i="25"/>
  <c r="O262" i="25" s="1"/>
  <c r="O263" i="25" s="1"/>
  <c r="J131" i="25"/>
  <c r="I136" i="25" s="1"/>
  <c r="I137" i="25" s="1"/>
  <c r="J194" i="25"/>
  <c r="I199" i="25" s="1"/>
  <c r="I200" i="25" s="1"/>
  <c r="J68" i="25"/>
  <c r="I73" i="25" s="1"/>
  <c r="I74" i="25" s="1"/>
  <c r="L68" i="25"/>
  <c r="K73" i="25" s="1"/>
  <c r="K74" i="25" s="1"/>
  <c r="L5" i="25"/>
  <c r="K10" i="25" s="1"/>
  <c r="K11" i="25" s="1"/>
  <c r="N68" i="25"/>
  <c r="M73" i="25" s="1"/>
  <c r="M74" i="25" s="1"/>
  <c r="N5" i="25"/>
  <c r="M10" i="25" s="1"/>
  <c r="M11" i="25" s="1"/>
  <c r="P68" i="25"/>
  <c r="O73" i="25" s="1"/>
  <c r="O74" i="25" s="1"/>
  <c r="P5" i="25"/>
  <c r="O10" i="25" s="1"/>
  <c r="O11" i="25" s="1"/>
  <c r="F131" i="25"/>
  <c r="E136" i="25" s="1"/>
  <c r="E137" i="25" s="1"/>
  <c r="N257" i="25"/>
  <c r="M262" i="25" s="1"/>
  <c r="M263" i="25" s="1"/>
  <c r="H131" i="25"/>
  <c r="G136" i="25" s="1"/>
  <c r="G137" i="25" s="1"/>
  <c r="H194" i="25"/>
  <c r="G199" i="25" s="1"/>
  <c r="G200" i="25" s="1"/>
  <c r="L131" i="25"/>
  <c r="K136" i="25" s="1"/>
  <c r="K137" i="25" s="1"/>
  <c r="L194" i="25"/>
  <c r="K199" i="25" s="1"/>
  <c r="K200" i="25" s="1"/>
  <c r="T151" i="25"/>
  <c r="T214" i="25" s="1"/>
  <c r="T277" i="25" s="1"/>
  <c r="T150" i="25"/>
  <c r="T213" i="25" s="1"/>
  <c r="T276" i="25" s="1"/>
  <c r="D5" i="25"/>
  <c r="C10" i="25" s="1"/>
  <c r="F257" i="25"/>
  <c r="E262" i="25" s="1"/>
  <c r="E263" i="25" s="1"/>
  <c r="T64" i="25"/>
  <c r="T127" i="25" s="1"/>
  <c r="T190" i="25" s="1"/>
  <c r="T253" i="25" s="1"/>
  <c r="H257" i="25"/>
  <c r="G262" i="25" s="1"/>
  <c r="G263" i="25" s="1"/>
  <c r="T118" i="25"/>
  <c r="T181" i="25" s="1"/>
  <c r="T244" i="25" s="1"/>
  <c r="T307" i="25" s="1"/>
  <c r="D68" i="25"/>
  <c r="C73" i="25" s="1"/>
  <c r="C74" i="25" s="1"/>
  <c r="F194" i="25"/>
  <c r="E199" i="25" s="1"/>
  <c r="E200" i="25" s="1"/>
  <c r="O261" i="22"/>
  <c r="M261" i="22"/>
  <c r="K261" i="22"/>
  <c r="I261" i="22"/>
  <c r="G261" i="22"/>
  <c r="E261" i="22"/>
  <c r="O198" i="22"/>
  <c r="M198" i="22"/>
  <c r="K198" i="22"/>
  <c r="I198" i="22"/>
  <c r="G198" i="22"/>
  <c r="E198" i="22"/>
  <c r="O135" i="22"/>
  <c r="M135" i="22"/>
  <c r="K135" i="22"/>
  <c r="I135" i="22"/>
  <c r="G135" i="22"/>
  <c r="E135" i="22"/>
  <c r="O72" i="22"/>
  <c r="M72" i="22"/>
  <c r="K72" i="22"/>
  <c r="I72" i="22"/>
  <c r="G72" i="22"/>
  <c r="E72" i="22"/>
  <c r="C72" i="22"/>
  <c r="A64" i="22"/>
  <c r="A127" i="22" s="1"/>
  <c r="A190" i="22" s="1"/>
  <c r="A253" i="22" s="1"/>
  <c r="T59" i="22"/>
  <c r="T122" i="22" s="1"/>
  <c r="T185" i="22" s="1"/>
  <c r="T248" i="22" s="1"/>
  <c r="T311" i="22" s="1"/>
  <c r="T58" i="22"/>
  <c r="T121" i="22" s="1"/>
  <c r="T184" i="22" s="1"/>
  <c r="T247" i="22" s="1"/>
  <c r="T310" i="22" s="1"/>
  <c r="T57" i="22"/>
  <c r="T120" i="22" s="1"/>
  <c r="T183" i="22" s="1"/>
  <c r="T246" i="22" s="1"/>
  <c r="T309" i="22" s="1"/>
  <c r="T56" i="22"/>
  <c r="T119" i="22" s="1"/>
  <c r="T182" i="22" s="1"/>
  <c r="T245" i="22" s="1"/>
  <c r="T308" i="22" s="1"/>
  <c r="T55" i="22"/>
  <c r="T54" i="22"/>
  <c r="T117" i="22" s="1"/>
  <c r="T180" i="22" s="1"/>
  <c r="T243" i="22" s="1"/>
  <c r="T306" i="22" s="1"/>
  <c r="T53" i="22"/>
  <c r="T116" i="22" s="1"/>
  <c r="T179" i="22" s="1"/>
  <c r="T242" i="22" s="1"/>
  <c r="T305" i="22" s="1"/>
  <c r="T52" i="22"/>
  <c r="T115" i="22" s="1"/>
  <c r="T178" i="22" s="1"/>
  <c r="T241" i="22" s="1"/>
  <c r="T304" i="22" s="1"/>
  <c r="T51" i="22"/>
  <c r="T114" i="22" s="1"/>
  <c r="T177" i="22" s="1"/>
  <c r="T240" i="22" s="1"/>
  <c r="T303" i="22" s="1"/>
  <c r="T50" i="22"/>
  <c r="T113" i="22" s="1"/>
  <c r="T176" i="22" s="1"/>
  <c r="T239" i="22" s="1"/>
  <c r="T302" i="22" s="1"/>
  <c r="T49" i="22"/>
  <c r="T112" i="22" s="1"/>
  <c r="T175" i="22" s="1"/>
  <c r="T238" i="22" s="1"/>
  <c r="T301" i="22" s="1"/>
  <c r="T48" i="22"/>
  <c r="T111" i="22" s="1"/>
  <c r="T174" i="22" s="1"/>
  <c r="T237" i="22" s="1"/>
  <c r="T300" i="22" s="1"/>
  <c r="T47" i="22"/>
  <c r="T110" i="22" s="1"/>
  <c r="T173" i="22" s="1"/>
  <c r="T236" i="22" s="1"/>
  <c r="T299" i="22" s="1"/>
  <c r="T46" i="22"/>
  <c r="T109" i="22" s="1"/>
  <c r="T172" i="22" s="1"/>
  <c r="T235" i="22" s="1"/>
  <c r="T298" i="22" s="1"/>
  <c r="T45" i="22"/>
  <c r="T108" i="22" s="1"/>
  <c r="T171" i="22" s="1"/>
  <c r="T234" i="22" s="1"/>
  <c r="T297" i="22" s="1"/>
  <c r="T44" i="22"/>
  <c r="T107" i="22" s="1"/>
  <c r="T170" i="22" s="1"/>
  <c r="T233" i="22" s="1"/>
  <c r="T296" i="22" s="1"/>
  <c r="T43" i="22"/>
  <c r="T106" i="22" s="1"/>
  <c r="T169" i="22" s="1"/>
  <c r="T232" i="22" s="1"/>
  <c r="T295" i="22" s="1"/>
  <c r="T42" i="22"/>
  <c r="T105" i="22" s="1"/>
  <c r="T168" i="22" s="1"/>
  <c r="T231" i="22" s="1"/>
  <c r="T294" i="22" s="1"/>
  <c r="T41" i="22"/>
  <c r="T104" i="22" s="1"/>
  <c r="T167" i="22" s="1"/>
  <c r="T230" i="22" s="1"/>
  <c r="T293" i="22" s="1"/>
  <c r="T40" i="22"/>
  <c r="T103" i="22" s="1"/>
  <c r="T166" i="22" s="1"/>
  <c r="T229" i="22" s="1"/>
  <c r="T292" i="22" s="1"/>
  <c r="T39" i="22"/>
  <c r="T102" i="22" s="1"/>
  <c r="T165" i="22" s="1"/>
  <c r="T228" i="22" s="1"/>
  <c r="T291" i="22" s="1"/>
  <c r="T38" i="22"/>
  <c r="T101" i="22" s="1"/>
  <c r="T164" i="22" s="1"/>
  <c r="T227" i="22" s="1"/>
  <c r="T290" i="22" s="1"/>
  <c r="T37" i="22"/>
  <c r="T100" i="22" s="1"/>
  <c r="T163" i="22" s="1"/>
  <c r="T226" i="22" s="1"/>
  <c r="T289" i="22" s="1"/>
  <c r="T36" i="22"/>
  <c r="T99" i="22" s="1"/>
  <c r="T162" i="22" s="1"/>
  <c r="T225" i="22" s="1"/>
  <c r="T288" i="22" s="1"/>
  <c r="T35" i="22"/>
  <c r="T98" i="22" s="1"/>
  <c r="T161" i="22" s="1"/>
  <c r="T224" i="22" s="1"/>
  <c r="T287" i="22" s="1"/>
  <c r="T34" i="22"/>
  <c r="T97" i="22" s="1"/>
  <c r="T160" i="22" s="1"/>
  <c r="T223" i="22" s="1"/>
  <c r="T286" i="22" s="1"/>
  <c r="T33" i="22"/>
  <c r="T96" i="22" s="1"/>
  <c r="T159" i="22" s="1"/>
  <c r="T222" i="22" s="1"/>
  <c r="T285" i="22" s="1"/>
  <c r="T32" i="22"/>
  <c r="T95" i="22" s="1"/>
  <c r="T158" i="22" s="1"/>
  <c r="T221" i="22" s="1"/>
  <c r="T284" i="22" s="1"/>
  <c r="T31" i="22"/>
  <c r="T94" i="22" s="1"/>
  <c r="T157" i="22" s="1"/>
  <c r="T220" i="22" s="1"/>
  <c r="T283" i="22" s="1"/>
  <c r="T30" i="22"/>
  <c r="T93" i="22" s="1"/>
  <c r="T156" i="22" s="1"/>
  <c r="T219" i="22" s="1"/>
  <c r="T282" i="22" s="1"/>
  <c r="T29" i="22"/>
  <c r="T92" i="22" s="1"/>
  <c r="T155" i="22" s="1"/>
  <c r="T218" i="22" s="1"/>
  <c r="T281" i="22" s="1"/>
  <c r="T28" i="22"/>
  <c r="T91" i="22" s="1"/>
  <c r="T154" i="22" s="1"/>
  <c r="T217" i="22" s="1"/>
  <c r="T280" i="22" s="1"/>
  <c r="T27" i="22"/>
  <c r="T90" i="22" s="1"/>
  <c r="T153" i="22" s="1"/>
  <c r="T216" i="22" s="1"/>
  <c r="T279" i="22" s="1"/>
  <c r="T26" i="22"/>
  <c r="T89" i="22" s="1"/>
  <c r="T152" i="22" s="1"/>
  <c r="T215" i="22" s="1"/>
  <c r="T278" i="22" s="1"/>
  <c r="T25" i="22"/>
  <c r="T88" i="22" s="1"/>
  <c r="T151" i="22" s="1"/>
  <c r="T214" i="22" s="1"/>
  <c r="T277" i="22" s="1"/>
  <c r="T24" i="22"/>
  <c r="T87" i="22" s="1"/>
  <c r="T23" i="22"/>
  <c r="T86" i="22" s="1"/>
  <c r="T149" i="22" s="1"/>
  <c r="T212" i="22" s="1"/>
  <c r="T275" i="22" s="1"/>
  <c r="T22" i="22"/>
  <c r="T85" i="22" s="1"/>
  <c r="T148" i="22" s="1"/>
  <c r="T211" i="22" s="1"/>
  <c r="T274" i="22" s="1"/>
  <c r="T21" i="22"/>
  <c r="T84" i="22" s="1"/>
  <c r="T147" i="22" s="1"/>
  <c r="T210" i="22" s="1"/>
  <c r="T273" i="22" s="1"/>
  <c r="T20" i="22"/>
  <c r="T83" i="22" s="1"/>
  <c r="T146" i="22" s="1"/>
  <c r="T209" i="22" s="1"/>
  <c r="T272" i="22" s="1"/>
  <c r="T19" i="22"/>
  <c r="T82" i="22" s="1"/>
  <c r="T145" i="22" s="1"/>
  <c r="T208" i="22" s="1"/>
  <c r="T271" i="22" s="1"/>
  <c r="T18" i="22"/>
  <c r="T81" i="22" s="1"/>
  <c r="T144" i="22" s="1"/>
  <c r="T207" i="22" s="1"/>
  <c r="T270" i="22" s="1"/>
  <c r="T17" i="22"/>
  <c r="T80" i="22" s="1"/>
  <c r="T143" i="22" s="1"/>
  <c r="T206" i="22" s="1"/>
  <c r="T269" i="22" s="1"/>
  <c r="T16" i="22"/>
  <c r="T79" i="22" s="1"/>
  <c r="T142" i="22" s="1"/>
  <c r="T205" i="22" s="1"/>
  <c r="T268" i="22" s="1"/>
  <c r="T15" i="22"/>
  <c r="T78" i="22" s="1"/>
  <c r="T141" i="22" s="1"/>
  <c r="T204" i="22" s="1"/>
  <c r="T267" i="22" s="1"/>
  <c r="T14" i="22"/>
  <c r="T77" i="22" s="1"/>
  <c r="T140" i="22" s="1"/>
  <c r="T203" i="22" s="1"/>
  <c r="T266" i="22" s="1"/>
  <c r="T13" i="22"/>
  <c r="T76" i="22" s="1"/>
  <c r="T139" i="22" s="1"/>
  <c r="T202" i="22" s="1"/>
  <c r="T265" i="22" s="1"/>
  <c r="T12" i="22"/>
  <c r="T75" i="22" s="1"/>
  <c r="T138" i="22" s="1"/>
  <c r="T201" i="22" s="1"/>
  <c r="T264" i="22" s="1"/>
  <c r="O9" i="22"/>
  <c r="M9" i="22"/>
  <c r="K9" i="22"/>
  <c r="I9" i="22"/>
  <c r="G9" i="22"/>
  <c r="T8" i="22"/>
  <c r="T71" i="22" s="1"/>
  <c r="T134" i="22" s="1"/>
  <c r="T197" i="22" s="1"/>
  <c r="T260" i="22" s="1"/>
  <c r="T1" i="22"/>
  <c r="L257" i="22" s="1"/>
  <c r="K262" i="22" s="1"/>
  <c r="O261" i="21"/>
  <c r="M261" i="21"/>
  <c r="K261" i="21"/>
  <c r="I261" i="21"/>
  <c r="G261" i="21"/>
  <c r="E261" i="21"/>
  <c r="O198" i="21"/>
  <c r="M198" i="21"/>
  <c r="K198" i="21"/>
  <c r="I198" i="21"/>
  <c r="G198" i="21"/>
  <c r="E198" i="21"/>
  <c r="O135" i="21"/>
  <c r="M135" i="21"/>
  <c r="K135" i="21"/>
  <c r="I135" i="21"/>
  <c r="G135" i="21"/>
  <c r="E135" i="21"/>
  <c r="T13" i="21"/>
  <c r="T76" i="21" s="1"/>
  <c r="T139" i="21" s="1"/>
  <c r="T202" i="21" s="1"/>
  <c r="T265" i="21" s="1"/>
  <c r="T14" i="21"/>
  <c r="T77" i="21" s="1"/>
  <c r="T140" i="21" s="1"/>
  <c r="T203" i="21" s="1"/>
  <c r="T266" i="21" s="1"/>
  <c r="T15" i="21"/>
  <c r="T78" i="21" s="1"/>
  <c r="T141" i="21" s="1"/>
  <c r="T204" i="21" s="1"/>
  <c r="T267" i="21" s="1"/>
  <c r="T16" i="21"/>
  <c r="T79" i="21" s="1"/>
  <c r="T142" i="21" s="1"/>
  <c r="T205" i="21" s="1"/>
  <c r="T268" i="21" s="1"/>
  <c r="T17" i="21"/>
  <c r="T80" i="21" s="1"/>
  <c r="T143" i="21" s="1"/>
  <c r="T206" i="21" s="1"/>
  <c r="T269" i="21" s="1"/>
  <c r="T18" i="21"/>
  <c r="T81" i="21" s="1"/>
  <c r="T144" i="21" s="1"/>
  <c r="T207" i="21" s="1"/>
  <c r="T270" i="21" s="1"/>
  <c r="T19" i="21"/>
  <c r="T82" i="21" s="1"/>
  <c r="T145" i="21" s="1"/>
  <c r="T208" i="21" s="1"/>
  <c r="T271" i="21" s="1"/>
  <c r="T20" i="21"/>
  <c r="T83" i="21" s="1"/>
  <c r="T146" i="21" s="1"/>
  <c r="T209" i="21" s="1"/>
  <c r="T272" i="21" s="1"/>
  <c r="T21" i="21"/>
  <c r="T84" i="21" s="1"/>
  <c r="T147" i="21" s="1"/>
  <c r="T210" i="21" s="1"/>
  <c r="T273" i="21" s="1"/>
  <c r="T22" i="21"/>
  <c r="T85" i="21" s="1"/>
  <c r="T148" i="21" s="1"/>
  <c r="T211" i="21" s="1"/>
  <c r="T274" i="21" s="1"/>
  <c r="T23" i="21"/>
  <c r="T86" i="21" s="1"/>
  <c r="T149" i="21" s="1"/>
  <c r="T212" i="21" s="1"/>
  <c r="T275" i="21" s="1"/>
  <c r="T24" i="21"/>
  <c r="T87" i="21" s="1"/>
  <c r="T25" i="21"/>
  <c r="T88" i="21" s="1"/>
  <c r="T151" i="21" s="1"/>
  <c r="T214" i="21" s="1"/>
  <c r="T277" i="21" s="1"/>
  <c r="T26" i="21"/>
  <c r="T89" i="21" s="1"/>
  <c r="T152" i="21" s="1"/>
  <c r="T215" i="21" s="1"/>
  <c r="T278" i="21" s="1"/>
  <c r="T27" i="21"/>
  <c r="T90" i="21" s="1"/>
  <c r="T153" i="21" s="1"/>
  <c r="T216" i="21" s="1"/>
  <c r="T279" i="21" s="1"/>
  <c r="T28" i="21"/>
  <c r="T91" i="21" s="1"/>
  <c r="T154" i="21" s="1"/>
  <c r="T217" i="21" s="1"/>
  <c r="T280" i="21" s="1"/>
  <c r="T29" i="21"/>
  <c r="T92" i="21" s="1"/>
  <c r="T155" i="21" s="1"/>
  <c r="T218" i="21" s="1"/>
  <c r="T281" i="21" s="1"/>
  <c r="T30" i="21"/>
  <c r="T93" i="21" s="1"/>
  <c r="T156" i="21" s="1"/>
  <c r="T219" i="21" s="1"/>
  <c r="T282" i="21" s="1"/>
  <c r="T31" i="21"/>
  <c r="T94" i="21" s="1"/>
  <c r="T157" i="21" s="1"/>
  <c r="T220" i="21" s="1"/>
  <c r="T283" i="21" s="1"/>
  <c r="T32" i="21"/>
  <c r="T95" i="21" s="1"/>
  <c r="T158" i="21" s="1"/>
  <c r="T221" i="21" s="1"/>
  <c r="T284" i="21" s="1"/>
  <c r="T33" i="21"/>
  <c r="T96" i="21" s="1"/>
  <c r="T159" i="21" s="1"/>
  <c r="T222" i="21" s="1"/>
  <c r="T285" i="21" s="1"/>
  <c r="T34" i="21"/>
  <c r="T97" i="21" s="1"/>
  <c r="T160" i="21" s="1"/>
  <c r="T223" i="21" s="1"/>
  <c r="T286" i="21" s="1"/>
  <c r="T35" i="21"/>
  <c r="T98" i="21" s="1"/>
  <c r="T161" i="21" s="1"/>
  <c r="T224" i="21" s="1"/>
  <c r="T287" i="21" s="1"/>
  <c r="T36" i="21"/>
  <c r="T99" i="21" s="1"/>
  <c r="T162" i="21" s="1"/>
  <c r="T225" i="21" s="1"/>
  <c r="T288" i="21" s="1"/>
  <c r="T37" i="21"/>
  <c r="T100" i="21" s="1"/>
  <c r="T163" i="21" s="1"/>
  <c r="T226" i="21" s="1"/>
  <c r="T289" i="21" s="1"/>
  <c r="T38" i="21"/>
  <c r="T101" i="21" s="1"/>
  <c r="T164" i="21" s="1"/>
  <c r="T227" i="21" s="1"/>
  <c r="T290" i="21" s="1"/>
  <c r="T39" i="21"/>
  <c r="T102" i="21" s="1"/>
  <c r="T165" i="21" s="1"/>
  <c r="T228" i="21" s="1"/>
  <c r="T291" i="21" s="1"/>
  <c r="T40" i="21"/>
  <c r="T103" i="21" s="1"/>
  <c r="T166" i="21" s="1"/>
  <c r="T229" i="21" s="1"/>
  <c r="T292" i="21" s="1"/>
  <c r="T41" i="21"/>
  <c r="T104" i="21" s="1"/>
  <c r="T167" i="21" s="1"/>
  <c r="T230" i="21" s="1"/>
  <c r="T293" i="21" s="1"/>
  <c r="T42" i="21"/>
  <c r="T105" i="21" s="1"/>
  <c r="T168" i="21" s="1"/>
  <c r="T231" i="21" s="1"/>
  <c r="T294" i="21" s="1"/>
  <c r="T43" i="21"/>
  <c r="T106" i="21" s="1"/>
  <c r="T169" i="21" s="1"/>
  <c r="T232" i="21" s="1"/>
  <c r="T295" i="21" s="1"/>
  <c r="T44" i="21"/>
  <c r="T107" i="21" s="1"/>
  <c r="T170" i="21" s="1"/>
  <c r="T233" i="21" s="1"/>
  <c r="T296" i="21" s="1"/>
  <c r="T45" i="21"/>
  <c r="T108" i="21" s="1"/>
  <c r="T171" i="21" s="1"/>
  <c r="T234" i="21" s="1"/>
  <c r="T297" i="21" s="1"/>
  <c r="T46" i="21"/>
  <c r="T109" i="21" s="1"/>
  <c r="T172" i="21" s="1"/>
  <c r="T235" i="21" s="1"/>
  <c r="T298" i="21" s="1"/>
  <c r="T47" i="21"/>
  <c r="T110" i="21" s="1"/>
  <c r="T173" i="21" s="1"/>
  <c r="T236" i="21" s="1"/>
  <c r="T299" i="21" s="1"/>
  <c r="T48" i="21"/>
  <c r="T111" i="21" s="1"/>
  <c r="T174" i="21" s="1"/>
  <c r="T237" i="21" s="1"/>
  <c r="T300" i="21" s="1"/>
  <c r="T49" i="21"/>
  <c r="T112" i="21" s="1"/>
  <c r="T175" i="21" s="1"/>
  <c r="T238" i="21" s="1"/>
  <c r="T301" i="21" s="1"/>
  <c r="T50" i="21"/>
  <c r="T113" i="21" s="1"/>
  <c r="T176" i="21" s="1"/>
  <c r="T239" i="21" s="1"/>
  <c r="T302" i="21" s="1"/>
  <c r="T51" i="21"/>
  <c r="T52" i="21"/>
  <c r="T115" i="21" s="1"/>
  <c r="T178" i="21" s="1"/>
  <c r="T241" i="21" s="1"/>
  <c r="T304" i="21" s="1"/>
  <c r="T53" i="21"/>
  <c r="T118" i="21" s="1"/>
  <c r="T181" i="21" s="1"/>
  <c r="T244" i="21" s="1"/>
  <c r="T307" i="21" s="1"/>
  <c r="T54" i="21"/>
  <c r="T117" i="21" s="1"/>
  <c r="T180" i="21" s="1"/>
  <c r="T243" i="21" s="1"/>
  <c r="T306" i="21" s="1"/>
  <c r="T55" i="21"/>
  <c r="T56" i="21"/>
  <c r="T119" i="21" s="1"/>
  <c r="T182" i="21" s="1"/>
  <c r="T245" i="21" s="1"/>
  <c r="T308" i="21" s="1"/>
  <c r="T57" i="21"/>
  <c r="T120" i="21" s="1"/>
  <c r="T183" i="21" s="1"/>
  <c r="T246" i="21" s="1"/>
  <c r="T309" i="21" s="1"/>
  <c r="T58" i="21"/>
  <c r="T121" i="21" s="1"/>
  <c r="T184" i="21" s="1"/>
  <c r="T247" i="21" s="1"/>
  <c r="T310" i="21" s="1"/>
  <c r="T59" i="21"/>
  <c r="T122" i="21" s="1"/>
  <c r="T185" i="21" s="1"/>
  <c r="T248" i="21" s="1"/>
  <c r="T311" i="21" s="1"/>
  <c r="T12" i="21"/>
  <c r="T75" i="21" s="1"/>
  <c r="T138" i="21" s="1"/>
  <c r="T201" i="21" s="1"/>
  <c r="T264" i="21" s="1"/>
  <c r="T10" i="25" l="1"/>
  <c r="T73" i="25" s="1"/>
  <c r="T136" i="25" s="1"/>
  <c r="T199" i="25" s="1"/>
  <c r="T262" i="25" s="1"/>
  <c r="C11" i="25"/>
  <c r="T11" i="25" s="1"/>
  <c r="T74" i="25" s="1"/>
  <c r="T137" i="25" s="1"/>
  <c r="T200" i="25" s="1"/>
  <c r="T263" i="25" s="1"/>
  <c r="T9" i="22"/>
  <c r="T72" i="22" s="1"/>
  <c r="T135" i="22" s="1"/>
  <c r="T198" i="22" s="1"/>
  <c r="T261" i="22" s="1"/>
  <c r="J131" i="22"/>
  <c r="I136" i="22" s="1"/>
  <c r="I137" i="22" s="1"/>
  <c r="D68" i="22"/>
  <c r="C73" i="22" s="1"/>
  <c r="C74" i="22" s="1"/>
  <c r="G10" i="22"/>
  <c r="G11" i="22" s="1"/>
  <c r="P131" i="22"/>
  <c r="O136" i="22" s="1"/>
  <c r="O137" i="22" s="1"/>
  <c r="J194" i="22"/>
  <c r="I199" i="22" s="1"/>
  <c r="I200" i="22" s="1"/>
  <c r="P194" i="22"/>
  <c r="O199" i="22" s="1"/>
  <c r="O200" i="22" s="1"/>
  <c r="J257" i="22"/>
  <c r="I262" i="22" s="1"/>
  <c r="I263" i="22" s="1"/>
  <c r="J68" i="22"/>
  <c r="I73" i="22" s="1"/>
  <c r="I74" i="22" s="1"/>
  <c r="L5" i="22"/>
  <c r="K10" i="22" s="1"/>
  <c r="K11" i="22" s="1"/>
  <c r="P68" i="22"/>
  <c r="O73" i="22" s="1"/>
  <c r="O74" i="22" s="1"/>
  <c r="P257" i="22"/>
  <c r="O262" i="22" s="1"/>
  <c r="O263" i="22" s="1"/>
  <c r="K263" i="22"/>
  <c r="P5" i="22"/>
  <c r="O10" i="22" s="1"/>
  <c r="O11" i="22" s="1"/>
  <c r="H68" i="22"/>
  <c r="G73" i="22" s="1"/>
  <c r="G74" i="22" s="1"/>
  <c r="N131" i="22"/>
  <c r="M136" i="22" s="1"/>
  <c r="M137" i="22" s="1"/>
  <c r="T150" i="22"/>
  <c r="T213" i="22" s="1"/>
  <c r="T276" i="22" s="1"/>
  <c r="N194" i="22"/>
  <c r="M199" i="22" s="1"/>
  <c r="M200" i="22" s="1"/>
  <c r="N257" i="22"/>
  <c r="M262" i="22" s="1"/>
  <c r="M263" i="22" s="1"/>
  <c r="L68" i="22"/>
  <c r="K73" i="22" s="1"/>
  <c r="K74" i="22" s="1"/>
  <c r="F131" i="22"/>
  <c r="E136" i="22" s="1"/>
  <c r="E137" i="22" s="1"/>
  <c r="F194" i="22"/>
  <c r="E199" i="22" s="1"/>
  <c r="E200" i="22" s="1"/>
  <c r="F257" i="22"/>
  <c r="E262" i="22" s="1"/>
  <c r="E263" i="22" s="1"/>
  <c r="T118" i="22"/>
  <c r="T181" i="22" s="1"/>
  <c r="T244" i="22" s="1"/>
  <c r="T307" i="22" s="1"/>
  <c r="I10" i="22"/>
  <c r="I11" i="22" s="1"/>
  <c r="T64" i="22"/>
  <c r="T127" i="22" s="1"/>
  <c r="T190" i="22" s="1"/>
  <c r="T253" i="22" s="1"/>
  <c r="N68" i="22"/>
  <c r="M73" i="22" s="1"/>
  <c r="M74" i="22" s="1"/>
  <c r="H131" i="22"/>
  <c r="G136" i="22" s="1"/>
  <c r="G137" i="22" s="1"/>
  <c r="H194" i="22"/>
  <c r="G199" i="22" s="1"/>
  <c r="G200" i="22" s="1"/>
  <c r="H257" i="22"/>
  <c r="G262" i="22" s="1"/>
  <c r="G263" i="22" s="1"/>
  <c r="N5" i="22"/>
  <c r="M10" i="22" s="1"/>
  <c r="M11" i="22" s="1"/>
  <c r="F68" i="22"/>
  <c r="E73" i="22" s="1"/>
  <c r="E74" i="22" s="1"/>
  <c r="L131" i="22"/>
  <c r="K136" i="22" s="1"/>
  <c r="K137" i="22" s="1"/>
  <c r="L194" i="22"/>
  <c r="K199" i="22" s="1"/>
  <c r="K200" i="22" s="1"/>
  <c r="T116" i="21"/>
  <c r="T114" i="21"/>
  <c r="T177" i="21" s="1"/>
  <c r="T240" i="21" s="1"/>
  <c r="T303" i="21" s="1"/>
  <c r="O72" i="21"/>
  <c r="M72" i="21"/>
  <c r="K72" i="21"/>
  <c r="I72" i="21"/>
  <c r="G72" i="21"/>
  <c r="E72" i="21"/>
  <c r="C72" i="21"/>
  <c r="A64" i="21"/>
  <c r="A127" i="21" s="1"/>
  <c r="O9" i="21"/>
  <c r="M9" i="21"/>
  <c r="K9" i="21"/>
  <c r="I9" i="21"/>
  <c r="T8" i="21"/>
  <c r="T71" i="21" s="1"/>
  <c r="T134" i="21" s="1"/>
  <c r="T197" i="21" s="1"/>
  <c r="T260" i="21" s="1"/>
  <c r="T1" i="21"/>
  <c r="T11" i="22" l="1"/>
  <c r="T74" i="22" s="1"/>
  <c r="T137" i="22" s="1"/>
  <c r="T200" i="22" s="1"/>
  <c r="T263" i="22" s="1"/>
  <c r="T10" i="22"/>
  <c r="T73" i="22" s="1"/>
  <c r="T136" i="22" s="1"/>
  <c r="T199" i="22" s="1"/>
  <c r="T262" i="22" s="1"/>
  <c r="P257" i="21"/>
  <c r="O262" i="21" s="1"/>
  <c r="O263" i="21" s="1"/>
  <c r="N257" i="21"/>
  <c r="M262" i="21" s="1"/>
  <c r="M263" i="21" s="1"/>
  <c r="L257" i="21"/>
  <c r="K262" i="21" s="1"/>
  <c r="K263" i="21" s="1"/>
  <c r="J257" i="21"/>
  <c r="I262" i="21" s="1"/>
  <c r="I263" i="21" s="1"/>
  <c r="H257" i="21"/>
  <c r="G262" i="21" s="1"/>
  <c r="G263" i="21" s="1"/>
  <c r="F257" i="21"/>
  <c r="E262" i="21" s="1"/>
  <c r="E263" i="21" s="1"/>
  <c r="A190" i="21"/>
  <c r="A253" i="21" s="1"/>
  <c r="P194" i="21"/>
  <c r="O199" i="21" s="1"/>
  <c r="O200" i="21" s="1"/>
  <c r="N194" i="21"/>
  <c r="M199" i="21" s="1"/>
  <c r="M200" i="21" s="1"/>
  <c r="H194" i="21"/>
  <c r="G199" i="21" s="1"/>
  <c r="G200" i="21" s="1"/>
  <c r="L194" i="21"/>
  <c r="K199" i="21" s="1"/>
  <c r="K200" i="21" s="1"/>
  <c r="J194" i="21"/>
  <c r="I199" i="21" s="1"/>
  <c r="I200" i="21" s="1"/>
  <c r="F194" i="21"/>
  <c r="E199" i="21" s="1"/>
  <c r="E200" i="21" s="1"/>
  <c r="T179" i="21"/>
  <c r="T242" i="21" s="1"/>
  <c r="T305" i="21" s="1"/>
  <c r="H131" i="21"/>
  <c r="G136" i="21" s="1"/>
  <c r="G137" i="21" s="1"/>
  <c r="F131" i="21"/>
  <c r="E136" i="21" s="1"/>
  <c r="E137" i="21" s="1"/>
  <c r="P131" i="21"/>
  <c r="O136" i="21" s="1"/>
  <c r="O137" i="21" s="1"/>
  <c r="J131" i="21"/>
  <c r="I136" i="21" s="1"/>
  <c r="I137" i="21" s="1"/>
  <c r="N131" i="21"/>
  <c r="M136" i="21" s="1"/>
  <c r="M137" i="21" s="1"/>
  <c r="L131" i="21"/>
  <c r="K136" i="21" s="1"/>
  <c r="K137" i="21" s="1"/>
  <c r="T150" i="21"/>
  <c r="T213" i="21" s="1"/>
  <c r="T276" i="21" s="1"/>
  <c r="J5" i="21"/>
  <c r="I10" i="21" s="1"/>
  <c r="I11" i="21" s="1"/>
  <c r="L5" i="21"/>
  <c r="K10" i="21" s="1"/>
  <c r="K11" i="21" s="1"/>
  <c r="N5" i="21"/>
  <c r="M10" i="21" s="1"/>
  <c r="M11" i="21" s="1"/>
  <c r="T9" i="21"/>
  <c r="T72" i="21" s="1"/>
  <c r="T135" i="21" s="1"/>
  <c r="T198" i="21" s="1"/>
  <c r="T261" i="21" s="1"/>
  <c r="H68" i="21"/>
  <c r="G73" i="21" s="1"/>
  <c r="G74" i="21" s="1"/>
  <c r="F68" i="21"/>
  <c r="E73" i="21" s="1"/>
  <c r="E74" i="21" s="1"/>
  <c r="J68" i="21"/>
  <c r="I73" i="21" s="1"/>
  <c r="I74" i="21" s="1"/>
  <c r="T64" i="21"/>
  <c r="T127" i="21" s="1"/>
  <c r="T190" i="21" s="1"/>
  <c r="T253" i="21" s="1"/>
  <c r="D68" i="21"/>
  <c r="C73" i="21" s="1"/>
  <c r="C74" i="21" s="1"/>
  <c r="L68" i="21"/>
  <c r="K73" i="21" s="1"/>
  <c r="K74" i="21" s="1"/>
  <c r="P5" i="21"/>
  <c r="O10" i="21" s="1"/>
  <c r="O11" i="21" s="1"/>
  <c r="N68" i="21"/>
  <c r="M73" i="21" s="1"/>
  <c r="M74" i="21" s="1"/>
  <c r="P68" i="21"/>
  <c r="O73" i="21" s="1"/>
  <c r="O74" i="21" s="1"/>
  <c r="R35" i="8"/>
  <c r="R34" i="8"/>
  <c r="R33" i="8"/>
  <c r="R82" i="7"/>
  <c r="R76" i="7"/>
  <c r="R78" i="7"/>
  <c r="R79" i="7"/>
  <c r="R48" i="7"/>
  <c r="R20" i="7"/>
  <c r="R77" i="7" s="1"/>
  <c r="R21" i="7"/>
  <c r="R22" i="7"/>
  <c r="R23" i="7"/>
  <c r="R24" i="7"/>
  <c r="R25" i="7"/>
  <c r="R26" i="7"/>
  <c r="R18" i="7"/>
  <c r="R19" i="7"/>
  <c r="R25" i="8"/>
  <c r="R21" i="8"/>
  <c r="R22" i="8"/>
  <c r="R24" i="8"/>
  <c r="T10" i="21" l="1"/>
  <c r="T73" i="21" s="1"/>
  <c r="T136" i="21" s="1"/>
  <c r="T199" i="21" s="1"/>
  <c r="T262" i="21" s="1"/>
  <c r="T11" i="21"/>
  <c r="T74" i="21" s="1"/>
  <c r="T137" i="21" s="1"/>
  <c r="T200" i="21" s="1"/>
  <c r="T263" i="21" s="1"/>
  <c r="I9" i="8" l="1"/>
  <c r="G9" i="8"/>
  <c r="E9" i="8"/>
  <c r="C9" i="8"/>
  <c r="R50" i="8"/>
  <c r="R20" i="8"/>
  <c r="P244" i="8"/>
  <c r="P237" i="8"/>
  <c r="P232" i="8"/>
  <c r="M224" i="8"/>
  <c r="K224" i="8"/>
  <c r="I224" i="8"/>
  <c r="G224" i="8"/>
  <c r="E224" i="8"/>
  <c r="C224" i="8"/>
  <c r="P193" i="8"/>
  <c r="P186" i="8"/>
  <c r="P181" i="8"/>
  <c r="M173" i="8"/>
  <c r="K173" i="8"/>
  <c r="I173" i="8"/>
  <c r="G173" i="8"/>
  <c r="E173" i="8"/>
  <c r="C173" i="8"/>
  <c r="P142" i="8"/>
  <c r="P135" i="8"/>
  <c r="P130" i="8"/>
  <c r="M122" i="8"/>
  <c r="K122" i="8"/>
  <c r="I122" i="8"/>
  <c r="G122" i="8"/>
  <c r="E122" i="8"/>
  <c r="C122" i="8"/>
  <c r="M68" i="8"/>
  <c r="K68" i="8"/>
  <c r="I68" i="8"/>
  <c r="G68" i="8"/>
  <c r="E68" i="8"/>
  <c r="C68" i="8"/>
  <c r="A60" i="8"/>
  <c r="A114" i="8" s="1"/>
  <c r="A165" i="8" s="1"/>
  <c r="A216" i="8" s="1"/>
  <c r="R55" i="8"/>
  <c r="R109" i="8" s="1"/>
  <c r="R160" i="8" s="1"/>
  <c r="R211" i="8" s="1"/>
  <c r="R262" i="8" s="1"/>
  <c r="R54" i="8"/>
  <c r="R108" i="8" s="1"/>
  <c r="R159" i="8" s="1"/>
  <c r="R210" i="8" s="1"/>
  <c r="R261" i="8" s="1"/>
  <c r="R53" i="8"/>
  <c r="R107" i="8" s="1"/>
  <c r="R158" i="8" s="1"/>
  <c r="R209" i="8" s="1"/>
  <c r="R260" i="8" s="1"/>
  <c r="R52" i="8"/>
  <c r="R106" i="8" s="1"/>
  <c r="R157" i="8" s="1"/>
  <c r="R208" i="8" s="1"/>
  <c r="R259" i="8" s="1"/>
  <c r="R51" i="8"/>
  <c r="R105" i="8" s="1"/>
  <c r="R156" i="8" s="1"/>
  <c r="R207" i="8" s="1"/>
  <c r="R258" i="8" s="1"/>
  <c r="R49" i="8"/>
  <c r="R103" i="8" s="1"/>
  <c r="R155" i="8" s="1"/>
  <c r="R206" i="8" s="1"/>
  <c r="R257" i="8" s="1"/>
  <c r="R48" i="8"/>
  <c r="R102" i="8" s="1"/>
  <c r="R154" i="8" s="1"/>
  <c r="R205" i="8" s="1"/>
  <c r="R256" i="8" s="1"/>
  <c r="R47" i="8"/>
  <c r="R101" i="8" s="1"/>
  <c r="R153" i="8" s="1"/>
  <c r="R204" i="8" s="1"/>
  <c r="R255" i="8" s="1"/>
  <c r="R46" i="8"/>
  <c r="R100" i="8" s="1"/>
  <c r="R152" i="8" s="1"/>
  <c r="R203" i="8" s="1"/>
  <c r="R254" i="8" s="1"/>
  <c r="R45" i="8"/>
  <c r="R99" i="8" s="1"/>
  <c r="R151" i="8" s="1"/>
  <c r="R202" i="8" s="1"/>
  <c r="R253" i="8" s="1"/>
  <c r="R44" i="8"/>
  <c r="R98" i="8" s="1"/>
  <c r="R150" i="8" s="1"/>
  <c r="R201" i="8" s="1"/>
  <c r="R252" i="8" s="1"/>
  <c r="R43" i="8"/>
  <c r="R97" i="8" s="1"/>
  <c r="R149" i="8" s="1"/>
  <c r="R200" i="8" s="1"/>
  <c r="R251" i="8" s="1"/>
  <c r="R42" i="8"/>
  <c r="R96" i="8" s="1"/>
  <c r="R148" i="8" s="1"/>
  <c r="R199" i="8" s="1"/>
  <c r="R250" i="8" s="1"/>
  <c r="R41" i="8"/>
  <c r="R95" i="8" s="1"/>
  <c r="R147" i="8" s="1"/>
  <c r="R198" i="8" s="1"/>
  <c r="R249" i="8" s="1"/>
  <c r="R40" i="8"/>
  <c r="R94" i="8" s="1"/>
  <c r="R146" i="8" s="1"/>
  <c r="R197" i="8" s="1"/>
  <c r="R248" i="8" s="1"/>
  <c r="R39" i="8"/>
  <c r="R93" i="8" s="1"/>
  <c r="R145" i="8" s="1"/>
  <c r="R196" i="8" s="1"/>
  <c r="R247" i="8" s="1"/>
  <c r="R38" i="8"/>
  <c r="R92" i="8" s="1"/>
  <c r="R144" i="8" s="1"/>
  <c r="R195" i="8" s="1"/>
  <c r="R246" i="8" s="1"/>
  <c r="R37" i="8"/>
  <c r="R91" i="8" s="1"/>
  <c r="R143" i="8" s="1"/>
  <c r="R194" i="8" s="1"/>
  <c r="R245" i="8" s="1"/>
  <c r="R36" i="8"/>
  <c r="R90" i="8" s="1"/>
  <c r="R142" i="8" s="1"/>
  <c r="R193" i="8" s="1"/>
  <c r="R244" i="8" s="1"/>
  <c r="R89" i="8"/>
  <c r="R141" i="8" s="1"/>
  <c r="R192" i="8" s="1"/>
  <c r="R243" i="8" s="1"/>
  <c r="R32" i="8"/>
  <c r="R88" i="8" s="1"/>
  <c r="R140" i="8" s="1"/>
  <c r="R191" i="8" s="1"/>
  <c r="R242" i="8" s="1"/>
  <c r="R31" i="8"/>
  <c r="R87" i="8" s="1"/>
  <c r="R139" i="8" s="1"/>
  <c r="R190" i="8" s="1"/>
  <c r="R241" i="8" s="1"/>
  <c r="R30" i="8"/>
  <c r="R86" i="8" s="1"/>
  <c r="R138" i="8" s="1"/>
  <c r="R189" i="8" s="1"/>
  <c r="R240" i="8" s="1"/>
  <c r="R29" i="8"/>
  <c r="R85" i="8" s="1"/>
  <c r="R137" i="8" s="1"/>
  <c r="R188" i="8" s="1"/>
  <c r="R239" i="8" s="1"/>
  <c r="R28" i="8"/>
  <c r="R84" i="8" s="1"/>
  <c r="R136" i="8" s="1"/>
  <c r="R187" i="8" s="1"/>
  <c r="R238" i="8" s="1"/>
  <c r="R27" i="8"/>
  <c r="R83" i="8" s="1"/>
  <c r="R135" i="8" s="1"/>
  <c r="R186" i="8" s="1"/>
  <c r="R237" i="8" s="1"/>
  <c r="R26" i="8"/>
  <c r="R82" i="8" s="1"/>
  <c r="R134" i="8" s="1"/>
  <c r="R185" i="8" s="1"/>
  <c r="R236" i="8" s="1"/>
  <c r="R23" i="8"/>
  <c r="R81" i="8" s="1"/>
  <c r="R133" i="8" s="1"/>
  <c r="R184" i="8" s="1"/>
  <c r="R235" i="8" s="1"/>
  <c r="R19" i="8"/>
  <c r="R80" i="8" s="1"/>
  <c r="R132" i="8" s="1"/>
  <c r="R183" i="8" s="1"/>
  <c r="R234" i="8" s="1"/>
  <c r="R18" i="8"/>
  <c r="R77" i="8" s="1"/>
  <c r="R131" i="8" s="1"/>
  <c r="R182" i="8" s="1"/>
  <c r="R233" i="8" s="1"/>
  <c r="R17" i="8"/>
  <c r="R76" i="8" s="1"/>
  <c r="R130" i="8" s="1"/>
  <c r="R181" i="8" s="1"/>
  <c r="R232" i="8" s="1"/>
  <c r="R16" i="8"/>
  <c r="R75" i="8" s="1"/>
  <c r="R129" i="8" s="1"/>
  <c r="R180" i="8" s="1"/>
  <c r="R231" i="8" s="1"/>
  <c r="R15" i="8"/>
  <c r="R74" i="8" s="1"/>
  <c r="R128" i="8" s="1"/>
  <c r="R179" i="8" s="1"/>
  <c r="R230" i="8" s="1"/>
  <c r="R14" i="8"/>
  <c r="R73" i="8" s="1"/>
  <c r="R127" i="8" s="1"/>
  <c r="R178" i="8" s="1"/>
  <c r="R229" i="8" s="1"/>
  <c r="R13" i="8"/>
  <c r="R72" i="8" s="1"/>
  <c r="R126" i="8" s="1"/>
  <c r="R177" i="8" s="1"/>
  <c r="R228" i="8" s="1"/>
  <c r="R12" i="8"/>
  <c r="R71" i="8" s="1"/>
  <c r="R125" i="8" s="1"/>
  <c r="R176" i="8" s="1"/>
  <c r="R227" i="8" s="1"/>
  <c r="R8" i="8"/>
  <c r="R67" i="8" s="1"/>
  <c r="R121" i="8" s="1"/>
  <c r="R172" i="8" s="1"/>
  <c r="R223" i="8" s="1"/>
  <c r="F220" i="8"/>
  <c r="E225" i="8" s="1"/>
  <c r="P245" i="7"/>
  <c r="P238" i="7"/>
  <c r="P233" i="7"/>
  <c r="M225" i="7"/>
  <c r="K225" i="7"/>
  <c r="I225" i="7"/>
  <c r="G225" i="7"/>
  <c r="E225" i="7"/>
  <c r="C225" i="7"/>
  <c r="P194" i="7"/>
  <c r="P187" i="7"/>
  <c r="P182" i="7"/>
  <c r="M174" i="7"/>
  <c r="K174" i="7"/>
  <c r="I174" i="7"/>
  <c r="G174" i="7"/>
  <c r="E174" i="7"/>
  <c r="C174" i="7"/>
  <c r="P143" i="7"/>
  <c r="P136" i="7"/>
  <c r="P131" i="7"/>
  <c r="M123" i="7"/>
  <c r="K123" i="7"/>
  <c r="I123" i="7"/>
  <c r="G123" i="7"/>
  <c r="E123" i="7"/>
  <c r="C123" i="7"/>
  <c r="M66" i="7"/>
  <c r="K66" i="7"/>
  <c r="I66" i="7"/>
  <c r="G66" i="7"/>
  <c r="E66" i="7"/>
  <c r="C66" i="7"/>
  <c r="A58" i="7"/>
  <c r="A115" i="7" s="1"/>
  <c r="A166" i="7" s="1"/>
  <c r="A217" i="7" s="1"/>
  <c r="R53" i="7"/>
  <c r="R110" i="7" s="1"/>
  <c r="R161" i="7" s="1"/>
  <c r="R212" i="7" s="1"/>
  <c r="R263" i="7" s="1"/>
  <c r="R52" i="7"/>
  <c r="R109" i="7" s="1"/>
  <c r="R160" i="7" s="1"/>
  <c r="R211" i="7" s="1"/>
  <c r="R262" i="7" s="1"/>
  <c r="R51" i="7"/>
  <c r="R108" i="7" s="1"/>
  <c r="R159" i="7" s="1"/>
  <c r="R210" i="7" s="1"/>
  <c r="R261" i="7" s="1"/>
  <c r="R50" i="7"/>
  <c r="R107" i="7" s="1"/>
  <c r="R158" i="7" s="1"/>
  <c r="R209" i="7" s="1"/>
  <c r="R260" i="7" s="1"/>
  <c r="R49" i="7"/>
  <c r="R106" i="7" s="1"/>
  <c r="R157" i="7" s="1"/>
  <c r="R208" i="7" s="1"/>
  <c r="R259" i="7" s="1"/>
  <c r="R47" i="7"/>
  <c r="R104" i="7" s="1"/>
  <c r="R156" i="7" s="1"/>
  <c r="R207" i="7" s="1"/>
  <c r="R258" i="7" s="1"/>
  <c r="R46" i="7"/>
  <c r="R103" i="7" s="1"/>
  <c r="R155" i="7" s="1"/>
  <c r="R206" i="7" s="1"/>
  <c r="R257" i="7" s="1"/>
  <c r="R45" i="7"/>
  <c r="R102" i="7" s="1"/>
  <c r="R154" i="7" s="1"/>
  <c r="R205" i="7" s="1"/>
  <c r="R256" i="7" s="1"/>
  <c r="R44" i="7"/>
  <c r="R101" i="7" s="1"/>
  <c r="R153" i="7" s="1"/>
  <c r="R204" i="7" s="1"/>
  <c r="R255" i="7" s="1"/>
  <c r="R43" i="7"/>
  <c r="R100" i="7" s="1"/>
  <c r="R152" i="7" s="1"/>
  <c r="R203" i="7" s="1"/>
  <c r="R254" i="7" s="1"/>
  <c r="R42" i="7"/>
  <c r="R99" i="7" s="1"/>
  <c r="R151" i="7" s="1"/>
  <c r="R202" i="7" s="1"/>
  <c r="R253" i="7" s="1"/>
  <c r="R41" i="7"/>
  <c r="R98" i="7" s="1"/>
  <c r="R150" i="7" s="1"/>
  <c r="R201" i="7" s="1"/>
  <c r="R252" i="7" s="1"/>
  <c r="R40" i="7"/>
  <c r="R97" i="7" s="1"/>
  <c r="R149" i="7" s="1"/>
  <c r="R200" i="7" s="1"/>
  <c r="R251" i="7" s="1"/>
  <c r="R39" i="7"/>
  <c r="R96" i="7" s="1"/>
  <c r="R148" i="7" s="1"/>
  <c r="R199" i="7" s="1"/>
  <c r="R250" i="7" s="1"/>
  <c r="R38" i="7"/>
  <c r="R95" i="7" s="1"/>
  <c r="R147" i="7" s="1"/>
  <c r="R198" i="7" s="1"/>
  <c r="R249" i="7" s="1"/>
  <c r="R37" i="7"/>
  <c r="R94" i="7" s="1"/>
  <c r="R146" i="7" s="1"/>
  <c r="R197" i="7" s="1"/>
  <c r="R248" i="7" s="1"/>
  <c r="R36" i="7"/>
  <c r="R93" i="7" s="1"/>
  <c r="R145" i="7" s="1"/>
  <c r="R196" i="7" s="1"/>
  <c r="R247" i="7" s="1"/>
  <c r="R35" i="7"/>
  <c r="R92" i="7" s="1"/>
  <c r="R144" i="7" s="1"/>
  <c r="R195" i="7" s="1"/>
  <c r="R246" i="7" s="1"/>
  <c r="R34" i="7"/>
  <c r="R91" i="7" s="1"/>
  <c r="R143" i="7" s="1"/>
  <c r="R194" i="7" s="1"/>
  <c r="R245" i="7" s="1"/>
  <c r="P34" i="7"/>
  <c r="R33" i="7"/>
  <c r="R90" i="7" s="1"/>
  <c r="R142" i="7" s="1"/>
  <c r="R193" i="7" s="1"/>
  <c r="R244" i="7" s="1"/>
  <c r="R32" i="7"/>
  <c r="R89" i="7" s="1"/>
  <c r="R141" i="7" s="1"/>
  <c r="R192" i="7" s="1"/>
  <c r="R243" i="7" s="1"/>
  <c r="R31" i="7"/>
  <c r="R88" i="7" s="1"/>
  <c r="R140" i="7" s="1"/>
  <c r="R191" i="7" s="1"/>
  <c r="R242" i="7" s="1"/>
  <c r="R30" i="7"/>
  <c r="R87" i="7" s="1"/>
  <c r="R139" i="7" s="1"/>
  <c r="R190" i="7" s="1"/>
  <c r="R241" i="7" s="1"/>
  <c r="R29" i="7"/>
  <c r="R86" i="7" s="1"/>
  <c r="R138" i="7" s="1"/>
  <c r="R189" i="7" s="1"/>
  <c r="R240" i="7" s="1"/>
  <c r="R28" i="7"/>
  <c r="R85" i="7" s="1"/>
  <c r="R137" i="7" s="1"/>
  <c r="R188" i="7" s="1"/>
  <c r="R239" i="7" s="1"/>
  <c r="R27" i="7"/>
  <c r="R84" i="7" s="1"/>
  <c r="R136" i="7" s="1"/>
  <c r="R187" i="7" s="1"/>
  <c r="R238" i="7" s="1"/>
  <c r="P27" i="7"/>
  <c r="R83" i="7"/>
  <c r="R135" i="7" s="1"/>
  <c r="R186" i="7" s="1"/>
  <c r="R237" i="7" s="1"/>
  <c r="R81" i="7"/>
  <c r="R134" i="7" s="1"/>
  <c r="R185" i="7" s="1"/>
  <c r="R236" i="7" s="1"/>
  <c r="R80" i="7"/>
  <c r="R133" i="7" s="1"/>
  <c r="R184" i="7" s="1"/>
  <c r="R235" i="7" s="1"/>
  <c r="R75" i="7"/>
  <c r="R132" i="7" s="1"/>
  <c r="R183" i="7" s="1"/>
  <c r="R234" i="7" s="1"/>
  <c r="R17" i="7"/>
  <c r="R74" i="7" s="1"/>
  <c r="R131" i="7" s="1"/>
  <c r="R182" i="7" s="1"/>
  <c r="R233" i="7" s="1"/>
  <c r="R16" i="7"/>
  <c r="R73" i="7" s="1"/>
  <c r="R130" i="7" s="1"/>
  <c r="R181" i="7" s="1"/>
  <c r="R232" i="7" s="1"/>
  <c r="R15" i="7"/>
  <c r="R72" i="7" s="1"/>
  <c r="R129" i="7" s="1"/>
  <c r="R180" i="7" s="1"/>
  <c r="R231" i="7" s="1"/>
  <c r="R14" i="7"/>
  <c r="R71" i="7" s="1"/>
  <c r="R128" i="7" s="1"/>
  <c r="R179" i="7" s="1"/>
  <c r="R230" i="7" s="1"/>
  <c r="R13" i="7"/>
  <c r="R70" i="7" s="1"/>
  <c r="R127" i="7" s="1"/>
  <c r="R178" i="7" s="1"/>
  <c r="R229" i="7" s="1"/>
  <c r="R12" i="7"/>
  <c r="R69" i="7" s="1"/>
  <c r="R126" i="7" s="1"/>
  <c r="R177" i="7" s="1"/>
  <c r="R228" i="7" s="1"/>
  <c r="M9" i="7"/>
  <c r="K9" i="7"/>
  <c r="I9" i="7"/>
  <c r="G9" i="7"/>
  <c r="E9" i="7"/>
  <c r="C9" i="7"/>
  <c r="R8" i="7"/>
  <c r="R65" i="7" s="1"/>
  <c r="R122" i="7" s="1"/>
  <c r="R173" i="7" s="1"/>
  <c r="R224" i="7" s="1"/>
  <c r="R1" i="7"/>
  <c r="D221" i="7" s="1"/>
  <c r="C226" i="7" s="1"/>
  <c r="C227" i="7" s="1"/>
  <c r="P80" i="2"/>
  <c r="P73" i="2"/>
  <c r="P68" i="2"/>
  <c r="M60" i="2"/>
  <c r="K60" i="2"/>
  <c r="I60" i="2"/>
  <c r="G60" i="2"/>
  <c r="E60" i="2"/>
  <c r="C60" i="2"/>
  <c r="A52" i="2"/>
  <c r="R47" i="2"/>
  <c r="R98" i="2" s="1"/>
  <c r="R46" i="2"/>
  <c r="R97" i="2" s="1"/>
  <c r="R45" i="2"/>
  <c r="R96" i="2" s="1"/>
  <c r="R44" i="2"/>
  <c r="R95" i="2" s="1"/>
  <c r="R43" i="2"/>
  <c r="R94" i="2" s="1"/>
  <c r="R42" i="2"/>
  <c r="R93" i="2" s="1"/>
  <c r="R41" i="2"/>
  <c r="R92" i="2" s="1"/>
  <c r="R40" i="2"/>
  <c r="R91" i="2" s="1"/>
  <c r="R39" i="2"/>
  <c r="R90" i="2" s="1"/>
  <c r="R38" i="2"/>
  <c r="R89" i="2" s="1"/>
  <c r="R37" i="2"/>
  <c r="R88" i="2" s="1"/>
  <c r="R36" i="2"/>
  <c r="R87" i="2" s="1"/>
  <c r="R35" i="2"/>
  <c r="R86" i="2" s="1"/>
  <c r="R34" i="2"/>
  <c r="R85" i="2" s="1"/>
  <c r="R33" i="2"/>
  <c r="R84" i="2" s="1"/>
  <c r="R32" i="2"/>
  <c r="R83" i="2" s="1"/>
  <c r="R31" i="2"/>
  <c r="R82" i="2" s="1"/>
  <c r="R30" i="2"/>
  <c r="R81" i="2" s="1"/>
  <c r="R29" i="2"/>
  <c r="R80" i="2" s="1"/>
  <c r="P29" i="2"/>
  <c r="R28" i="2"/>
  <c r="R79" i="2" s="1"/>
  <c r="R27" i="2"/>
  <c r="R78" i="2" s="1"/>
  <c r="R26" i="2"/>
  <c r="R77" i="2" s="1"/>
  <c r="R25" i="2"/>
  <c r="R76" i="2" s="1"/>
  <c r="R24" i="2"/>
  <c r="R75" i="2" s="1"/>
  <c r="R23" i="2"/>
  <c r="R74" i="2" s="1"/>
  <c r="R22" i="2"/>
  <c r="R73" i="2" s="1"/>
  <c r="P22" i="2"/>
  <c r="R21" i="2"/>
  <c r="R72" i="2" s="1"/>
  <c r="R20" i="2"/>
  <c r="R71" i="2" s="1"/>
  <c r="R19" i="2"/>
  <c r="R70" i="2" s="1"/>
  <c r="R18" i="2"/>
  <c r="R69" i="2" s="1"/>
  <c r="R17" i="2"/>
  <c r="R68" i="2" s="1"/>
  <c r="P17" i="2"/>
  <c r="R16" i="2"/>
  <c r="R67" i="2" s="1"/>
  <c r="R15" i="2"/>
  <c r="R66" i="2" s="1"/>
  <c r="R14" i="2"/>
  <c r="R65" i="2" s="1"/>
  <c r="R13" i="2"/>
  <c r="R64" i="2" s="1"/>
  <c r="R12" i="2"/>
  <c r="R63" i="2" s="1"/>
  <c r="M9" i="2"/>
  <c r="K9" i="2"/>
  <c r="I9" i="2"/>
  <c r="G9" i="2"/>
  <c r="E9" i="2"/>
  <c r="C9" i="2"/>
  <c r="R8" i="2"/>
  <c r="R59" i="2" s="1"/>
  <c r="R1" i="2"/>
  <c r="N56" i="2" s="1"/>
  <c r="M61" i="2" s="1"/>
  <c r="J5" i="8" l="1"/>
  <c r="I10" i="8" s="1"/>
  <c r="I11" i="8" s="1"/>
  <c r="H5" i="8"/>
  <c r="G10" i="8" s="1"/>
  <c r="G11" i="8" s="1"/>
  <c r="F5" i="8"/>
  <c r="E10" i="8" s="1"/>
  <c r="E11" i="8" s="1"/>
  <c r="D5" i="8"/>
  <c r="C10" i="8" s="1"/>
  <c r="C11" i="8" s="1"/>
  <c r="R9" i="8"/>
  <c r="R68" i="8" s="1"/>
  <c r="R122" i="8" s="1"/>
  <c r="R173" i="8" s="1"/>
  <c r="R224" i="8" s="1"/>
  <c r="F118" i="8"/>
  <c r="E123" i="8" s="1"/>
  <c r="E124" i="8" s="1"/>
  <c r="J64" i="8"/>
  <c r="I69" i="8" s="1"/>
  <c r="I70" i="8" s="1"/>
  <c r="L64" i="8"/>
  <c r="K69" i="8" s="1"/>
  <c r="K70" i="8" s="1"/>
  <c r="H118" i="8"/>
  <c r="G123" i="8" s="1"/>
  <c r="G124" i="8" s="1"/>
  <c r="E226" i="8"/>
  <c r="J169" i="8"/>
  <c r="I174" i="8" s="1"/>
  <c r="I175" i="8" s="1"/>
  <c r="J220" i="8"/>
  <c r="I225" i="8" s="1"/>
  <c r="I226" i="8" s="1"/>
  <c r="L169" i="8"/>
  <c r="K174" i="8" s="1"/>
  <c r="K175" i="8" s="1"/>
  <c r="H220" i="8"/>
  <c r="G225" i="8" s="1"/>
  <c r="G226" i="8" s="1"/>
  <c r="R60" i="8"/>
  <c r="R114" i="8" s="1"/>
  <c r="R165" i="8" s="1"/>
  <c r="R216" i="8" s="1"/>
  <c r="D64" i="8"/>
  <c r="C69" i="8" s="1"/>
  <c r="C70" i="8" s="1"/>
  <c r="L220" i="8"/>
  <c r="K225" i="8" s="1"/>
  <c r="K226" i="8" s="1"/>
  <c r="F64" i="8"/>
  <c r="E69" i="8" s="1"/>
  <c r="E70" i="8" s="1"/>
  <c r="N220" i="8"/>
  <c r="M225" i="8" s="1"/>
  <c r="M226" i="8" s="1"/>
  <c r="H64" i="8"/>
  <c r="G69" i="8" s="1"/>
  <c r="G70" i="8" s="1"/>
  <c r="D118" i="8"/>
  <c r="C123" i="8" s="1"/>
  <c r="C124" i="8" s="1"/>
  <c r="J118" i="8"/>
  <c r="I123" i="8" s="1"/>
  <c r="I124" i="8" s="1"/>
  <c r="N64" i="8"/>
  <c r="M69" i="8" s="1"/>
  <c r="M70" i="8" s="1"/>
  <c r="L118" i="8"/>
  <c r="K123" i="8" s="1"/>
  <c r="K124" i="8" s="1"/>
  <c r="N118" i="8"/>
  <c r="M123" i="8" s="1"/>
  <c r="M124" i="8" s="1"/>
  <c r="D169" i="8"/>
  <c r="C174" i="8" s="1"/>
  <c r="C175" i="8" s="1"/>
  <c r="H169" i="8"/>
  <c r="G174" i="8" s="1"/>
  <c r="G175" i="8" s="1"/>
  <c r="F169" i="8"/>
  <c r="E174" i="8" s="1"/>
  <c r="E175" i="8" s="1"/>
  <c r="N169" i="8"/>
  <c r="M174" i="8" s="1"/>
  <c r="M175" i="8" s="1"/>
  <c r="D220" i="8"/>
  <c r="C225" i="8" s="1"/>
  <c r="C226" i="8" s="1"/>
  <c r="R9" i="7"/>
  <c r="R66" i="7" s="1"/>
  <c r="R123" i="7" s="1"/>
  <c r="R174" i="7" s="1"/>
  <c r="R225" i="7" s="1"/>
  <c r="L221" i="7"/>
  <c r="K226" i="7" s="1"/>
  <c r="K227" i="7" s="1"/>
  <c r="J5" i="7"/>
  <c r="I10" i="7" s="1"/>
  <c r="I11" i="7" s="1"/>
  <c r="F62" i="7"/>
  <c r="E67" i="7" s="1"/>
  <c r="E68" i="7" s="1"/>
  <c r="D170" i="7"/>
  <c r="C175" i="7" s="1"/>
  <c r="C176" i="7" s="1"/>
  <c r="L5" i="7"/>
  <c r="K10" i="7" s="1"/>
  <c r="K11" i="7" s="1"/>
  <c r="D62" i="7"/>
  <c r="C67" i="7" s="1"/>
  <c r="C68" i="7" s="1"/>
  <c r="J221" i="7"/>
  <c r="I226" i="7" s="1"/>
  <c r="I227" i="7" s="1"/>
  <c r="J119" i="7"/>
  <c r="I124" i="7" s="1"/>
  <c r="I125" i="7" s="1"/>
  <c r="F170" i="7"/>
  <c r="E175" i="7" s="1"/>
  <c r="E176" i="7" s="1"/>
  <c r="L119" i="7"/>
  <c r="K124" i="7" s="1"/>
  <c r="K125" i="7" s="1"/>
  <c r="F5" i="7"/>
  <c r="E10" i="7" s="1"/>
  <c r="E11" i="7" s="1"/>
  <c r="L62" i="7"/>
  <c r="K67" i="7" s="1"/>
  <c r="K68" i="7" s="1"/>
  <c r="F119" i="7"/>
  <c r="E124" i="7" s="1"/>
  <c r="E125" i="7" s="1"/>
  <c r="L170" i="7"/>
  <c r="K175" i="7" s="1"/>
  <c r="K176" i="7" s="1"/>
  <c r="F221" i="7"/>
  <c r="E226" i="7" s="1"/>
  <c r="E227" i="7" s="1"/>
  <c r="H5" i="7"/>
  <c r="G10" i="7" s="1"/>
  <c r="G11" i="7" s="1"/>
  <c r="R58" i="7"/>
  <c r="R115" i="7" s="1"/>
  <c r="R166" i="7" s="1"/>
  <c r="R217" i="7" s="1"/>
  <c r="N62" i="7"/>
  <c r="M67" i="7" s="1"/>
  <c r="M68" i="7" s="1"/>
  <c r="H119" i="7"/>
  <c r="G124" i="7" s="1"/>
  <c r="G125" i="7" s="1"/>
  <c r="N170" i="7"/>
  <c r="M175" i="7" s="1"/>
  <c r="M176" i="7" s="1"/>
  <c r="H221" i="7"/>
  <c r="G226" i="7" s="1"/>
  <c r="G227" i="7" s="1"/>
  <c r="N5" i="7"/>
  <c r="M10" i="7" s="1"/>
  <c r="M11" i="7" s="1"/>
  <c r="H62" i="7"/>
  <c r="G67" i="7" s="1"/>
  <c r="G68" i="7" s="1"/>
  <c r="N119" i="7"/>
  <c r="M124" i="7" s="1"/>
  <c r="M125" i="7" s="1"/>
  <c r="H170" i="7"/>
  <c r="G175" i="7" s="1"/>
  <c r="G176" i="7" s="1"/>
  <c r="N221" i="7"/>
  <c r="M226" i="7" s="1"/>
  <c r="M227" i="7" s="1"/>
  <c r="D5" i="7"/>
  <c r="C10" i="7" s="1"/>
  <c r="J62" i="7"/>
  <c r="I67" i="7" s="1"/>
  <c r="I68" i="7" s="1"/>
  <c r="D119" i="7"/>
  <c r="C124" i="7" s="1"/>
  <c r="C125" i="7" s="1"/>
  <c r="J170" i="7"/>
  <c r="I175" i="7" s="1"/>
  <c r="I176" i="7" s="1"/>
  <c r="R9" i="2"/>
  <c r="R60" i="2" s="1"/>
  <c r="M62" i="2"/>
  <c r="N5" i="2"/>
  <c r="M10" i="2" s="1"/>
  <c r="M11" i="2" s="1"/>
  <c r="L5" i="2"/>
  <c r="K10" i="2" s="1"/>
  <c r="K11" i="2" s="1"/>
  <c r="R52" i="2"/>
  <c r="D56" i="2"/>
  <c r="C61" i="2" s="1"/>
  <c r="C62" i="2" s="1"/>
  <c r="J5" i="2"/>
  <c r="I10" i="2" s="1"/>
  <c r="I11" i="2" s="1"/>
  <c r="F56" i="2"/>
  <c r="E61" i="2" s="1"/>
  <c r="E62" i="2" s="1"/>
  <c r="H56" i="2"/>
  <c r="G61" i="2" s="1"/>
  <c r="G62" i="2" s="1"/>
  <c r="D5" i="2"/>
  <c r="C10" i="2" s="1"/>
  <c r="C11" i="2" s="1"/>
  <c r="J56" i="2"/>
  <c r="I61" i="2" s="1"/>
  <c r="I62" i="2" s="1"/>
  <c r="F5" i="2"/>
  <c r="E10" i="2" s="1"/>
  <c r="E11" i="2" s="1"/>
  <c r="L56" i="2"/>
  <c r="K61" i="2" s="1"/>
  <c r="K62" i="2" s="1"/>
  <c r="H5" i="2"/>
  <c r="G10" i="2" s="1"/>
  <c r="G11" i="2" s="1"/>
  <c r="R11" i="8" l="1"/>
  <c r="R70" i="8" s="1"/>
  <c r="R124" i="8" s="1"/>
  <c r="R175" i="8" s="1"/>
  <c r="R226" i="8" s="1"/>
  <c r="R10" i="8"/>
  <c r="R69" i="8" s="1"/>
  <c r="R123" i="8" s="1"/>
  <c r="R174" i="8" s="1"/>
  <c r="R225" i="8" s="1"/>
  <c r="C11" i="7"/>
  <c r="R11" i="7" s="1"/>
  <c r="R68" i="7" s="1"/>
  <c r="R125" i="7" s="1"/>
  <c r="R176" i="7" s="1"/>
  <c r="R227" i="7" s="1"/>
  <c r="R10" i="7"/>
  <c r="R67" i="7" s="1"/>
  <c r="R124" i="7" s="1"/>
  <c r="R175" i="7" s="1"/>
  <c r="R226" i="7" s="1"/>
  <c r="R11" i="2"/>
  <c r="R62" i="2" s="1"/>
  <c r="R10" i="2"/>
  <c r="R61" i="2" s="1"/>
</calcChain>
</file>

<file path=xl/sharedStrings.xml><?xml version="1.0" encoding="utf-8"?>
<sst xmlns="http://schemas.openxmlformats.org/spreadsheetml/2006/main" count="3670" uniqueCount="268">
  <si>
    <r>
      <t xml:space="preserve">실비
</t>
    </r>
    <r>
      <rPr>
        <sz val="10"/>
        <color rgb="FFFF0000"/>
        <rFont val="맑은 고딕"/>
        <family val="3"/>
        <charset val="129"/>
      </rPr>
      <t>(갱신형)</t>
    </r>
  </si>
  <si>
    <r>
      <t xml:space="preserve">실비
</t>
    </r>
    <r>
      <rPr>
        <sz val="11"/>
        <color rgb="FFFF0000"/>
        <rFont val="맑은 고딕"/>
        <family val="3"/>
        <charset val="129"/>
      </rPr>
      <t>(갱신형)</t>
    </r>
  </si>
  <si>
    <t>보장기간</t>
  </si>
  <si>
    <t>보험료 총액</t>
  </si>
  <si>
    <t>기 납입금</t>
  </si>
  <si>
    <t>급성심근경색</t>
  </si>
  <si>
    <t>입원일당</t>
  </si>
  <si>
    <t>재해/상해</t>
  </si>
  <si>
    <t>허혈성심장</t>
  </si>
  <si>
    <t>암수술비</t>
  </si>
  <si>
    <t>항암치료비</t>
  </si>
  <si>
    <t>변호사선임</t>
  </si>
  <si>
    <t>월 보험료</t>
  </si>
  <si>
    <t>KB손해보험</t>
  </si>
  <si>
    <t>1년갱신</t>
  </si>
  <si>
    <t>평가 기준일</t>
  </si>
  <si>
    <t>후유장해</t>
  </si>
  <si>
    <t>계약일자</t>
  </si>
  <si>
    <t>미 납입금</t>
  </si>
  <si>
    <t>2대
질병</t>
  </si>
  <si>
    <t>암입원비</t>
  </si>
  <si>
    <t>실손의료비보험</t>
  </si>
  <si>
    <t>100세</t>
  </si>
  <si>
    <t>납입기간 / 기납입기간</t>
  </si>
  <si>
    <t>재해/상해 80% 미만</t>
  </si>
  <si>
    <t>재해/상해 80% 이상</t>
  </si>
  <si>
    <r>
      <t xml:space="preserve">실비
</t>
    </r>
    <r>
      <rPr>
        <sz val="10"/>
        <color rgb="FFFF0000"/>
        <rFont val="맑은 고딕"/>
        <family val="3"/>
        <charset val="129"/>
      </rPr>
      <t>(갱신형)</t>
    </r>
  </si>
  <si>
    <t>교통사고처리지원</t>
  </si>
  <si>
    <t>계약자 / 피보험자</t>
  </si>
  <si>
    <t>질병 80% 미만</t>
  </si>
  <si>
    <t>일상생활배상책임</t>
  </si>
  <si>
    <t>합산 기 납입금</t>
  </si>
  <si>
    <t>뇌,심장 수술비</t>
  </si>
  <si>
    <t>합산 보험료 총액</t>
  </si>
  <si>
    <t>합산 월 보험료</t>
  </si>
  <si>
    <t>합산 미 납입금</t>
  </si>
  <si>
    <t>질병 80% 이상</t>
  </si>
  <si>
    <t>비고 / 갱신종류</t>
  </si>
  <si>
    <t>기타</t>
  </si>
  <si>
    <t>수술비</t>
  </si>
  <si>
    <t>진단비</t>
  </si>
  <si>
    <t>벌금</t>
  </si>
  <si>
    <t>화상</t>
  </si>
  <si>
    <t>뇌졸증</t>
  </si>
  <si>
    <t>질병</t>
  </si>
  <si>
    <t>골절</t>
  </si>
  <si>
    <t>소액암</t>
  </si>
  <si>
    <t>사망</t>
  </si>
  <si>
    <t>일반</t>
  </si>
  <si>
    <t>상품명</t>
  </si>
  <si>
    <t>암</t>
  </si>
  <si>
    <t>뇌혈관</t>
  </si>
  <si>
    <t>운전자</t>
  </si>
  <si>
    <t>뇌출혈</t>
  </si>
  <si>
    <t>상해</t>
  </si>
  <si>
    <t>일반암</t>
  </si>
  <si>
    <t>실비 / 갱신</t>
  </si>
  <si>
    <t>31세만기</t>
  </si>
  <si>
    <t>상해급여의료비</t>
  </si>
  <si>
    <t>질병급여의료비</t>
  </si>
  <si>
    <t>상해통원의료비</t>
  </si>
  <si>
    <t>64대 이상</t>
  </si>
  <si>
    <t>아말감 7천원</t>
  </si>
  <si>
    <t>33세만기</t>
  </si>
  <si>
    <t>상해입원의료비</t>
  </si>
  <si>
    <t>심장질환</t>
  </si>
  <si>
    <t>질병입원의료비</t>
  </si>
  <si>
    <t>처브에이스손해</t>
  </si>
  <si>
    <t>1~5종</t>
  </si>
  <si>
    <t>질병통원의료비</t>
  </si>
  <si>
    <t>발치 7천원</t>
  </si>
  <si>
    <t>플러스치아안심보험 1종고급</t>
  </si>
  <si>
    <t>무)치아충전치료보장보험</t>
  </si>
  <si>
    <t>이나현님 보장분석(후)</t>
  </si>
  <si>
    <t>3대진단 + 수술 종합건강</t>
  </si>
  <si>
    <t>33세</t>
  </si>
  <si>
    <t>31세</t>
  </si>
  <si>
    <t>치아</t>
  </si>
  <si>
    <t>상해 80% 이상</t>
  </si>
  <si>
    <t>골드인레이온레이8만</t>
  </si>
  <si>
    <t>간접치아충전13만</t>
  </si>
  <si>
    <t>질병 3% ~80%</t>
  </si>
  <si>
    <t>3개근관치료 2만2천</t>
  </si>
  <si>
    <t>골드인레이온레이 5만</t>
  </si>
  <si>
    <t>크라운치료 10만</t>
  </si>
  <si>
    <t>15년만기재가입</t>
  </si>
  <si>
    <t>아말감 레진 7천원</t>
  </si>
  <si>
    <t>상해 3% ~ 80%</t>
  </si>
  <si>
    <t>상해비급여의료비</t>
  </si>
  <si>
    <t>3대비급여 의료비</t>
  </si>
  <si>
    <t>이연하 / 이연하</t>
  </si>
  <si>
    <t>총 보장 (원)</t>
  </si>
  <si>
    <t>금쪽같은 자녀보험</t>
  </si>
  <si>
    <t>이나현 / 이나현</t>
  </si>
  <si>
    <t>질병비급여의료비</t>
  </si>
  <si>
    <t>암수술비</t>
    <phoneticPr fontId="26" type="noConversion"/>
  </si>
  <si>
    <t>90세</t>
    <phoneticPr fontId="26" type="noConversion"/>
  </si>
  <si>
    <t>뇌/심장질환수술비</t>
    <phoneticPr fontId="26" type="noConversion"/>
  </si>
  <si>
    <t>NH농협손해보험</t>
    <phoneticPr fontId="26" type="noConversion"/>
  </si>
  <si>
    <t>이민호/이민호</t>
    <phoneticPr fontId="26" type="noConversion"/>
  </si>
  <si>
    <t>질병1-5종</t>
    <phoneticPr fontId="26" type="noConversion"/>
  </si>
  <si>
    <t>가성비굿건강보험6종</t>
    <phoneticPr fontId="26" type="noConversion"/>
  </si>
  <si>
    <t>가성비굿건강보험6종</t>
    <phoneticPr fontId="26" type="noConversion"/>
  </si>
  <si>
    <t>90세</t>
    <phoneticPr fontId="26" type="noConversion"/>
  </si>
  <si>
    <t>NH헤아림3.10.10건강보험3종</t>
    <phoneticPr fontId="26" type="noConversion"/>
  </si>
  <si>
    <t>100세</t>
    <phoneticPr fontId="26" type="noConversion"/>
  </si>
  <si>
    <t>77세</t>
    <phoneticPr fontId="26" type="noConversion"/>
  </si>
  <si>
    <t>2대질환주요치료비</t>
    <phoneticPr fontId="26" type="noConversion"/>
  </si>
  <si>
    <t>NH리치간병보험2종</t>
    <phoneticPr fontId="26" type="noConversion"/>
  </si>
  <si>
    <t>종합/비갱신</t>
    <phoneticPr fontId="26" type="noConversion"/>
  </si>
  <si>
    <t>이민호님 보장분석(전)</t>
    <phoneticPr fontId="26" type="noConversion"/>
  </si>
  <si>
    <t>전이암</t>
    <phoneticPr fontId="26" type="noConversion"/>
  </si>
  <si>
    <t>항암약물치료</t>
    <phoneticPr fontId="26" type="noConversion"/>
  </si>
  <si>
    <t>N대질병</t>
    <phoneticPr fontId="26" type="noConversion"/>
  </si>
  <si>
    <t>방사선세기조절2,000만</t>
    <phoneticPr fontId="26" type="noConversion"/>
  </si>
  <si>
    <t>방사선양성자2,000만</t>
    <phoneticPr fontId="26" type="noConversion"/>
  </si>
  <si>
    <t>장기요양진단1급1,000만</t>
    <phoneticPr fontId="26" type="noConversion"/>
  </si>
  <si>
    <t>20년갱신</t>
    <phoneticPr fontId="26" type="noConversion"/>
  </si>
  <si>
    <t>90세</t>
  </si>
  <si>
    <t>90세</t>
    <phoneticPr fontId="26" type="noConversion"/>
  </si>
  <si>
    <t>10년갱신</t>
  </si>
  <si>
    <t>10년갱신</t>
    <phoneticPr fontId="26" type="noConversion"/>
  </si>
  <si>
    <t>10년갱신</t>
    <phoneticPr fontId="26" type="noConversion"/>
  </si>
  <si>
    <t>암치료비/갱신</t>
    <phoneticPr fontId="26" type="noConversion"/>
  </si>
  <si>
    <t>장기요양+간병/비갱신</t>
    <phoneticPr fontId="26" type="noConversion"/>
  </si>
  <si>
    <t>간병인</t>
    <phoneticPr fontId="26" type="noConversion"/>
  </si>
  <si>
    <t>병원사용</t>
    <phoneticPr fontId="26" type="noConversion"/>
  </si>
  <si>
    <t>요양병원사용</t>
    <phoneticPr fontId="26" type="noConversion"/>
  </si>
  <si>
    <t>간호간병통합사용</t>
    <phoneticPr fontId="26" type="noConversion"/>
  </si>
  <si>
    <t>항암방사선치료</t>
    <phoneticPr fontId="26" type="noConversion"/>
  </si>
  <si>
    <t>암주요치료비</t>
    <phoneticPr fontId="26" type="noConversion"/>
  </si>
  <si>
    <t>비급여암치료비</t>
    <phoneticPr fontId="26" type="noConversion"/>
  </si>
  <si>
    <t>장기요양진단2급2000만</t>
    <phoneticPr fontId="26" type="noConversion"/>
  </si>
  <si>
    <t>장기요양진단4급1000만</t>
    <phoneticPr fontId="26" type="noConversion"/>
  </si>
  <si>
    <t>장기요양진단5급1000만</t>
    <phoneticPr fontId="26" type="noConversion"/>
  </si>
  <si>
    <t>100세</t>
    <phoneticPr fontId="26" type="noConversion"/>
  </si>
  <si>
    <t>올바른지구굿데이운전자보험</t>
    <phoneticPr fontId="26" type="noConversion"/>
  </si>
  <si>
    <t>베스트간병보험3종</t>
    <phoneticPr fontId="26" type="noConversion"/>
  </si>
  <si>
    <t>운전자+상해/20년만기</t>
    <phoneticPr fontId="26" type="noConversion"/>
  </si>
  <si>
    <t>자동차부상치료30만원</t>
    <phoneticPr fontId="26" type="noConversion"/>
  </si>
  <si>
    <t>77세</t>
  </si>
  <si>
    <t>77세</t>
    <phoneticPr fontId="26" type="noConversion"/>
  </si>
  <si>
    <t>상해입원수술50만</t>
    <phoneticPr fontId="26" type="noConversion"/>
  </si>
  <si>
    <t>상해1~8종수술1500만</t>
    <phoneticPr fontId="26" type="noConversion"/>
  </si>
  <si>
    <t>장기요양진단2급500만</t>
    <phoneticPr fontId="26" type="noConversion"/>
  </si>
  <si>
    <t>장기요양진단4급1,000만</t>
    <phoneticPr fontId="26" type="noConversion"/>
  </si>
  <si>
    <t>장기요양/비갱신</t>
    <phoneticPr fontId="26" type="noConversion"/>
  </si>
  <si>
    <r>
      <t xml:space="preserve">실비
</t>
    </r>
    <r>
      <rPr>
        <sz val="11"/>
        <color rgb="FFFF0000"/>
        <rFont val="맑은 고딕"/>
        <family val="3"/>
        <charset val="129"/>
      </rPr>
      <t>(갱신)</t>
    </r>
    <phoneticPr fontId="26" type="noConversion"/>
  </si>
  <si>
    <t>상해통원의료비</t>
    <phoneticPr fontId="26" type="noConversion"/>
  </si>
  <si>
    <t>질병입원의료비</t>
    <phoneticPr fontId="26" type="noConversion"/>
  </si>
  <si>
    <t>질병통원의료비</t>
    <phoneticPr fontId="26" type="noConversion"/>
  </si>
  <si>
    <t>상해입원의료비</t>
    <phoneticPr fontId="26" type="noConversion"/>
  </si>
  <si>
    <t>푸본현대생명</t>
    <phoneticPr fontId="26" type="noConversion"/>
  </si>
  <si>
    <t>건강보험마이픽</t>
    <phoneticPr fontId="26" type="noConversion"/>
  </si>
  <si>
    <t>이민호/이민호</t>
    <phoneticPr fontId="26" type="noConversion"/>
  </si>
  <si>
    <t>종신</t>
    <phoneticPr fontId="26" type="noConversion"/>
  </si>
  <si>
    <t>암치료/비갱신</t>
    <phoneticPr fontId="26" type="noConversion"/>
  </si>
  <si>
    <t>이민호님 보장분석(후)</t>
    <phoneticPr fontId="26" type="noConversion"/>
  </si>
  <si>
    <t>한화손해보험</t>
    <phoneticPr fontId="26" type="noConversion"/>
  </si>
  <si>
    <t>실손의료비보험</t>
    <phoneticPr fontId="26" type="noConversion"/>
  </si>
  <si>
    <t>메리츠화재</t>
    <phoneticPr fontId="26" type="noConversion"/>
  </si>
  <si>
    <t>더건강한보장보험</t>
    <phoneticPr fontId="26" type="noConversion"/>
  </si>
  <si>
    <t>다빈치로봇수술</t>
    <phoneticPr fontId="26" type="noConversion"/>
  </si>
  <si>
    <t>암수술</t>
    <phoneticPr fontId="26" type="noConversion"/>
  </si>
  <si>
    <t>항암방사선</t>
    <phoneticPr fontId="26" type="noConversion"/>
  </si>
  <si>
    <t>중입자방사선</t>
    <phoneticPr fontId="26" type="noConversion"/>
  </si>
  <si>
    <t>항암약물</t>
    <phoneticPr fontId="26" type="noConversion"/>
  </si>
  <si>
    <t>표적항암약물</t>
    <phoneticPr fontId="26" type="noConversion"/>
  </si>
  <si>
    <t>암진단비</t>
    <phoneticPr fontId="26" type="noConversion"/>
  </si>
  <si>
    <t>2대질병산정특례1000만</t>
    <phoneticPr fontId="26" type="noConversion"/>
  </si>
  <si>
    <t>특정암산적특례2000만</t>
    <phoneticPr fontId="26" type="noConversion"/>
  </si>
  <si>
    <t>암주요치료지원금1억</t>
    <phoneticPr fontId="26" type="noConversion"/>
  </si>
  <si>
    <t>암주요치료1000만</t>
    <phoneticPr fontId="26" type="noConversion"/>
  </si>
  <si>
    <t>실비/1년갱신5년재가입</t>
    <phoneticPr fontId="26" type="noConversion"/>
  </si>
  <si>
    <t>1년갱신</t>
    <phoneticPr fontId="26" type="noConversion"/>
  </si>
  <si>
    <t>연간한도</t>
    <phoneticPr fontId="26" type="noConversion"/>
  </si>
  <si>
    <t>운전자보험</t>
    <phoneticPr fontId="26" type="noConversion"/>
  </si>
  <si>
    <t>더건강한한아름종합보험</t>
    <phoneticPr fontId="26" type="noConversion"/>
  </si>
  <si>
    <t>6주미만합의1000만</t>
    <phoneticPr fontId="26" type="noConversion"/>
  </si>
  <si>
    <t>연간1회</t>
    <phoneticPr fontId="26" type="noConversion"/>
  </si>
  <si>
    <t>질병중환자실입원1000만</t>
    <phoneticPr fontId="26" type="noConversion"/>
  </si>
  <si>
    <t>연간1회</t>
  </si>
  <si>
    <t>면역항암약물4000만</t>
    <phoneticPr fontId="26" type="noConversion"/>
  </si>
  <si>
    <t>암통합치료비1억</t>
    <phoneticPr fontId="26" type="noConversion"/>
  </si>
  <si>
    <t>양성자방사선</t>
    <phoneticPr fontId="26" type="noConversion"/>
  </si>
  <si>
    <t>세기조절방사선</t>
    <phoneticPr fontId="26" type="noConversion"/>
  </si>
  <si>
    <t>면역항암약물</t>
    <phoneticPr fontId="26" type="noConversion"/>
  </si>
  <si>
    <t>삼성화재</t>
    <phoneticPr fontId="26" type="noConversion"/>
  </si>
  <si>
    <t>민소소송법률비용2000만</t>
    <phoneticPr fontId="26" type="noConversion"/>
  </si>
  <si>
    <t>업무상과실치상법률2000만</t>
    <phoneticPr fontId="26" type="noConversion"/>
  </si>
  <si>
    <t>20년</t>
  </si>
  <si>
    <t>20년</t>
    <phoneticPr fontId="26" type="noConversion"/>
  </si>
  <si>
    <t>10년갱신</t>
    <phoneticPr fontId="26" type="noConversion"/>
  </si>
  <si>
    <t>뇌혈관진단</t>
    <phoneticPr fontId="26" type="noConversion"/>
  </si>
  <si>
    <t>뇌졸증진단</t>
    <phoneticPr fontId="26" type="noConversion"/>
  </si>
  <si>
    <t>뇌출혈진단</t>
    <phoneticPr fontId="26" type="noConversion"/>
  </si>
  <si>
    <t>심장질환진단</t>
    <phoneticPr fontId="26" type="noConversion"/>
  </si>
  <si>
    <t>허혈성심장진단</t>
    <phoneticPr fontId="26" type="noConversion"/>
  </si>
  <si>
    <t>급성심근경색진단</t>
    <phoneticPr fontId="26" type="noConversion"/>
  </si>
  <si>
    <t>수술비</t>
    <phoneticPr fontId="26" type="noConversion"/>
  </si>
  <si>
    <t>혈전용해치료</t>
    <phoneticPr fontId="26" type="noConversion"/>
  </si>
  <si>
    <t>중환자실치료</t>
    <phoneticPr fontId="26" type="noConversion"/>
  </si>
  <si>
    <r>
      <t xml:space="preserve">실비
</t>
    </r>
    <r>
      <rPr>
        <b/>
        <sz val="11"/>
        <color rgb="FFFF0000"/>
        <rFont val="맑은 고딕"/>
        <family val="3"/>
        <charset val="129"/>
      </rPr>
      <t>(갱신)</t>
    </r>
    <phoneticPr fontId="26" type="noConversion"/>
  </si>
  <si>
    <t>암진단</t>
    <phoneticPr fontId="26" type="noConversion"/>
  </si>
  <si>
    <t>1-5종</t>
    <phoneticPr fontId="26" type="noConversion"/>
  </si>
  <si>
    <t>유사암진단</t>
    <phoneticPr fontId="26" type="noConversion"/>
  </si>
  <si>
    <t>입원비</t>
    <phoneticPr fontId="26" type="noConversion"/>
  </si>
  <si>
    <t>질병</t>
    <phoneticPr fontId="26" type="noConversion"/>
  </si>
  <si>
    <t>상해</t>
    <phoneticPr fontId="26" type="noConversion"/>
  </si>
  <si>
    <t>혈전제거치료</t>
    <phoneticPr fontId="26" type="noConversion"/>
  </si>
  <si>
    <t>수술/시술비</t>
    <phoneticPr fontId="26" type="noConversion"/>
  </si>
  <si>
    <t>전이암진단</t>
    <phoneticPr fontId="26" type="noConversion"/>
  </si>
  <si>
    <t>암수술</t>
    <phoneticPr fontId="26" type="noConversion"/>
  </si>
  <si>
    <t>유사암진단</t>
    <phoneticPr fontId="26" type="noConversion"/>
  </si>
  <si>
    <t>전이암진단</t>
    <phoneticPr fontId="26" type="noConversion"/>
  </si>
  <si>
    <t>상해진단</t>
    <phoneticPr fontId="26" type="noConversion"/>
  </si>
  <si>
    <t>111대질병</t>
    <phoneticPr fontId="26" type="noConversion"/>
  </si>
  <si>
    <t>삼성생명</t>
    <phoneticPr fontId="26" type="noConversion"/>
  </si>
  <si>
    <t>상해입통원급여의료비</t>
    <phoneticPr fontId="26" type="noConversion"/>
  </si>
  <si>
    <t>상해입통원비급여의료비</t>
    <phoneticPr fontId="26" type="noConversion"/>
  </si>
  <si>
    <t>다이렉트 운전자보험</t>
    <phoneticPr fontId="26" type="noConversion"/>
  </si>
  <si>
    <t>실손의료비보장보험</t>
    <phoneticPr fontId="26" type="noConversion"/>
  </si>
  <si>
    <t>카티항암약물</t>
    <phoneticPr fontId="26" type="noConversion"/>
  </si>
  <si>
    <t>41세 만기자개입연장</t>
    <phoneticPr fontId="26" type="noConversion"/>
  </si>
  <si>
    <t>실비/1년갱신15년재가입</t>
    <phoneticPr fontId="26" type="noConversion"/>
  </si>
  <si>
    <t>자동차부상치료비20만</t>
    <phoneticPr fontId="26" type="noConversion"/>
  </si>
  <si>
    <t>상해입원수술30만</t>
    <phoneticPr fontId="26" type="noConversion"/>
  </si>
  <si>
    <t>창상봉합술2~20만</t>
    <phoneticPr fontId="26" type="noConversion"/>
  </si>
  <si>
    <t>교통상해입원2만</t>
    <phoneticPr fontId="26" type="noConversion"/>
  </si>
  <si>
    <t>39세</t>
  </si>
  <si>
    <t>39세</t>
    <phoneticPr fontId="26" type="noConversion"/>
  </si>
  <si>
    <t>운전자+상해/10년만기</t>
    <phoneticPr fontId="26" type="noConversion"/>
  </si>
  <si>
    <t>롯데손해보험</t>
    <phoneticPr fontId="26" type="noConversion"/>
  </si>
  <si>
    <t>let:play1540종합보험</t>
    <phoneticPr fontId="26" type="noConversion"/>
  </si>
  <si>
    <t>종합/비갱신+10년갱신</t>
    <phoneticPr fontId="26" type="noConversion"/>
  </si>
  <si>
    <t>양성뇌종양2000만</t>
    <phoneticPr fontId="26" type="noConversion"/>
  </si>
  <si>
    <t>각막이식수술3000만</t>
    <phoneticPr fontId="26" type="noConversion"/>
  </si>
  <si>
    <t>80세</t>
  </si>
  <si>
    <t>80세</t>
    <phoneticPr fontId="26" type="noConversion"/>
  </si>
  <si>
    <t>조혈모세포이식수술1000만</t>
    <phoneticPr fontId="26" type="noConversion"/>
  </si>
  <si>
    <t>5대장기이식수술2000만</t>
    <phoneticPr fontId="26" type="noConversion"/>
  </si>
  <si>
    <t>정기보험</t>
    <phoneticPr fontId="26" type="noConversion"/>
  </si>
  <si>
    <t>20년만기</t>
    <phoneticPr fontId="26" type="noConversion"/>
  </si>
  <si>
    <t>55세</t>
    <phoneticPr fontId="26" type="noConversion"/>
  </si>
  <si>
    <t>ㅇㅇㅇ님 보장분석(전)</t>
    <phoneticPr fontId="26" type="noConversion"/>
  </si>
  <si>
    <t>홍길동/홍길동</t>
    <phoneticPr fontId="26" type="noConversion"/>
  </si>
  <si>
    <t>홍길동 보장분석</t>
    <phoneticPr fontId="26" type="noConversion"/>
  </si>
  <si>
    <t>메리츠화재</t>
    <phoneticPr fontId="26" type="noConversion"/>
  </si>
  <si>
    <t>메리츠화재</t>
    <phoneticPr fontId="26" type="noConversion"/>
  </si>
  <si>
    <t>신한라이프</t>
    <phoneticPr fontId="26" type="noConversion"/>
  </si>
  <si>
    <t>라이나생명</t>
    <phoneticPr fontId="26" type="noConversion"/>
  </si>
  <si>
    <t>나만의 보험(실손)</t>
    <phoneticPr fontId="26" type="noConversion"/>
  </si>
  <si>
    <t>케어프리(건강)</t>
    <phoneticPr fontId="26" type="noConversion"/>
  </si>
  <si>
    <t>참좋은치아보험</t>
    <phoneticPr fontId="26" type="noConversion"/>
  </si>
  <si>
    <t>건강한치아보험</t>
    <phoneticPr fontId="26" type="noConversion"/>
  </si>
  <si>
    <t>서*향/박관수</t>
    <phoneticPr fontId="26" type="noConversion"/>
  </si>
  <si>
    <t>100세</t>
    <phoneticPr fontId="26" type="noConversion"/>
  </si>
  <si>
    <t>100세</t>
    <phoneticPr fontId="26" type="noConversion"/>
  </si>
  <si>
    <t>10년</t>
    <phoneticPr fontId="26" type="noConversion"/>
  </si>
  <si>
    <t>일부갱신형</t>
    <phoneticPr fontId="26" type="noConversion"/>
  </si>
  <si>
    <t>일부갱신형</t>
    <phoneticPr fontId="26" type="noConversion"/>
  </si>
  <si>
    <t>10년갱신형</t>
    <phoneticPr fontId="26" type="noConversion"/>
  </si>
  <si>
    <t>3년갱신</t>
    <phoneticPr fontId="26" type="noConversion"/>
  </si>
  <si>
    <t>7대질병수술비</t>
    <phoneticPr fontId="26" type="noConversion"/>
  </si>
  <si>
    <t>250만</t>
    <phoneticPr fontId="26" type="noConversion"/>
  </si>
  <si>
    <t>항암방사선약물</t>
    <phoneticPr fontId="26" type="noConversion"/>
  </si>
  <si>
    <t>200만</t>
    <phoneticPr fontId="26" type="noConversion"/>
  </si>
  <si>
    <t>박관수님 보장분석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</si>
</sst>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#,##0_);[Red]\(#,##0\)"/>
    <numFmt numFmtId="177" formatCode="#&quot;년&quot;"/>
    <numFmt numFmtId="178" formatCode="#&quot;개월&quot;"/>
    <numFmt numFmtId="179" formatCode="&quot;₩&quot;#,##0_);[Red]\(&quot;₩&quot;#,##0\)"/>
  </numFmts>
  <fonts count="49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10"/>
      <color rgb="FFFF000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568ED4"/>
      <name val="맑은 고딕"/>
      <family val="3"/>
      <charset val="129"/>
    </font>
    <font>
      <sz val="10"/>
      <color rgb="FFCC00FF"/>
      <name val="맑은 고딕"/>
      <family val="3"/>
      <charset val="129"/>
    </font>
    <font>
      <sz val="10"/>
      <color rgb="FFFFFFFF"/>
      <name val="맑은 고딕"/>
      <family val="3"/>
      <charset val="129"/>
    </font>
    <font>
      <sz val="9"/>
      <color rgb="FFFF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7"/>
      <color rgb="FF000000"/>
      <name val="맑은 고딕"/>
      <family val="3"/>
      <charset val="129"/>
    </font>
    <font>
      <b/>
      <sz val="8"/>
      <color rgb="FFFF0000"/>
      <name val="맑은 고딕"/>
      <family val="3"/>
      <charset val="129"/>
    </font>
    <font>
      <sz val="9"/>
      <color rgb="FFC00000"/>
      <name val="맑은 고딕"/>
      <family val="3"/>
      <charset val="129"/>
    </font>
    <font>
      <sz val="8"/>
      <color rgb="FFC00000"/>
      <name val="맑은 고딕"/>
      <family val="3"/>
      <charset val="129"/>
    </font>
    <font>
      <b/>
      <sz val="9"/>
      <color rgb="FFC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sz val="11"/>
      <color rgb="FFFFFFFF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b/>
      <sz val="8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8"/>
      <name val="돋움"/>
      <family val="3"/>
      <charset val="129"/>
    </font>
    <font>
      <b/>
      <sz val="7"/>
      <color rgb="FFFF0000"/>
      <name val="맑은 고딕"/>
      <family val="3"/>
      <charset val="129"/>
    </font>
    <font>
      <sz val="9"/>
      <name val="맑은 고딕"/>
      <family val="3"/>
      <charset val="129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rgb="FF0070C0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b/>
      <sz val="7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7"/>
      <color rgb="FF000000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b/>
      <sz val="7"/>
      <name val="맑은 고딕"/>
      <family val="3"/>
      <charset val="129"/>
    </font>
    <font>
      <sz val="7"/>
      <name val="맑은 고딕"/>
      <family val="3"/>
      <charset val="129"/>
    </font>
    <font>
      <sz val="6"/>
      <color rgb="FFC00000"/>
      <name val="맑은 고딕"/>
      <family val="3"/>
      <charset val="129"/>
    </font>
    <font>
      <b/>
      <sz val="6"/>
      <color rgb="FFC00000"/>
      <name val="맑은 고딕"/>
      <family val="3"/>
      <charset val="129"/>
    </font>
    <font>
      <b/>
      <sz val="8"/>
      <color rgb="FFC00000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b/>
      <sz val="6"/>
      <color rgb="FFFF0000"/>
      <name val="맑은 고딕"/>
      <family val="3"/>
      <charset val="129"/>
    </font>
  </fonts>
  <fills count="21">
    <fill>
      <patternFill patternType="none"/>
    </fill>
    <fill>
      <patternFill patternType="gray125"/>
    </fill>
    <fill>
      <patternFill patternType="solid">
        <fgColor rgb="FFC6DA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D7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DEA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6E0ED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rgb="FFFCD5B5"/>
        <bgColor indexed="64"/>
      </patternFill>
    </fill>
    <fill>
      <patternFill patternType="solid">
        <fgColor rgb="FFCCC1DA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9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medium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 diagonalDown="1">
      <left style="medium">
        <color auto="1"/>
      </left>
      <right/>
      <top style="thin">
        <color auto="1"/>
      </top>
      <bottom style="thin">
        <color auto="1"/>
      </bottom>
      <diagonal style="thin">
        <color auto="1"/>
      </diagonal>
    </border>
    <border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 diagonalDown="1">
      <left/>
      <right style="medium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793">
    <xf numFmtId="0" fontId="0" fillId="0" borderId="0" xfId="0">
      <alignment vertical="center"/>
    </xf>
    <xf numFmtId="0" fontId="0" fillId="0" borderId="0" xfId="0" applyAlignment="1">
      <alignment vertical="center" shrinkToFit="1"/>
    </xf>
    <xf numFmtId="0" fontId="0" fillId="0" borderId="0" xfId="0" applyProtection="1">
      <alignment vertical="center"/>
      <protection locked="0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0" borderId="1" xfId="0" applyNumberFormat="1" applyFont="1" applyBorder="1">
      <alignment vertical="center"/>
    </xf>
    <xf numFmtId="176" fontId="2" fillId="0" borderId="2" xfId="0" applyNumberFormat="1" applyFont="1" applyBorder="1">
      <alignment vertical="center"/>
    </xf>
    <xf numFmtId="176" fontId="2" fillId="0" borderId="3" xfId="0" applyNumberFormat="1" applyFont="1" applyBorder="1">
      <alignment vertical="center"/>
    </xf>
    <xf numFmtId="176" fontId="2" fillId="0" borderId="4" xfId="0" applyNumberFormat="1" applyFont="1" applyBorder="1">
      <alignment vertical="center"/>
    </xf>
    <xf numFmtId="176" fontId="4" fillId="0" borderId="2" xfId="0" applyNumberFormat="1" applyFont="1" applyBorder="1" applyAlignment="1">
      <alignment horizontal="center" vertical="center"/>
    </xf>
    <xf numFmtId="176" fontId="4" fillId="0" borderId="3" xfId="0" applyNumberFormat="1" applyFont="1" applyBorder="1" applyAlignment="1">
      <alignment horizontal="center" vertical="center"/>
    </xf>
    <xf numFmtId="176" fontId="4" fillId="0" borderId="4" xfId="0" applyNumberFormat="1" applyFont="1" applyBorder="1" applyAlignment="1">
      <alignment horizontal="center" vertical="center"/>
    </xf>
    <xf numFmtId="176" fontId="2" fillId="0" borderId="5" xfId="0" applyNumberFormat="1" applyFont="1" applyBorder="1">
      <alignment vertical="center"/>
    </xf>
    <xf numFmtId="176" fontId="4" fillId="0" borderId="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176" fontId="3" fillId="0" borderId="1" xfId="0" applyNumberFormat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176" fontId="3" fillId="0" borderId="4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right" vertical="center"/>
    </xf>
    <xf numFmtId="176" fontId="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shrinkToFit="1"/>
    </xf>
    <xf numFmtId="176" fontId="2" fillId="0" borderId="0" xfId="0" applyNumberFormat="1" applyFont="1" applyAlignment="1">
      <alignment horizontal="center" vertical="center"/>
    </xf>
    <xf numFmtId="0" fontId="2" fillId="2" borderId="6" xfId="0" applyFont="1" applyFill="1" applyBorder="1" applyAlignment="1">
      <alignment horizontal="center" vertical="center" shrinkToFit="1"/>
    </xf>
    <xf numFmtId="176" fontId="2" fillId="0" borderId="7" xfId="0" applyNumberFormat="1" applyFont="1" applyBorder="1">
      <alignment vertical="center"/>
    </xf>
    <xf numFmtId="176" fontId="2" fillId="0" borderId="7" xfId="0" applyNumberFormat="1" applyFont="1" applyBorder="1" applyAlignment="1">
      <alignment horizontal="right" vertical="center"/>
    </xf>
    <xf numFmtId="176" fontId="2" fillId="0" borderId="8" xfId="0" applyNumberFormat="1" applyFont="1" applyBorder="1" applyAlignment="1">
      <alignment horizontal="right" vertical="center"/>
    </xf>
    <xf numFmtId="176" fontId="2" fillId="0" borderId="2" xfId="0" applyNumberFormat="1" applyFont="1" applyBorder="1" applyAlignment="1">
      <alignment horizontal="right" vertical="center"/>
    </xf>
    <xf numFmtId="176" fontId="2" fillId="0" borderId="3" xfId="0" applyNumberFormat="1" applyFont="1" applyBorder="1" applyAlignment="1">
      <alignment horizontal="right" vertical="center"/>
    </xf>
    <xf numFmtId="176" fontId="2" fillId="0" borderId="1" xfId="0" applyNumberFormat="1" applyFont="1" applyBorder="1" applyAlignment="1">
      <alignment horizontal="right"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>
      <alignment vertical="center"/>
    </xf>
    <xf numFmtId="176" fontId="2" fillId="0" borderId="10" xfId="0" applyNumberFormat="1" applyFont="1" applyBorder="1">
      <alignment vertical="center"/>
    </xf>
    <xf numFmtId="176" fontId="4" fillId="0" borderId="9" xfId="0" applyNumberFormat="1" applyFont="1" applyBorder="1" applyAlignment="1">
      <alignment horizontal="center" vertical="center"/>
    </xf>
    <xf numFmtId="176" fontId="3" fillId="0" borderId="11" xfId="0" applyNumberFormat="1" applyFont="1" applyBorder="1" applyAlignment="1">
      <alignment horizontal="center" vertical="center"/>
    </xf>
    <xf numFmtId="176" fontId="2" fillId="0" borderId="11" xfId="0" applyNumberFormat="1" applyFont="1" applyBorder="1">
      <alignment vertical="center"/>
    </xf>
    <xf numFmtId="176" fontId="4" fillId="0" borderId="11" xfId="0" applyNumberFormat="1" applyFont="1" applyBorder="1" applyAlignment="1">
      <alignment horizontal="center" vertical="center"/>
    </xf>
    <xf numFmtId="176" fontId="2" fillId="0" borderId="12" xfId="0" applyNumberFormat="1" applyFont="1" applyBorder="1">
      <alignment vertical="center"/>
    </xf>
    <xf numFmtId="176" fontId="2" fillId="0" borderId="8" xfId="0" applyNumberFormat="1" applyFont="1" applyBorder="1">
      <alignment vertical="center"/>
    </xf>
    <xf numFmtId="176" fontId="2" fillId="0" borderId="13" xfId="0" applyNumberFormat="1" applyFont="1" applyBorder="1">
      <alignment vertical="center"/>
    </xf>
    <xf numFmtId="176" fontId="2" fillId="0" borderId="14" xfId="0" applyNumberFormat="1" applyFont="1" applyBorder="1">
      <alignment vertical="center"/>
    </xf>
    <xf numFmtId="176" fontId="2" fillId="0" borderId="15" xfId="0" applyNumberFormat="1" applyFont="1" applyBorder="1">
      <alignment vertical="center"/>
    </xf>
    <xf numFmtId="176" fontId="3" fillId="0" borderId="12" xfId="0" applyNumberFormat="1" applyFont="1" applyBorder="1" applyAlignment="1">
      <alignment horizontal="right" vertical="center"/>
    </xf>
    <xf numFmtId="176" fontId="3" fillId="0" borderId="10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  <xf numFmtId="176" fontId="2" fillId="0" borderId="16" xfId="0" applyNumberFormat="1" applyFont="1" applyBorder="1">
      <alignment vertical="center"/>
    </xf>
    <xf numFmtId="176" fontId="2" fillId="0" borderId="17" xfId="0" applyNumberFormat="1" applyFont="1" applyBorder="1">
      <alignment vertical="center"/>
    </xf>
    <xf numFmtId="176" fontId="5" fillId="3" borderId="6" xfId="0" applyNumberFormat="1" applyFont="1" applyFill="1" applyBorder="1" applyAlignment="1">
      <alignment horizontal="right" vertical="center"/>
    </xf>
    <xf numFmtId="176" fontId="5" fillId="3" borderId="18" xfId="0" applyNumberFormat="1" applyFont="1" applyFill="1" applyBorder="1" applyAlignment="1">
      <alignment horizontal="right" vertical="center"/>
    </xf>
    <xf numFmtId="176" fontId="2" fillId="0" borderId="19" xfId="0" applyNumberFormat="1" applyFont="1" applyBorder="1">
      <alignment vertical="center"/>
    </xf>
    <xf numFmtId="0" fontId="2" fillId="4" borderId="20" xfId="0" applyFont="1" applyFill="1" applyBorder="1" applyAlignment="1">
      <alignment horizontal="center" vertical="center" shrinkToFit="1"/>
    </xf>
    <xf numFmtId="0" fontId="2" fillId="4" borderId="21" xfId="0" applyFont="1" applyFill="1" applyBorder="1" applyAlignment="1">
      <alignment horizontal="center" vertical="center" shrinkToFit="1"/>
    </xf>
    <xf numFmtId="0" fontId="2" fillId="4" borderId="22" xfId="0" applyFont="1" applyFill="1" applyBorder="1" applyAlignment="1">
      <alignment horizontal="center" vertical="center" shrinkToFit="1"/>
    </xf>
    <xf numFmtId="0" fontId="2" fillId="5" borderId="23" xfId="0" applyFont="1" applyFill="1" applyBorder="1" applyAlignment="1">
      <alignment horizontal="center" vertical="center" shrinkToFit="1"/>
    </xf>
    <xf numFmtId="0" fontId="2" fillId="6" borderId="21" xfId="0" applyFont="1" applyFill="1" applyBorder="1" applyAlignment="1">
      <alignment horizontal="center" vertical="center" shrinkToFit="1"/>
    </xf>
    <xf numFmtId="0" fontId="2" fillId="6" borderId="22" xfId="0" applyFont="1" applyFill="1" applyBorder="1" applyAlignment="1">
      <alignment horizontal="center" vertical="center" shrinkToFit="1"/>
    </xf>
    <xf numFmtId="176" fontId="6" fillId="7" borderId="6" xfId="0" applyNumberFormat="1" applyFont="1" applyFill="1" applyBorder="1" applyAlignment="1">
      <alignment horizontal="right" vertical="center"/>
    </xf>
    <xf numFmtId="177" fontId="7" fillId="0" borderId="24" xfId="0" applyNumberFormat="1" applyFont="1" applyBorder="1" applyAlignment="1">
      <alignment horizontal="center" vertical="center" shrinkToFit="1"/>
    </xf>
    <xf numFmtId="178" fontId="2" fillId="0" borderId="25" xfId="0" applyNumberFormat="1" applyFont="1" applyBorder="1" applyAlignment="1">
      <alignment horizontal="center" vertical="center" shrinkToFit="1"/>
    </xf>
    <xf numFmtId="176" fontId="2" fillId="0" borderId="9" xfId="0" applyNumberFormat="1" applyFont="1" applyBorder="1" applyAlignment="1">
      <alignment horizontal="center" vertical="center"/>
    </xf>
    <xf numFmtId="178" fontId="2" fillId="0" borderId="26" xfId="0" applyNumberFormat="1" applyFont="1" applyBorder="1" applyAlignment="1">
      <alignment horizontal="center" vertical="center" shrinkToFit="1"/>
    </xf>
    <xf numFmtId="178" fontId="2" fillId="0" borderId="26" xfId="0" applyNumberFormat="1" applyFont="1" applyBorder="1" applyAlignment="1">
      <alignment horizontal="left" vertical="center" shrinkToFit="1"/>
    </xf>
    <xf numFmtId="176" fontId="3" fillId="0" borderId="27" xfId="0" applyNumberFormat="1" applyFont="1" applyBorder="1" applyAlignment="1">
      <alignment horizontal="left" vertical="center"/>
    </xf>
    <xf numFmtId="176" fontId="3" fillId="0" borderId="28" xfId="0" applyNumberFormat="1" applyFont="1" applyBorder="1" applyAlignment="1">
      <alignment horizontal="left" vertical="center"/>
    </xf>
    <xf numFmtId="176" fontId="3" fillId="0" borderId="29" xfId="0" applyNumberFormat="1" applyFont="1" applyBorder="1" applyAlignment="1">
      <alignment horizontal="left" vertical="center"/>
    </xf>
    <xf numFmtId="176" fontId="3" fillId="0" borderId="30" xfId="0" applyNumberFormat="1" applyFont="1" applyBorder="1" applyAlignment="1">
      <alignment horizontal="left" vertical="center"/>
    </xf>
    <xf numFmtId="176" fontId="3" fillId="0" borderId="31" xfId="0" applyNumberFormat="1" applyFont="1" applyBorder="1" applyAlignment="1">
      <alignment horizontal="left" vertical="center"/>
    </xf>
    <xf numFmtId="176" fontId="3" fillId="0" borderId="32" xfId="0" applyNumberFormat="1" applyFont="1" applyBorder="1" applyAlignment="1">
      <alignment horizontal="left" vertical="center"/>
    </xf>
    <xf numFmtId="176" fontId="3" fillId="0" borderId="33" xfId="0" applyNumberFormat="1" applyFont="1" applyBorder="1" applyAlignment="1">
      <alignment horizontal="left" vertical="center"/>
    </xf>
    <xf numFmtId="176" fontId="3" fillId="0" borderId="34" xfId="0" applyNumberFormat="1" applyFont="1" applyBorder="1" applyAlignment="1">
      <alignment horizontal="left" vertical="center"/>
    </xf>
    <xf numFmtId="176" fontId="4" fillId="0" borderId="32" xfId="0" applyNumberFormat="1" applyFont="1" applyBorder="1" applyAlignment="1">
      <alignment horizontal="left" vertical="center"/>
    </xf>
    <xf numFmtId="176" fontId="4" fillId="0" borderId="27" xfId="0" applyNumberFormat="1" applyFont="1" applyBorder="1" applyAlignment="1">
      <alignment horizontal="left" vertical="center"/>
    </xf>
    <xf numFmtId="176" fontId="4" fillId="0" borderId="28" xfId="0" applyNumberFormat="1" applyFont="1" applyBorder="1" applyAlignment="1">
      <alignment horizontal="left" vertical="center"/>
    </xf>
    <xf numFmtId="176" fontId="4" fillId="0" borderId="29" xfId="0" applyNumberFormat="1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176" fontId="6" fillId="7" borderId="26" xfId="0" applyNumberFormat="1" applyFont="1" applyFill="1" applyBorder="1" applyAlignment="1">
      <alignment horizontal="right" vertical="center"/>
    </xf>
    <xf numFmtId="176" fontId="8" fillId="0" borderId="26" xfId="0" applyNumberFormat="1" applyFont="1" applyBorder="1" applyAlignment="1">
      <alignment horizontal="right" vertical="center"/>
    </xf>
    <xf numFmtId="176" fontId="5" fillId="0" borderId="20" xfId="0" applyNumberFormat="1" applyFont="1" applyBorder="1" applyAlignment="1">
      <alignment horizontal="right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35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2" fillId="7" borderId="20" xfId="0" applyFont="1" applyFill="1" applyBorder="1" applyAlignment="1">
      <alignment horizontal="center" vertical="center" shrinkToFit="1"/>
    </xf>
    <xf numFmtId="0" fontId="2" fillId="7" borderId="36" xfId="0" applyFont="1" applyFill="1" applyBorder="1" applyAlignment="1">
      <alignment horizontal="center" vertical="center" shrinkToFit="1"/>
    </xf>
    <xf numFmtId="0" fontId="2" fillId="7" borderId="21" xfId="0" applyFont="1" applyFill="1" applyBorder="1" applyAlignment="1">
      <alignment horizontal="center" vertical="center" shrinkToFit="1"/>
    </xf>
    <xf numFmtId="0" fontId="2" fillId="8" borderId="20" xfId="0" applyFont="1" applyFill="1" applyBorder="1" applyAlignment="1">
      <alignment horizontal="center" vertical="center" shrinkToFit="1"/>
    </xf>
    <xf numFmtId="0" fontId="2" fillId="8" borderId="36" xfId="0" applyFont="1" applyFill="1" applyBorder="1" applyAlignment="1">
      <alignment horizontal="center" vertical="center" shrinkToFit="1"/>
    </xf>
    <xf numFmtId="0" fontId="2" fillId="8" borderId="35" xfId="0" applyFont="1" applyFill="1" applyBorder="1" applyAlignment="1">
      <alignment horizontal="center" vertical="center" shrinkToFit="1"/>
    </xf>
    <xf numFmtId="0" fontId="2" fillId="5" borderId="20" xfId="0" applyFont="1" applyFill="1" applyBorder="1" applyAlignment="1">
      <alignment horizontal="center" vertical="center" shrinkToFit="1"/>
    </xf>
    <xf numFmtId="0" fontId="2" fillId="5" borderId="21" xfId="0" applyFont="1" applyFill="1" applyBorder="1" applyAlignment="1">
      <alignment horizontal="center" vertical="center" shrinkToFit="1"/>
    </xf>
    <xf numFmtId="0" fontId="2" fillId="5" borderId="22" xfId="0" applyFont="1" applyFill="1" applyBorder="1" applyAlignment="1">
      <alignment horizontal="center" vertical="center" shrinkToFit="1"/>
    </xf>
    <xf numFmtId="0" fontId="2" fillId="9" borderId="20" xfId="0" applyFont="1" applyFill="1" applyBorder="1" applyAlignment="1">
      <alignment horizontal="center" vertical="center" shrinkToFit="1"/>
    </xf>
    <xf numFmtId="0" fontId="2" fillId="9" borderId="21" xfId="0" applyFont="1" applyFill="1" applyBorder="1" applyAlignment="1">
      <alignment horizontal="center" vertical="center" shrinkToFit="1"/>
    </xf>
    <xf numFmtId="0" fontId="2" fillId="9" borderId="22" xfId="0" applyFont="1" applyFill="1" applyBorder="1" applyAlignment="1">
      <alignment horizontal="center" vertical="center" shrinkToFit="1"/>
    </xf>
    <xf numFmtId="0" fontId="2" fillId="10" borderId="20" xfId="0" applyFont="1" applyFill="1" applyBorder="1" applyAlignment="1">
      <alignment horizontal="center" vertical="center" shrinkToFit="1"/>
    </xf>
    <xf numFmtId="0" fontId="2" fillId="10" borderId="21" xfId="0" applyFont="1" applyFill="1" applyBorder="1" applyAlignment="1">
      <alignment horizontal="center" vertical="center" shrinkToFit="1"/>
    </xf>
    <xf numFmtId="0" fontId="2" fillId="10" borderId="22" xfId="0" applyFont="1" applyFill="1" applyBorder="1" applyAlignment="1">
      <alignment horizontal="center" vertical="center" shrinkToFit="1"/>
    </xf>
    <xf numFmtId="0" fontId="2" fillId="11" borderId="20" xfId="0" applyFont="1" applyFill="1" applyBorder="1" applyAlignment="1">
      <alignment horizontal="center" vertical="center" shrinkToFit="1"/>
    </xf>
    <xf numFmtId="0" fontId="2" fillId="11" borderId="21" xfId="0" applyFont="1" applyFill="1" applyBorder="1" applyAlignment="1">
      <alignment horizontal="center" vertical="center" shrinkToFit="1"/>
    </xf>
    <xf numFmtId="0" fontId="2" fillId="12" borderId="20" xfId="0" applyFont="1" applyFill="1" applyBorder="1" applyAlignment="1">
      <alignment horizontal="center" vertical="center" shrinkToFit="1"/>
    </xf>
    <xf numFmtId="0" fontId="2" fillId="12" borderId="22" xfId="0" applyFont="1" applyFill="1" applyBorder="1" applyAlignment="1">
      <alignment horizontal="center" vertical="center" shrinkToFit="1"/>
    </xf>
    <xf numFmtId="0" fontId="2" fillId="7" borderId="22" xfId="0" applyFont="1" applyFill="1" applyBorder="1" applyAlignment="1">
      <alignment horizontal="center" vertical="center" shrinkToFit="1"/>
    </xf>
    <xf numFmtId="176" fontId="5" fillId="3" borderId="37" xfId="0" applyNumberFormat="1" applyFont="1" applyFill="1" applyBorder="1" applyAlignment="1">
      <alignment horizontal="right" vertical="center"/>
    </xf>
    <xf numFmtId="176" fontId="5" fillId="3" borderId="38" xfId="0" applyNumberFormat="1" applyFont="1" applyFill="1" applyBorder="1" applyAlignment="1">
      <alignment horizontal="right" vertical="center"/>
    </xf>
    <xf numFmtId="0" fontId="2" fillId="4" borderId="39" xfId="0" applyFont="1" applyFill="1" applyBorder="1" applyAlignment="1">
      <alignment horizontal="center" vertical="center" shrinkToFit="1"/>
    </xf>
    <xf numFmtId="0" fontId="2" fillId="4" borderId="40" xfId="0" applyFont="1" applyFill="1" applyBorder="1" applyAlignment="1">
      <alignment horizontal="center" vertical="center" shrinkToFit="1"/>
    </xf>
    <xf numFmtId="0" fontId="2" fillId="4" borderId="41" xfId="0" applyFont="1" applyFill="1" applyBorder="1" applyAlignment="1">
      <alignment horizontal="center" vertical="center" shrinkToFit="1"/>
    </xf>
    <xf numFmtId="0" fontId="2" fillId="7" borderId="39" xfId="0" applyFont="1" applyFill="1" applyBorder="1" applyAlignment="1">
      <alignment horizontal="center" vertical="center" shrinkToFit="1"/>
    </xf>
    <xf numFmtId="0" fontId="2" fillId="7" borderId="42" xfId="0" applyFont="1" applyFill="1" applyBorder="1" applyAlignment="1">
      <alignment horizontal="center" vertical="center" shrinkToFit="1"/>
    </xf>
    <xf numFmtId="0" fontId="2" fillId="7" borderId="40" xfId="0" applyFont="1" applyFill="1" applyBorder="1" applyAlignment="1">
      <alignment horizontal="center" vertical="center" shrinkToFit="1"/>
    </xf>
    <xf numFmtId="0" fontId="2" fillId="8" borderId="39" xfId="0" applyFont="1" applyFill="1" applyBorder="1" applyAlignment="1">
      <alignment horizontal="center" vertical="center" shrinkToFit="1"/>
    </xf>
    <xf numFmtId="0" fontId="2" fillId="8" borderId="42" xfId="0" applyFont="1" applyFill="1" applyBorder="1" applyAlignment="1">
      <alignment horizontal="center" vertical="center" shrinkToFit="1"/>
    </xf>
    <xf numFmtId="0" fontId="2" fillId="8" borderId="43" xfId="0" applyFont="1" applyFill="1" applyBorder="1" applyAlignment="1">
      <alignment horizontal="center" vertical="center" shrinkToFit="1"/>
    </xf>
    <xf numFmtId="0" fontId="2" fillId="5" borderId="39" xfId="0" applyFont="1" applyFill="1" applyBorder="1" applyAlignment="1">
      <alignment horizontal="center" vertical="center" shrinkToFit="1"/>
    </xf>
    <xf numFmtId="0" fontId="2" fillId="5" borderId="40" xfId="0" applyFont="1" applyFill="1" applyBorder="1" applyAlignment="1">
      <alignment horizontal="center" vertical="center" shrinkToFit="1"/>
    </xf>
    <xf numFmtId="0" fontId="2" fillId="5" borderId="43" xfId="0" applyFont="1" applyFill="1" applyBorder="1" applyAlignment="1">
      <alignment horizontal="center" vertical="center" shrinkToFit="1"/>
    </xf>
    <xf numFmtId="0" fontId="2" fillId="5" borderId="44" xfId="0" applyFont="1" applyFill="1" applyBorder="1" applyAlignment="1">
      <alignment horizontal="center" vertical="center" shrinkToFit="1"/>
    </xf>
    <xf numFmtId="0" fontId="2" fillId="9" borderId="39" xfId="0" applyFont="1" applyFill="1" applyBorder="1" applyAlignment="1">
      <alignment horizontal="center" vertical="center" shrinkToFit="1"/>
    </xf>
    <xf numFmtId="0" fontId="2" fillId="9" borderId="40" xfId="0" applyFont="1" applyFill="1" applyBorder="1" applyAlignment="1">
      <alignment horizontal="center" vertical="center" shrinkToFit="1"/>
    </xf>
    <xf numFmtId="0" fontId="2" fillId="9" borderId="41" xfId="0" applyFont="1" applyFill="1" applyBorder="1" applyAlignment="1">
      <alignment horizontal="center" vertical="center" shrinkToFit="1"/>
    </xf>
    <xf numFmtId="0" fontId="2" fillId="10" borderId="39" xfId="0" applyFont="1" applyFill="1" applyBorder="1" applyAlignment="1">
      <alignment horizontal="center" vertical="center" shrinkToFit="1"/>
    </xf>
    <xf numFmtId="0" fontId="2" fillId="10" borderId="40" xfId="0" applyFont="1" applyFill="1" applyBorder="1" applyAlignment="1">
      <alignment horizontal="center" vertical="center" shrinkToFit="1"/>
    </xf>
    <xf numFmtId="0" fontId="2" fillId="10" borderId="43" xfId="0" applyFont="1" applyFill="1" applyBorder="1" applyAlignment="1">
      <alignment horizontal="center" vertical="center" shrinkToFit="1"/>
    </xf>
    <xf numFmtId="0" fontId="2" fillId="6" borderId="39" xfId="0" applyFont="1" applyFill="1" applyBorder="1" applyAlignment="1">
      <alignment horizontal="center" vertical="center" shrinkToFit="1"/>
    </xf>
    <xf numFmtId="0" fontId="2" fillId="6" borderId="40" xfId="0" applyFont="1" applyFill="1" applyBorder="1" applyAlignment="1">
      <alignment horizontal="center" vertical="center" shrinkToFit="1"/>
    </xf>
    <xf numFmtId="0" fontId="2" fillId="6" borderId="41" xfId="0" applyFont="1" applyFill="1" applyBorder="1" applyAlignment="1">
      <alignment horizontal="center" vertical="center" shrinkToFit="1"/>
    </xf>
    <xf numFmtId="0" fontId="2" fillId="11" borderId="42" xfId="0" applyFont="1" applyFill="1" applyBorder="1" applyAlignment="1">
      <alignment horizontal="center" vertical="center" shrinkToFit="1"/>
    </xf>
    <xf numFmtId="0" fontId="2" fillId="11" borderId="40" xfId="0" applyFont="1" applyFill="1" applyBorder="1" applyAlignment="1">
      <alignment horizontal="center" vertical="center" shrinkToFit="1"/>
    </xf>
    <xf numFmtId="0" fontId="2" fillId="12" borderId="39" xfId="0" applyFont="1" applyFill="1" applyBorder="1" applyAlignment="1">
      <alignment horizontal="center" vertical="center" shrinkToFit="1"/>
    </xf>
    <xf numFmtId="0" fontId="2" fillId="12" borderId="41" xfId="0" applyFont="1" applyFill="1" applyBorder="1" applyAlignment="1">
      <alignment horizontal="center" vertical="center" shrinkToFit="1"/>
    </xf>
    <xf numFmtId="0" fontId="2" fillId="7" borderId="41" xfId="0" applyFont="1" applyFill="1" applyBorder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14" fontId="10" fillId="13" borderId="45" xfId="0" applyNumberFormat="1" applyFont="1" applyFill="1" applyBorder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0" fillId="4" borderId="20" xfId="0" applyFill="1" applyBorder="1" applyAlignment="1">
      <alignment horizontal="center" vertical="center" shrinkToFit="1"/>
    </xf>
    <xf numFmtId="0" fontId="0" fillId="4" borderId="21" xfId="0" applyFill="1" applyBorder="1" applyAlignment="1">
      <alignment horizontal="center" vertical="center" shrinkToFit="1"/>
    </xf>
    <xf numFmtId="0" fontId="0" fillId="4" borderId="22" xfId="0" applyFill="1" applyBorder="1" applyAlignment="1">
      <alignment horizontal="center" vertical="center" shrinkToFit="1"/>
    </xf>
    <xf numFmtId="0" fontId="0" fillId="7" borderId="20" xfId="0" applyFill="1" applyBorder="1" applyAlignment="1">
      <alignment horizontal="center" vertical="center" shrinkToFit="1"/>
    </xf>
    <xf numFmtId="0" fontId="0" fillId="7" borderId="36" xfId="0" applyFill="1" applyBorder="1" applyAlignment="1">
      <alignment horizontal="center" vertical="center" shrinkToFit="1"/>
    </xf>
    <xf numFmtId="0" fontId="0" fillId="7" borderId="21" xfId="0" applyFill="1" applyBorder="1" applyAlignment="1">
      <alignment horizontal="center" vertical="center" shrinkToFit="1"/>
    </xf>
    <xf numFmtId="0" fontId="0" fillId="8" borderId="20" xfId="0" applyFill="1" applyBorder="1" applyAlignment="1">
      <alignment horizontal="center" vertical="center" shrinkToFit="1"/>
    </xf>
    <xf numFmtId="0" fontId="0" fillId="8" borderId="36" xfId="0" applyFill="1" applyBorder="1" applyAlignment="1">
      <alignment horizontal="center" vertical="center" shrinkToFit="1"/>
    </xf>
    <xf numFmtId="0" fontId="0" fillId="8" borderId="35" xfId="0" applyFill="1" applyBorder="1" applyAlignment="1">
      <alignment horizontal="center" vertical="center" shrinkToFit="1"/>
    </xf>
    <xf numFmtId="0" fontId="0" fillId="5" borderId="20" xfId="0" applyFill="1" applyBorder="1" applyAlignment="1">
      <alignment horizontal="center" vertical="center" shrinkToFit="1"/>
    </xf>
    <xf numFmtId="0" fontId="0" fillId="5" borderId="21" xfId="0" applyFill="1" applyBorder="1" applyAlignment="1">
      <alignment horizontal="center" vertical="center" shrinkToFit="1"/>
    </xf>
    <xf numFmtId="0" fontId="0" fillId="5" borderId="22" xfId="0" applyFill="1" applyBorder="1" applyAlignment="1">
      <alignment horizontal="center" vertical="center" shrinkToFit="1"/>
    </xf>
    <xf numFmtId="0" fontId="0" fillId="5" borderId="23" xfId="0" applyFill="1" applyBorder="1" applyAlignment="1">
      <alignment horizontal="center" vertical="center" shrinkToFit="1"/>
    </xf>
    <xf numFmtId="0" fontId="0" fillId="9" borderId="20" xfId="0" applyFill="1" applyBorder="1" applyAlignment="1">
      <alignment horizontal="center" vertical="center" shrinkToFit="1"/>
    </xf>
    <xf numFmtId="0" fontId="0" fillId="9" borderId="21" xfId="0" applyFill="1" applyBorder="1" applyAlignment="1">
      <alignment horizontal="center" vertical="center" shrinkToFit="1"/>
    </xf>
    <xf numFmtId="0" fontId="0" fillId="9" borderId="22" xfId="0" applyFill="1" applyBorder="1" applyAlignment="1">
      <alignment horizontal="center" vertical="center" shrinkToFit="1"/>
    </xf>
    <xf numFmtId="0" fontId="0" fillId="10" borderId="20" xfId="0" applyFill="1" applyBorder="1" applyAlignment="1">
      <alignment horizontal="center" vertical="center" shrinkToFit="1"/>
    </xf>
    <xf numFmtId="0" fontId="0" fillId="10" borderId="21" xfId="0" applyFill="1" applyBorder="1" applyAlignment="1">
      <alignment horizontal="center" vertical="center" shrinkToFit="1"/>
    </xf>
    <xf numFmtId="0" fontId="0" fillId="10" borderId="22" xfId="0" applyFill="1" applyBorder="1" applyAlignment="1">
      <alignment horizontal="center" vertical="center" shrinkToFit="1"/>
    </xf>
    <xf numFmtId="0" fontId="0" fillId="6" borderId="21" xfId="0" applyFill="1" applyBorder="1" applyAlignment="1">
      <alignment horizontal="center" vertical="center" shrinkToFit="1"/>
    </xf>
    <xf numFmtId="0" fontId="0" fillId="6" borderId="22" xfId="0" applyFill="1" applyBorder="1" applyAlignment="1">
      <alignment horizontal="center" vertical="center" shrinkToFit="1"/>
    </xf>
    <xf numFmtId="0" fontId="0" fillId="11" borderId="36" xfId="0" applyFill="1" applyBorder="1" applyAlignment="1">
      <alignment horizontal="center" vertical="center" shrinkToFit="1"/>
    </xf>
    <xf numFmtId="0" fontId="0" fillId="11" borderId="21" xfId="0" applyFill="1" applyBorder="1" applyAlignment="1">
      <alignment horizontal="center" vertical="center" shrinkToFit="1"/>
    </xf>
    <xf numFmtId="0" fontId="0" fillId="12" borderId="20" xfId="0" applyFill="1" applyBorder="1" applyAlignment="1">
      <alignment horizontal="center" vertical="center" shrinkToFit="1"/>
    </xf>
    <xf numFmtId="0" fontId="0" fillId="12" borderId="22" xfId="0" applyFill="1" applyBorder="1" applyAlignment="1">
      <alignment horizontal="center" vertical="center" shrinkToFit="1"/>
    </xf>
    <xf numFmtId="0" fontId="0" fillId="7" borderId="22" xfId="0" applyFill="1" applyBorder="1" applyAlignment="1">
      <alignment horizontal="center" vertical="center" shrinkToFit="1"/>
    </xf>
    <xf numFmtId="0" fontId="0" fillId="5" borderId="35" xfId="0" applyFill="1" applyBorder="1" applyAlignment="1">
      <alignment horizontal="center" vertical="center" shrinkToFit="1"/>
    </xf>
    <xf numFmtId="0" fontId="0" fillId="5" borderId="38" xfId="0" applyFill="1" applyBorder="1" applyAlignment="1">
      <alignment horizontal="center" vertical="center" shrinkToFit="1"/>
    </xf>
    <xf numFmtId="176" fontId="3" fillId="0" borderId="12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center" vertical="center"/>
    </xf>
    <xf numFmtId="176" fontId="3" fillId="0" borderId="16" xfId="0" applyNumberFormat="1" applyFont="1" applyBorder="1" applyAlignment="1">
      <alignment horizontal="center" vertical="center"/>
    </xf>
    <xf numFmtId="176" fontId="3" fillId="0" borderId="19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11" fillId="0" borderId="12" xfId="0" applyNumberFormat="1" applyFont="1" applyBorder="1" applyAlignment="1">
      <alignment horizontal="center" vertical="center"/>
    </xf>
    <xf numFmtId="176" fontId="11" fillId="0" borderId="7" xfId="0" applyNumberFormat="1" applyFont="1" applyBorder="1" applyAlignment="1">
      <alignment horizontal="center" vertical="center"/>
    </xf>
    <xf numFmtId="176" fontId="4" fillId="0" borderId="13" xfId="0" applyNumberFormat="1" applyFont="1" applyBorder="1" applyAlignment="1">
      <alignment horizontal="center" vertical="center"/>
    </xf>
    <xf numFmtId="176" fontId="4" fillId="0" borderId="14" xfId="0" applyNumberFormat="1" applyFont="1" applyBorder="1" applyAlignment="1">
      <alignment horizontal="center" vertical="center"/>
    </xf>
    <xf numFmtId="176" fontId="4" fillId="0" borderId="17" xfId="0" applyNumberFormat="1" applyFont="1" applyBorder="1" applyAlignment="1">
      <alignment horizontal="center" vertical="center"/>
    </xf>
    <xf numFmtId="176" fontId="4" fillId="0" borderId="12" xfId="0" applyNumberFormat="1" applyFont="1" applyBorder="1" applyAlignment="1">
      <alignment horizontal="center" vertical="center"/>
    </xf>
    <xf numFmtId="176" fontId="4" fillId="0" borderId="7" xfId="0" applyNumberFormat="1" applyFont="1" applyBorder="1" applyAlignment="1">
      <alignment horizontal="center" vertical="center"/>
    </xf>
    <xf numFmtId="176" fontId="4" fillId="0" borderId="19" xfId="0" applyNumberFormat="1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5" fillId="3" borderId="39" xfId="0" applyNumberFormat="1" applyFont="1" applyFill="1" applyBorder="1" applyAlignment="1">
      <alignment horizontal="right" vertical="center"/>
    </xf>
    <xf numFmtId="176" fontId="5" fillId="3" borderId="40" xfId="0" applyNumberFormat="1" applyFont="1" applyFill="1" applyBorder="1" applyAlignment="1">
      <alignment horizontal="right" vertical="center"/>
    </xf>
    <xf numFmtId="176" fontId="5" fillId="3" borderId="41" xfId="0" applyNumberFormat="1" applyFont="1" applyFill="1" applyBorder="1" applyAlignment="1">
      <alignment horizontal="right" vertical="center"/>
    </xf>
    <xf numFmtId="0" fontId="3" fillId="0" borderId="16" xfId="0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right" vertical="center"/>
    </xf>
    <xf numFmtId="176" fontId="12" fillId="0" borderId="3" xfId="0" applyNumberFormat="1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right" vertical="center"/>
    </xf>
    <xf numFmtId="176" fontId="3" fillId="0" borderId="2" xfId="0" applyNumberFormat="1" applyFont="1" applyBorder="1" applyAlignment="1">
      <alignment horizontal="right" vertical="center"/>
    </xf>
    <xf numFmtId="176" fontId="3" fillId="0" borderId="28" xfId="0" applyNumberFormat="1" applyFont="1" applyBorder="1" applyAlignment="1">
      <alignment horizontal="center" vertical="center"/>
    </xf>
    <xf numFmtId="176" fontId="3" fillId="0" borderId="27" xfId="0" applyNumberFormat="1" applyFont="1" applyBorder="1" applyAlignment="1">
      <alignment horizontal="center" vertical="center"/>
    </xf>
    <xf numFmtId="176" fontId="3" fillId="0" borderId="29" xfId="0" applyNumberFormat="1" applyFont="1" applyBorder="1" applyAlignment="1">
      <alignment horizontal="center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horizontal="center" vertical="center"/>
    </xf>
    <xf numFmtId="176" fontId="3" fillId="0" borderId="34" xfId="0" applyNumberFormat="1" applyFont="1" applyBorder="1" applyAlignment="1">
      <alignment horizontal="center" vertical="center"/>
    </xf>
    <xf numFmtId="176" fontId="3" fillId="0" borderId="33" xfId="0" applyNumberFormat="1" applyFont="1" applyBorder="1" applyAlignment="1">
      <alignment horizontal="center" vertical="center"/>
    </xf>
    <xf numFmtId="176" fontId="3" fillId="0" borderId="32" xfId="0" applyNumberFormat="1" applyFont="1" applyBorder="1" applyAlignment="1">
      <alignment horizontal="center" vertical="center"/>
    </xf>
    <xf numFmtId="176" fontId="13" fillId="0" borderId="2" xfId="0" applyNumberFormat="1" applyFont="1" applyBorder="1" applyAlignment="1">
      <alignment horizontal="center" vertical="center"/>
    </xf>
    <xf numFmtId="176" fontId="13" fillId="0" borderId="10" xfId="0" applyNumberFormat="1" applyFont="1" applyBorder="1" applyAlignment="1">
      <alignment horizontal="center" vertical="center"/>
    </xf>
    <xf numFmtId="176" fontId="13" fillId="0" borderId="1" xfId="0" applyNumberFormat="1" applyFont="1" applyBorder="1" applyAlignment="1">
      <alignment horizontal="center" vertical="center"/>
    </xf>
    <xf numFmtId="176" fontId="13" fillId="0" borderId="3" xfId="0" applyNumberFormat="1" applyFont="1" applyBorder="1" applyAlignment="1">
      <alignment horizontal="center" vertical="center"/>
    </xf>
    <xf numFmtId="176" fontId="12" fillId="0" borderId="12" xfId="0" applyNumberFormat="1" applyFont="1" applyBorder="1" applyAlignment="1">
      <alignment horizontal="right" vertical="center"/>
    </xf>
    <xf numFmtId="176" fontId="12" fillId="0" borderId="2" xfId="0" applyNumberFormat="1" applyFont="1" applyBorder="1" applyAlignment="1">
      <alignment horizontal="right" vertical="center"/>
    </xf>
    <xf numFmtId="176" fontId="13" fillId="0" borderId="4" xfId="0" applyNumberFormat="1" applyFont="1" applyBorder="1" applyAlignment="1">
      <alignment horizontal="center" vertical="center"/>
    </xf>
    <xf numFmtId="176" fontId="13" fillId="0" borderId="30" xfId="0" applyNumberFormat="1" applyFont="1" applyBorder="1" applyAlignment="1">
      <alignment horizontal="center" vertical="center"/>
    </xf>
    <xf numFmtId="176" fontId="13" fillId="0" borderId="27" xfId="0" applyNumberFormat="1" applyFont="1" applyBorder="1" applyAlignment="1">
      <alignment horizontal="center" vertical="center"/>
    </xf>
    <xf numFmtId="176" fontId="13" fillId="0" borderId="28" xfId="0" applyNumberFormat="1" applyFont="1" applyBorder="1" applyAlignment="1">
      <alignment horizontal="center" vertical="center"/>
    </xf>
    <xf numFmtId="176" fontId="13" fillId="0" borderId="12" xfId="0" applyNumberFormat="1" applyFont="1" applyBorder="1" applyAlignment="1">
      <alignment horizontal="center" vertical="center"/>
    </xf>
    <xf numFmtId="176" fontId="13" fillId="0" borderId="7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right" vertical="center"/>
    </xf>
    <xf numFmtId="176" fontId="13" fillId="0" borderId="5" xfId="0" applyNumberFormat="1" applyFont="1" applyBorder="1" applyAlignment="1">
      <alignment horizontal="center" vertical="center"/>
    </xf>
    <xf numFmtId="176" fontId="12" fillId="0" borderId="2" xfId="0" applyNumberFormat="1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center" vertical="center"/>
    </xf>
    <xf numFmtId="176" fontId="12" fillId="0" borderId="3" xfId="0" applyNumberFormat="1" applyFont="1" applyBorder="1" applyAlignment="1">
      <alignment horizontal="right"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76" fontId="2" fillId="0" borderId="4" xfId="0" applyNumberFormat="1" applyFont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13" fillId="0" borderId="13" xfId="0" applyNumberFormat="1" applyFont="1" applyBorder="1" applyAlignment="1">
      <alignment horizontal="center" vertical="center"/>
    </xf>
    <xf numFmtId="176" fontId="3" fillId="0" borderId="17" xfId="0" applyNumberFormat="1" applyFont="1" applyBorder="1" applyAlignment="1">
      <alignment horizontal="center" vertical="center"/>
    </xf>
    <xf numFmtId="176" fontId="3" fillId="0" borderId="14" xfId="0" applyNumberFormat="1" applyFont="1" applyBorder="1" applyAlignment="1">
      <alignment horizontal="center" vertical="center"/>
    </xf>
    <xf numFmtId="177" fontId="7" fillId="0" borderId="25" xfId="0" applyNumberFormat="1" applyFont="1" applyBorder="1" applyAlignment="1">
      <alignment horizontal="center" vertical="center" shrinkToFit="1"/>
    </xf>
    <xf numFmtId="178" fontId="2" fillId="0" borderId="24" xfId="0" applyNumberFormat="1" applyFont="1" applyBorder="1" applyAlignment="1">
      <alignment horizontal="center" vertical="center" shrinkToFit="1"/>
    </xf>
    <xf numFmtId="0" fontId="0" fillId="11" borderId="20" xfId="0" applyFill="1" applyBorder="1" applyAlignment="1">
      <alignment horizontal="center" vertical="center" shrinkToFit="1"/>
    </xf>
    <xf numFmtId="176" fontId="3" fillId="0" borderId="1" xfId="0" applyNumberFormat="1" applyFont="1" applyBorder="1" applyAlignment="1">
      <alignment horizontal="right" vertical="center"/>
    </xf>
    <xf numFmtId="176" fontId="3" fillId="0" borderId="2" xfId="0" applyNumberFormat="1" applyFont="1" applyBorder="1">
      <alignment vertical="center"/>
    </xf>
    <xf numFmtId="176" fontId="3" fillId="0" borderId="13" xfId="0" applyNumberFormat="1" applyFont="1" applyBorder="1">
      <alignment vertical="center"/>
    </xf>
    <xf numFmtId="176" fontId="3" fillId="0" borderId="3" xfId="0" applyNumberFormat="1" applyFont="1" applyBorder="1">
      <alignment vertical="center"/>
    </xf>
    <xf numFmtId="176" fontId="3" fillId="0" borderId="4" xfId="0" applyNumberFormat="1" applyFont="1" applyBorder="1">
      <alignment vertical="center"/>
    </xf>
    <xf numFmtId="176" fontId="3" fillId="0" borderId="8" xfId="0" applyNumberFormat="1" applyFont="1" applyBorder="1">
      <alignment vertical="center"/>
    </xf>
    <xf numFmtId="176" fontId="3" fillId="0" borderId="1" xfId="0" applyNumberFormat="1" applyFont="1" applyBorder="1">
      <alignment vertical="center"/>
    </xf>
    <xf numFmtId="176" fontId="3" fillId="0" borderId="7" xfId="0" applyNumberFormat="1" applyFont="1" applyBorder="1">
      <alignment vertical="center"/>
    </xf>
    <xf numFmtId="176" fontId="3" fillId="0" borderId="10" xfId="0" applyNumberFormat="1" applyFont="1" applyBorder="1">
      <alignment vertical="center"/>
    </xf>
    <xf numFmtId="176" fontId="3" fillId="0" borderId="12" xfId="0" applyNumberFormat="1" applyFont="1" applyBorder="1">
      <alignment vertical="center"/>
    </xf>
    <xf numFmtId="176" fontId="3" fillId="0" borderId="11" xfId="0" applyNumberFormat="1" applyFont="1" applyBorder="1">
      <alignment vertical="center"/>
    </xf>
    <xf numFmtId="176" fontId="3" fillId="0" borderId="14" xfId="0" applyNumberFormat="1" applyFont="1" applyBorder="1">
      <alignment vertical="center"/>
    </xf>
    <xf numFmtId="176" fontId="3" fillId="0" borderId="15" xfId="0" applyNumberFormat="1" applyFont="1" applyBorder="1">
      <alignment vertical="center"/>
    </xf>
    <xf numFmtId="176" fontId="3" fillId="0" borderId="5" xfId="0" applyNumberFormat="1" applyFont="1" applyBorder="1">
      <alignment vertical="center"/>
    </xf>
    <xf numFmtId="176" fontId="3" fillId="0" borderId="9" xfId="0" applyNumberFormat="1" applyFont="1" applyBorder="1">
      <alignment vertical="center"/>
    </xf>
    <xf numFmtId="176" fontId="3" fillId="0" borderId="19" xfId="0" applyNumberFormat="1" applyFont="1" applyBorder="1">
      <alignment vertical="center"/>
    </xf>
    <xf numFmtId="176" fontId="3" fillId="0" borderId="4" xfId="0" applyNumberFormat="1" applyFont="1" applyBorder="1" applyAlignment="1">
      <alignment horizontal="right" vertical="center"/>
    </xf>
    <xf numFmtId="178" fontId="2" fillId="0" borderId="46" xfId="0" applyNumberFormat="1" applyFont="1" applyBorder="1" applyAlignment="1">
      <alignment horizontal="center" vertical="center" shrinkToFit="1"/>
    </xf>
    <xf numFmtId="176" fontId="12" fillId="0" borderId="4" xfId="0" applyNumberFormat="1" applyFont="1" applyBorder="1" applyAlignment="1">
      <alignment horizontal="center" vertical="center"/>
    </xf>
    <xf numFmtId="176" fontId="12" fillId="0" borderId="5" xfId="0" applyNumberFormat="1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right" vertical="center"/>
    </xf>
    <xf numFmtId="176" fontId="12" fillId="0" borderId="7" xfId="0" applyNumberFormat="1" applyFont="1" applyBorder="1" applyAlignment="1">
      <alignment horizontal="right" vertical="center"/>
    </xf>
    <xf numFmtId="0" fontId="0" fillId="11" borderId="22" xfId="0" applyFill="1" applyBorder="1" applyAlignment="1">
      <alignment horizontal="center" vertical="center" shrinkToFit="1"/>
    </xf>
    <xf numFmtId="176" fontId="12" fillId="0" borderId="8" xfId="0" applyNumberFormat="1" applyFont="1" applyBorder="1" applyAlignment="1">
      <alignment horizontal="right" vertical="center"/>
    </xf>
    <xf numFmtId="176" fontId="14" fillId="0" borderId="31" xfId="0" applyNumberFormat="1" applyFont="1" applyBorder="1" applyAlignment="1">
      <alignment horizontal="center" vertical="center"/>
    </xf>
    <xf numFmtId="176" fontId="14" fillId="0" borderId="27" xfId="0" applyNumberFormat="1" applyFont="1" applyBorder="1" applyAlignment="1">
      <alignment horizontal="center" vertical="center"/>
    </xf>
    <xf numFmtId="176" fontId="14" fillId="0" borderId="30" xfId="0" applyNumberFormat="1" applyFont="1" applyBorder="1" applyAlignment="1">
      <alignment horizontal="center" vertical="center"/>
    </xf>
    <xf numFmtId="176" fontId="14" fillId="0" borderId="28" xfId="0" applyNumberFormat="1" applyFont="1" applyBorder="1" applyAlignment="1">
      <alignment horizontal="center" vertical="center"/>
    </xf>
    <xf numFmtId="176" fontId="14" fillId="0" borderId="2" xfId="0" applyNumberFormat="1" applyFont="1" applyBorder="1" applyAlignment="1">
      <alignment horizontal="center" vertical="center"/>
    </xf>
    <xf numFmtId="176" fontId="14" fillId="0" borderId="3" xfId="0" applyNumberFormat="1" applyFont="1" applyBorder="1" applyAlignment="1">
      <alignment horizontal="center" vertical="center"/>
    </xf>
    <xf numFmtId="176" fontId="14" fillId="0" borderId="4" xfId="0" applyNumberFormat="1" applyFont="1" applyBorder="1" applyAlignment="1">
      <alignment horizontal="center" vertical="center"/>
    </xf>
    <xf numFmtId="176" fontId="14" fillId="0" borderId="10" xfId="0" applyNumberFormat="1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176" fontId="14" fillId="0" borderId="29" xfId="0" applyNumberFormat="1" applyFont="1" applyBorder="1" applyAlignment="1">
      <alignment horizontal="center" vertical="center"/>
    </xf>
    <xf numFmtId="176" fontId="14" fillId="0" borderId="34" xfId="0" applyNumberFormat="1" applyFont="1" applyBorder="1" applyAlignment="1">
      <alignment horizontal="center" vertical="center"/>
    </xf>
    <xf numFmtId="176" fontId="14" fillId="0" borderId="33" xfId="0" applyNumberFormat="1" applyFont="1" applyBorder="1" applyAlignment="1">
      <alignment horizontal="center" vertical="center"/>
    </xf>
    <xf numFmtId="176" fontId="14" fillId="0" borderId="32" xfId="0" applyNumberFormat="1" applyFont="1" applyBorder="1" applyAlignment="1">
      <alignment horizontal="center" vertical="center"/>
    </xf>
    <xf numFmtId="176" fontId="15" fillId="0" borderId="48" xfId="0" applyNumberFormat="1" applyFont="1" applyBorder="1" applyAlignment="1">
      <alignment horizontal="center" vertical="center"/>
    </xf>
    <xf numFmtId="176" fontId="15" fillId="0" borderId="47" xfId="0" applyNumberFormat="1" applyFont="1" applyBorder="1" applyAlignment="1">
      <alignment horizontal="center" vertical="center"/>
    </xf>
    <xf numFmtId="176" fontId="15" fillId="0" borderId="49" xfId="0" applyNumberFormat="1" applyFont="1" applyBorder="1" applyAlignment="1">
      <alignment horizontal="center" vertical="center"/>
    </xf>
    <xf numFmtId="176" fontId="15" fillId="0" borderId="50" xfId="0" applyNumberFormat="1" applyFont="1" applyBorder="1" applyAlignment="1">
      <alignment horizontal="center" vertical="center"/>
    </xf>
    <xf numFmtId="176" fontId="15" fillId="0" borderId="51" xfId="0" applyNumberFormat="1" applyFont="1" applyBorder="1" applyAlignment="1">
      <alignment horizontal="center" vertical="center"/>
    </xf>
    <xf numFmtId="176" fontId="15" fillId="0" borderId="52" xfId="0" applyNumberFormat="1" applyFont="1" applyBorder="1" applyAlignment="1">
      <alignment horizontal="center" vertical="center"/>
    </xf>
    <xf numFmtId="176" fontId="16" fillId="0" borderId="2" xfId="0" applyNumberFormat="1" applyFont="1" applyBorder="1" applyAlignment="1">
      <alignment horizontal="center" vertical="center"/>
    </xf>
    <xf numFmtId="176" fontId="16" fillId="0" borderId="3" xfId="0" applyNumberFormat="1" applyFont="1" applyBorder="1" applyAlignment="1">
      <alignment horizontal="center" vertical="center"/>
    </xf>
    <xf numFmtId="176" fontId="16" fillId="0" borderId="1" xfId="0" applyNumberFormat="1" applyFont="1" applyBorder="1" applyAlignment="1">
      <alignment horizontal="center" vertical="center"/>
    </xf>
    <xf numFmtId="176" fontId="17" fillId="0" borderId="11" xfId="0" applyNumberFormat="1" applyFont="1" applyBorder="1" applyAlignment="1">
      <alignment horizontal="center" vertical="center"/>
    </xf>
    <xf numFmtId="176" fontId="12" fillId="0" borderId="10" xfId="0" applyNumberFormat="1" applyFont="1" applyBorder="1" applyAlignment="1">
      <alignment horizontal="center" vertical="center"/>
    </xf>
    <xf numFmtId="176" fontId="14" fillId="0" borderId="49" xfId="0" applyNumberFormat="1" applyFont="1" applyBorder="1" applyAlignment="1">
      <alignment horizontal="center" vertical="center"/>
    </xf>
    <xf numFmtId="176" fontId="14" fillId="0" borderId="48" xfId="0" applyNumberFormat="1" applyFont="1" applyBorder="1" applyAlignment="1">
      <alignment horizontal="center" vertical="center"/>
    </xf>
    <xf numFmtId="176" fontId="14" fillId="0" borderId="50" xfId="0" applyNumberFormat="1" applyFont="1" applyBorder="1" applyAlignment="1">
      <alignment horizontal="center" vertical="center"/>
    </xf>
    <xf numFmtId="176" fontId="14" fillId="0" borderId="5" xfId="0" applyNumberFormat="1" applyFont="1" applyBorder="1" applyAlignment="1">
      <alignment horizontal="center" vertical="center"/>
    </xf>
    <xf numFmtId="176" fontId="24" fillId="0" borderId="11" xfId="0" applyNumberFormat="1" applyFont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 shrinkToFit="1"/>
    </xf>
    <xf numFmtId="0" fontId="1" fillId="7" borderId="36" xfId="0" applyFont="1" applyFill="1" applyBorder="1" applyAlignment="1">
      <alignment horizontal="center" vertical="center" shrinkToFit="1"/>
    </xf>
    <xf numFmtId="0" fontId="1" fillId="7" borderId="21" xfId="0" applyFont="1" applyFill="1" applyBorder="1" applyAlignment="1">
      <alignment horizontal="center" vertical="center" shrinkToFit="1"/>
    </xf>
    <xf numFmtId="176" fontId="27" fillId="0" borderId="50" xfId="0" applyNumberFormat="1" applyFont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 shrinkToFit="1"/>
    </xf>
    <xf numFmtId="176" fontId="2" fillId="0" borderId="81" xfId="0" applyNumberFormat="1" applyFont="1" applyBorder="1">
      <alignment vertical="center"/>
    </xf>
    <xf numFmtId="176" fontId="14" fillId="0" borderId="81" xfId="0" applyNumberFormat="1" applyFont="1" applyBorder="1" applyAlignment="1">
      <alignment horizontal="center" vertical="center"/>
    </xf>
    <xf numFmtId="176" fontId="14" fillId="0" borderId="24" xfId="0" applyNumberFormat="1" applyFont="1" applyBorder="1" applyAlignment="1">
      <alignment horizontal="center" vertical="center"/>
    </xf>
    <xf numFmtId="176" fontId="17" fillId="0" borderId="49" xfId="0" applyNumberFormat="1" applyFont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 shrinkToFit="1"/>
    </xf>
    <xf numFmtId="176" fontId="14" fillId="0" borderId="47" xfId="0" applyNumberFormat="1" applyFont="1" applyBorder="1" applyAlignment="1">
      <alignment horizontal="center" vertical="center"/>
    </xf>
    <xf numFmtId="176" fontId="28" fillId="0" borderId="2" xfId="0" applyNumberFormat="1" applyFont="1" applyBorder="1" applyAlignment="1">
      <alignment horizontal="center" vertical="center"/>
    </xf>
    <xf numFmtId="176" fontId="28" fillId="0" borderId="50" xfId="0" applyNumberFormat="1" applyFont="1" applyBorder="1" applyAlignment="1">
      <alignment horizontal="center" vertical="center"/>
    </xf>
    <xf numFmtId="176" fontId="28" fillId="0" borderId="4" xfId="0" applyNumberFormat="1" applyFont="1" applyBorder="1" applyAlignment="1">
      <alignment horizontal="center" vertical="center"/>
    </xf>
    <xf numFmtId="176" fontId="28" fillId="0" borderId="48" xfId="0" applyNumberFormat="1" applyFont="1" applyBorder="1" applyAlignment="1">
      <alignment horizontal="center" vertical="center"/>
    </xf>
    <xf numFmtId="176" fontId="28" fillId="0" borderId="47" xfId="0" applyNumberFormat="1" applyFont="1" applyBorder="1" applyAlignment="1">
      <alignment horizontal="center" vertical="center"/>
    </xf>
    <xf numFmtId="176" fontId="29" fillId="0" borderId="50" xfId="0" applyNumberFormat="1" applyFont="1" applyBorder="1" applyAlignment="1">
      <alignment horizontal="center" vertical="center"/>
    </xf>
    <xf numFmtId="176" fontId="29" fillId="0" borderId="48" xfId="0" applyNumberFormat="1" applyFont="1" applyBorder="1" applyAlignment="1">
      <alignment horizontal="center" vertical="center"/>
    </xf>
    <xf numFmtId="176" fontId="29" fillId="0" borderId="47" xfId="0" applyNumberFormat="1" applyFont="1" applyBorder="1" applyAlignment="1">
      <alignment horizontal="center" vertical="center"/>
    </xf>
    <xf numFmtId="176" fontId="28" fillId="0" borderId="3" xfId="0" applyNumberFormat="1" applyFont="1" applyBorder="1" applyAlignment="1">
      <alignment horizontal="center" vertical="center"/>
    </xf>
    <xf numFmtId="176" fontId="28" fillId="0" borderId="1" xfId="0" applyNumberFormat="1" applyFont="1" applyBorder="1" applyAlignment="1">
      <alignment horizontal="center" vertical="center"/>
    </xf>
    <xf numFmtId="176" fontId="28" fillId="0" borderId="49" xfId="0" applyNumberFormat="1" applyFont="1" applyBorder="1" applyAlignment="1">
      <alignment horizontal="center" vertical="center"/>
    </xf>
    <xf numFmtId="176" fontId="29" fillId="0" borderId="3" xfId="0" applyNumberFormat="1" applyFont="1" applyBorder="1" applyAlignment="1">
      <alignment horizontal="center" vertical="center"/>
    </xf>
    <xf numFmtId="176" fontId="15" fillId="0" borderId="82" xfId="0" applyNumberFormat="1" applyFont="1" applyBorder="1" applyAlignment="1">
      <alignment horizontal="center" vertical="center"/>
    </xf>
    <xf numFmtId="176" fontId="5" fillId="0" borderId="60" xfId="0" applyNumberFormat="1" applyFont="1" applyBorder="1" applyAlignment="1">
      <alignment horizontal="right" vertical="center"/>
    </xf>
    <xf numFmtId="0" fontId="1" fillId="12" borderId="36" xfId="0" applyFont="1" applyFill="1" applyBorder="1" applyAlignment="1">
      <alignment horizontal="center" vertical="center" shrinkToFit="1"/>
    </xf>
    <xf numFmtId="0" fontId="1" fillId="12" borderId="60" xfId="0" applyFont="1" applyFill="1" applyBorder="1" applyAlignment="1">
      <alignment horizontal="center" vertical="center" shrinkToFit="1"/>
    </xf>
    <xf numFmtId="0" fontId="1" fillId="12" borderId="22" xfId="0" applyFont="1" applyFill="1" applyBorder="1" applyAlignment="1">
      <alignment horizontal="center" vertical="center" shrinkToFit="1"/>
    </xf>
    <xf numFmtId="176" fontId="30" fillId="0" borderId="1" xfId="0" applyNumberFormat="1" applyFont="1" applyBorder="1" applyAlignment="1">
      <alignment horizontal="center" vertical="center"/>
    </xf>
    <xf numFmtId="176" fontId="30" fillId="0" borderId="4" xfId="0" applyNumberFormat="1" applyFont="1" applyBorder="1" applyAlignment="1">
      <alignment horizontal="center" vertical="center"/>
    </xf>
    <xf numFmtId="176" fontId="30" fillId="0" borderId="2" xfId="0" applyNumberFormat="1" applyFont="1" applyBorder="1" applyAlignment="1">
      <alignment horizontal="center" vertical="center"/>
    </xf>
    <xf numFmtId="176" fontId="30" fillId="0" borderId="3" xfId="0" applyNumberFormat="1" applyFont="1" applyBorder="1" applyAlignment="1">
      <alignment horizontal="center" vertical="center"/>
    </xf>
    <xf numFmtId="176" fontId="30" fillId="0" borderId="5" xfId="0" applyNumberFormat="1" applyFont="1" applyBorder="1" applyAlignment="1">
      <alignment horizontal="center" vertical="center"/>
    </xf>
    <xf numFmtId="0" fontId="12" fillId="0" borderId="16" xfId="0" applyFont="1" applyBorder="1" applyAlignment="1">
      <alignment horizontal="right" vertical="center"/>
    </xf>
    <xf numFmtId="176" fontId="30" fillId="0" borderId="30" xfId="0" applyNumberFormat="1" applyFont="1" applyBorder="1" applyAlignment="1">
      <alignment horizontal="center" vertical="center"/>
    </xf>
    <xf numFmtId="176" fontId="30" fillId="0" borderId="28" xfId="0" applyNumberFormat="1" applyFont="1" applyBorder="1" applyAlignment="1">
      <alignment horizontal="center" vertical="center"/>
    </xf>
    <xf numFmtId="176" fontId="30" fillId="0" borderId="10" xfId="0" applyNumberFormat="1" applyFont="1" applyBorder="1" applyAlignment="1">
      <alignment horizontal="center" vertical="center"/>
    </xf>
    <xf numFmtId="176" fontId="30" fillId="0" borderId="11" xfId="0" applyNumberFormat="1" applyFont="1" applyBorder="1" applyAlignment="1">
      <alignment horizontal="center" vertical="center"/>
    </xf>
    <xf numFmtId="176" fontId="30" fillId="0" borderId="9" xfId="0" applyNumberFormat="1" applyFont="1" applyBorder="1" applyAlignment="1">
      <alignment horizontal="center" vertical="center"/>
    </xf>
    <xf numFmtId="176" fontId="3" fillId="0" borderId="16" xfId="0" applyNumberFormat="1" applyFont="1" applyBorder="1">
      <alignment vertical="center"/>
    </xf>
    <xf numFmtId="176" fontId="5" fillId="3" borderId="54" xfId="0" applyNumberFormat="1" applyFont="1" applyFill="1" applyBorder="1" applyAlignment="1">
      <alignment horizontal="right" vertical="center"/>
    </xf>
    <xf numFmtId="0" fontId="1" fillId="4" borderId="20" xfId="0" applyFont="1" applyFill="1" applyBorder="1" applyAlignment="1">
      <alignment horizontal="center" vertical="center" shrinkToFit="1"/>
    </xf>
    <xf numFmtId="0" fontId="1" fillId="4" borderId="21" xfId="0" applyFont="1" applyFill="1" applyBorder="1" applyAlignment="1">
      <alignment horizontal="center" vertical="center" shrinkToFit="1"/>
    </xf>
    <xf numFmtId="0" fontId="6" fillId="7" borderId="36" xfId="0" applyFont="1" applyFill="1" applyBorder="1" applyAlignment="1">
      <alignment horizontal="center" vertical="center" shrinkToFit="1"/>
    </xf>
    <xf numFmtId="0" fontId="6" fillId="7" borderId="21" xfId="0" applyFont="1" applyFill="1" applyBorder="1" applyAlignment="1">
      <alignment horizontal="center" vertical="center" shrinkToFit="1"/>
    </xf>
    <xf numFmtId="176" fontId="29" fillId="0" borderId="2" xfId="0" applyNumberFormat="1" applyFont="1" applyBorder="1" applyAlignment="1">
      <alignment horizontal="center" vertical="center"/>
    </xf>
    <xf numFmtId="176" fontId="29" fillId="0" borderId="1" xfId="0" applyNumberFormat="1" applyFont="1" applyBorder="1" applyAlignment="1">
      <alignment horizontal="center" vertical="center"/>
    </xf>
    <xf numFmtId="176" fontId="29" fillId="0" borderId="4" xfId="0" applyNumberFormat="1" applyFont="1" applyBorder="1" applyAlignment="1">
      <alignment horizontal="center" vertical="center"/>
    </xf>
    <xf numFmtId="176" fontId="29" fillId="0" borderId="27" xfId="0" applyNumberFormat="1" applyFont="1" applyBorder="1" applyAlignment="1">
      <alignment horizontal="center" vertical="center"/>
    </xf>
    <xf numFmtId="0" fontId="28" fillId="0" borderId="60" xfId="0" applyFont="1" applyBorder="1" applyAlignment="1">
      <alignment horizontal="center" vertical="center"/>
    </xf>
    <xf numFmtId="176" fontId="29" fillId="0" borderId="28" xfId="0" applyNumberFormat="1" applyFont="1" applyBorder="1" applyAlignment="1">
      <alignment horizontal="center" vertical="center"/>
    </xf>
    <xf numFmtId="176" fontId="29" fillId="0" borderId="32" xfId="0" applyNumberFormat="1" applyFont="1" applyBorder="1" applyAlignment="1">
      <alignment horizontal="center" vertical="center"/>
    </xf>
    <xf numFmtId="176" fontId="30" fillId="0" borderId="29" xfId="0" applyNumberFormat="1" applyFont="1" applyBorder="1" applyAlignment="1">
      <alignment horizontal="center" vertical="center"/>
    </xf>
    <xf numFmtId="176" fontId="14" fillId="0" borderId="9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176" fontId="29" fillId="0" borderId="5" xfId="0" applyNumberFormat="1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/>
    </xf>
    <xf numFmtId="176" fontId="28" fillId="0" borderId="82" xfId="0" applyNumberFormat="1" applyFont="1" applyBorder="1" applyAlignment="1">
      <alignment horizontal="center" vertical="center"/>
    </xf>
    <xf numFmtId="176" fontId="14" fillId="0" borderId="82" xfId="0" applyNumberFormat="1" applyFont="1" applyBorder="1" applyAlignment="1">
      <alignment horizontal="center" vertical="center"/>
    </xf>
    <xf numFmtId="0" fontId="31" fillId="7" borderId="20" xfId="0" applyFont="1" applyFill="1" applyBorder="1" applyAlignment="1">
      <alignment horizontal="center" vertical="center" shrinkToFit="1"/>
    </xf>
    <xf numFmtId="0" fontId="7" fillId="7" borderId="36" xfId="0" applyFont="1" applyFill="1" applyBorder="1" applyAlignment="1">
      <alignment horizontal="center" vertical="center" shrinkToFit="1"/>
    </xf>
    <xf numFmtId="0" fontId="32" fillId="7" borderId="20" xfId="0" applyFont="1" applyFill="1" applyBorder="1" applyAlignment="1">
      <alignment horizontal="center" vertical="center" shrinkToFit="1"/>
    </xf>
    <xf numFmtId="176" fontId="27" fillId="0" borderId="82" xfId="0" applyNumberFormat="1" applyFont="1" applyBorder="1" applyAlignment="1">
      <alignment horizontal="center" vertical="center"/>
    </xf>
    <xf numFmtId="0" fontId="1" fillId="8" borderId="20" xfId="0" applyFont="1" applyFill="1" applyBorder="1" applyAlignment="1">
      <alignment horizontal="center" vertical="center" shrinkToFit="1"/>
    </xf>
    <xf numFmtId="0" fontId="1" fillId="8" borderId="36" xfId="0" applyFont="1" applyFill="1" applyBorder="1" applyAlignment="1">
      <alignment horizontal="center" vertical="center" shrinkToFit="1"/>
    </xf>
    <xf numFmtId="0" fontId="1" fillId="8" borderId="35" xfId="0" applyFont="1" applyFill="1" applyBorder="1" applyAlignment="1">
      <alignment horizontal="center" vertical="center" shrinkToFit="1"/>
    </xf>
    <xf numFmtId="0" fontId="1" fillId="5" borderId="20" xfId="0" applyFont="1" applyFill="1" applyBorder="1" applyAlignment="1">
      <alignment horizontal="center" vertical="center" shrinkToFit="1"/>
    </xf>
    <xf numFmtId="0" fontId="1" fillId="5" borderId="21" xfId="0" applyFont="1" applyFill="1" applyBorder="1" applyAlignment="1">
      <alignment horizontal="center" vertical="center" shrinkToFit="1"/>
    </xf>
    <xf numFmtId="0" fontId="1" fillId="5" borderId="22" xfId="0" applyFont="1" applyFill="1" applyBorder="1" applyAlignment="1">
      <alignment horizontal="center" vertical="center" shrinkToFit="1"/>
    </xf>
    <xf numFmtId="0" fontId="7" fillId="4" borderId="20" xfId="0" applyFont="1" applyFill="1" applyBorder="1" applyAlignment="1">
      <alignment horizontal="center" vertical="center" shrinkToFit="1"/>
    </xf>
    <xf numFmtId="0" fontId="7" fillId="4" borderId="21" xfId="0" applyFont="1" applyFill="1" applyBorder="1" applyAlignment="1">
      <alignment horizontal="center" vertical="center" shrinkToFit="1"/>
    </xf>
    <xf numFmtId="0" fontId="7" fillId="4" borderId="22" xfId="0" applyFont="1" applyFill="1" applyBorder="1" applyAlignment="1">
      <alignment horizontal="center" vertical="center" shrinkToFit="1"/>
    </xf>
    <xf numFmtId="0" fontId="7" fillId="18" borderId="20" xfId="0" applyFont="1" applyFill="1" applyBorder="1" applyAlignment="1">
      <alignment horizontal="center" vertical="center" shrinkToFit="1"/>
    </xf>
    <xf numFmtId="0" fontId="7" fillId="18" borderId="36" xfId="0" applyFont="1" applyFill="1" applyBorder="1" applyAlignment="1">
      <alignment horizontal="center" vertical="center" shrinkToFit="1"/>
    </xf>
    <xf numFmtId="0" fontId="7" fillId="18" borderId="35" xfId="0" applyFont="1" applyFill="1" applyBorder="1" applyAlignment="1">
      <alignment horizontal="center" vertical="center" shrinkToFit="1"/>
    </xf>
    <xf numFmtId="0" fontId="7" fillId="5" borderId="20" xfId="0" applyFont="1" applyFill="1" applyBorder="1" applyAlignment="1">
      <alignment horizontal="center" vertical="center" shrinkToFit="1"/>
    </xf>
    <xf numFmtId="0" fontId="7" fillId="5" borderId="21" xfId="0" applyFont="1" applyFill="1" applyBorder="1" applyAlignment="1">
      <alignment horizontal="center" vertical="center" shrinkToFit="1"/>
    </xf>
    <xf numFmtId="0" fontId="7" fillId="5" borderId="22" xfId="0" applyFont="1" applyFill="1" applyBorder="1" applyAlignment="1">
      <alignment horizontal="center" vertical="center" shrinkToFit="1"/>
    </xf>
    <xf numFmtId="0" fontId="7" fillId="19" borderId="20" xfId="0" applyFont="1" applyFill="1" applyBorder="1" applyAlignment="1">
      <alignment horizontal="center" vertical="center" shrinkToFit="1"/>
    </xf>
    <xf numFmtId="0" fontId="7" fillId="19" borderId="21" xfId="0" applyFont="1" applyFill="1" applyBorder="1" applyAlignment="1">
      <alignment horizontal="center" vertical="center" shrinkToFit="1"/>
    </xf>
    <xf numFmtId="0" fontId="7" fillId="19" borderId="22" xfId="0" applyFont="1" applyFill="1" applyBorder="1" applyAlignment="1">
      <alignment horizontal="center" vertical="center" shrinkToFit="1"/>
    </xf>
    <xf numFmtId="0" fontId="7" fillId="9" borderId="20" xfId="0" applyFont="1" applyFill="1" applyBorder="1" applyAlignment="1">
      <alignment horizontal="center" vertical="center" shrinkToFit="1"/>
    </xf>
    <xf numFmtId="0" fontId="7" fillId="9" borderId="21" xfId="0" applyFont="1" applyFill="1" applyBorder="1" applyAlignment="1">
      <alignment horizontal="center" vertical="center" shrinkToFit="1"/>
    </xf>
    <xf numFmtId="0" fontId="7" fillId="9" borderId="22" xfId="0" applyFont="1" applyFill="1" applyBorder="1" applyAlignment="1">
      <alignment horizontal="center" vertical="center" shrinkToFit="1"/>
    </xf>
    <xf numFmtId="0" fontId="7" fillId="10" borderId="20" xfId="0" applyFont="1" applyFill="1" applyBorder="1" applyAlignment="1">
      <alignment horizontal="center" vertical="center" shrinkToFit="1"/>
    </xf>
    <xf numFmtId="0" fontId="7" fillId="10" borderId="21" xfId="0" applyFont="1" applyFill="1" applyBorder="1" applyAlignment="1">
      <alignment horizontal="center" vertical="center" shrinkToFit="1"/>
    </xf>
    <xf numFmtId="0" fontId="7" fillId="10" borderId="22" xfId="0" applyFont="1" applyFill="1" applyBorder="1" applyAlignment="1">
      <alignment horizontal="center" vertical="center" shrinkToFit="1"/>
    </xf>
    <xf numFmtId="0" fontId="7" fillId="6" borderId="21" xfId="0" applyFont="1" applyFill="1" applyBorder="1" applyAlignment="1">
      <alignment horizontal="center" vertical="center" shrinkToFit="1"/>
    </xf>
    <xf numFmtId="0" fontId="7" fillId="6" borderId="35" xfId="0" applyFont="1" applyFill="1" applyBorder="1" applyAlignment="1">
      <alignment horizontal="center" vertical="center" shrinkToFit="1"/>
    </xf>
    <xf numFmtId="0" fontId="7" fillId="11" borderId="20" xfId="0" applyFont="1" applyFill="1" applyBorder="1" applyAlignment="1">
      <alignment horizontal="center" vertical="center" shrinkToFit="1"/>
    </xf>
    <xf numFmtId="0" fontId="7" fillId="11" borderId="22" xfId="0" applyFont="1" applyFill="1" applyBorder="1" applyAlignment="1">
      <alignment horizontal="center" vertical="center" shrinkToFit="1"/>
    </xf>
    <xf numFmtId="0" fontId="7" fillId="12" borderId="36" xfId="0" applyFont="1" applyFill="1" applyBorder="1" applyAlignment="1">
      <alignment horizontal="center" vertical="center" shrinkToFit="1"/>
    </xf>
    <xf numFmtId="0" fontId="7" fillId="12" borderId="60" xfId="0" applyFont="1" applyFill="1" applyBorder="1" applyAlignment="1">
      <alignment horizontal="center" vertical="center" shrinkToFit="1"/>
    </xf>
    <xf numFmtId="0" fontId="7" fillId="12" borderId="22" xfId="0" applyFont="1" applyFill="1" applyBorder="1" applyAlignment="1">
      <alignment horizontal="center" vertical="center" shrinkToFit="1"/>
    </xf>
    <xf numFmtId="0" fontId="7" fillId="7" borderId="21" xfId="0" applyFont="1" applyFill="1" applyBorder="1" applyAlignment="1">
      <alignment horizontal="center" vertical="center" shrinkToFit="1"/>
    </xf>
    <xf numFmtId="0" fontId="7" fillId="7" borderId="22" xfId="0" applyFont="1" applyFill="1" applyBorder="1" applyAlignment="1">
      <alignment horizontal="center" vertical="center" shrinkToFit="1"/>
    </xf>
    <xf numFmtId="0" fontId="7" fillId="8" borderId="20" xfId="0" applyFont="1" applyFill="1" applyBorder="1" applyAlignment="1">
      <alignment horizontal="center" vertical="center" shrinkToFit="1"/>
    </xf>
    <xf numFmtId="0" fontId="7" fillId="8" borderId="36" xfId="0" applyFont="1" applyFill="1" applyBorder="1" applyAlignment="1">
      <alignment horizontal="center" vertical="center" shrinkToFit="1"/>
    </xf>
    <xf numFmtId="0" fontId="7" fillId="8" borderId="35" xfId="0" applyFont="1" applyFill="1" applyBorder="1" applyAlignment="1">
      <alignment horizontal="center" vertical="center" shrinkToFit="1"/>
    </xf>
    <xf numFmtId="178" fontId="2" fillId="0" borderId="85" xfId="0" applyNumberFormat="1" applyFont="1" applyBorder="1" applyAlignment="1">
      <alignment horizontal="center" vertical="center" shrinkToFit="1"/>
    </xf>
    <xf numFmtId="177" fontId="7" fillId="0" borderId="85" xfId="0" applyNumberFormat="1" applyFont="1" applyBorder="1" applyAlignment="1">
      <alignment horizontal="center" vertical="center" shrinkToFit="1"/>
    </xf>
    <xf numFmtId="178" fontId="2" fillId="0" borderId="85" xfId="0" applyNumberFormat="1" applyFont="1" applyBorder="1" applyAlignment="1">
      <alignment horizontal="left" vertical="center" shrinkToFit="1"/>
    </xf>
    <xf numFmtId="176" fontId="14" fillId="0" borderId="39" xfId="0" applyNumberFormat="1" applyFont="1" applyBorder="1" applyAlignment="1">
      <alignment horizontal="center" vertical="center"/>
    </xf>
    <xf numFmtId="176" fontId="2" fillId="0" borderId="39" xfId="0" applyNumberFormat="1" applyFont="1" applyBorder="1">
      <alignment vertical="center"/>
    </xf>
    <xf numFmtId="176" fontId="16" fillId="0" borderId="39" xfId="0" applyNumberFormat="1" applyFont="1" applyBorder="1" applyAlignment="1">
      <alignment horizontal="center" vertical="center"/>
    </xf>
    <xf numFmtId="176" fontId="12" fillId="0" borderId="39" xfId="0" applyNumberFormat="1" applyFont="1" applyBorder="1" applyAlignment="1">
      <alignment horizontal="center" vertical="center"/>
    </xf>
    <xf numFmtId="176" fontId="3" fillId="0" borderId="39" xfId="0" applyNumberFormat="1" applyFont="1" applyBorder="1" applyAlignment="1">
      <alignment horizontal="center" vertical="center"/>
    </xf>
    <xf numFmtId="176" fontId="3" fillId="0" borderId="39" xfId="0" applyNumberFormat="1" applyFont="1" applyBorder="1">
      <alignment vertical="center"/>
    </xf>
    <xf numFmtId="176" fontId="14" fillId="0" borderId="40" xfId="0" applyNumberFormat="1" applyFont="1" applyBorder="1" applyAlignment="1">
      <alignment horizontal="center" vertical="center"/>
    </xf>
    <xf numFmtId="176" fontId="2" fillId="0" borderId="40" xfId="0" applyNumberFormat="1" applyFont="1" applyBorder="1">
      <alignment vertical="center"/>
    </xf>
    <xf numFmtId="176" fontId="16" fillId="0" borderId="40" xfId="0" applyNumberFormat="1" applyFont="1" applyBorder="1" applyAlignment="1">
      <alignment horizontal="center" vertical="center"/>
    </xf>
    <xf numFmtId="176" fontId="12" fillId="0" borderId="40" xfId="0" applyNumberFormat="1" applyFont="1" applyBorder="1" applyAlignment="1">
      <alignment horizontal="center" vertical="center"/>
    </xf>
    <xf numFmtId="176" fontId="3" fillId="0" borderId="40" xfId="0" applyNumberFormat="1" applyFont="1" applyBorder="1" applyAlignment="1">
      <alignment horizontal="center" vertical="center"/>
    </xf>
    <xf numFmtId="176" fontId="3" fillId="0" borderId="40" xfId="0" applyNumberFormat="1" applyFont="1" applyBorder="1">
      <alignment vertical="center"/>
    </xf>
    <xf numFmtId="176" fontId="14" fillId="0" borderId="41" xfId="0" applyNumberFormat="1" applyFont="1" applyBorder="1" applyAlignment="1">
      <alignment horizontal="center" vertical="center"/>
    </xf>
    <xf numFmtId="176" fontId="2" fillId="0" borderId="41" xfId="0" applyNumberFormat="1" applyFont="1" applyBorder="1">
      <alignment vertical="center"/>
    </xf>
    <xf numFmtId="176" fontId="16" fillId="0" borderId="41" xfId="0" applyNumberFormat="1" applyFont="1" applyBorder="1" applyAlignment="1">
      <alignment horizontal="center" vertical="center"/>
    </xf>
    <xf numFmtId="176" fontId="12" fillId="0" borderId="41" xfId="0" applyNumberFormat="1" applyFont="1" applyBorder="1" applyAlignment="1">
      <alignment horizontal="center" vertical="center"/>
    </xf>
    <xf numFmtId="176" fontId="3" fillId="0" borderId="41" xfId="0" applyNumberFormat="1" applyFont="1" applyBorder="1" applyAlignment="1">
      <alignment horizontal="center" vertical="center"/>
    </xf>
    <xf numFmtId="176" fontId="3" fillId="0" borderId="41" xfId="0" applyNumberFormat="1" applyFont="1" applyBorder="1">
      <alignment vertical="center"/>
    </xf>
    <xf numFmtId="176" fontId="28" fillId="0" borderId="39" xfId="0" applyNumberFormat="1" applyFont="1" applyBorder="1" applyAlignment="1">
      <alignment horizontal="center" vertical="center"/>
    </xf>
    <xf numFmtId="176" fontId="12" fillId="0" borderId="42" xfId="0" applyNumberFormat="1" applyFont="1" applyBorder="1" applyAlignment="1">
      <alignment horizontal="center" vertical="center"/>
    </xf>
    <xf numFmtId="176" fontId="30" fillId="0" borderId="39" xfId="0" applyNumberFormat="1" applyFont="1" applyBorder="1" applyAlignment="1">
      <alignment horizontal="center" vertical="center"/>
    </xf>
    <xf numFmtId="176" fontId="14" fillId="0" borderId="42" xfId="0" applyNumberFormat="1" applyFont="1" applyBorder="1" applyAlignment="1">
      <alignment horizontal="center" vertical="center"/>
    </xf>
    <xf numFmtId="176" fontId="28" fillId="0" borderId="42" xfId="0" applyNumberFormat="1" applyFont="1" applyBorder="1" applyAlignment="1">
      <alignment horizontal="center" vertical="center"/>
    </xf>
    <xf numFmtId="176" fontId="30" fillId="0" borderId="42" xfId="0" applyNumberFormat="1" applyFont="1" applyBorder="1" applyAlignment="1">
      <alignment horizontal="center" vertical="center"/>
    </xf>
    <xf numFmtId="176" fontId="2" fillId="0" borderId="42" xfId="0" applyNumberFormat="1" applyFont="1" applyBorder="1">
      <alignment vertical="center"/>
    </xf>
    <xf numFmtId="176" fontId="3" fillId="0" borderId="42" xfId="0" applyNumberFormat="1" applyFont="1" applyBorder="1" applyAlignment="1">
      <alignment horizontal="center" vertical="center"/>
    </xf>
    <xf numFmtId="176" fontId="2" fillId="0" borderId="43" xfId="0" applyNumberFormat="1" applyFont="1" applyBorder="1">
      <alignment vertical="center"/>
    </xf>
    <xf numFmtId="176" fontId="2" fillId="0" borderId="54" xfId="0" applyNumberFormat="1" applyFont="1" applyBorder="1">
      <alignment vertical="center"/>
    </xf>
    <xf numFmtId="176" fontId="27" fillId="0" borderId="54" xfId="0" applyNumberFormat="1" applyFont="1" applyBorder="1" applyAlignment="1">
      <alignment horizontal="center" vertical="center"/>
    </xf>
    <xf numFmtId="176" fontId="3" fillId="0" borderId="54" xfId="0" applyNumberFormat="1" applyFont="1" applyBorder="1" applyAlignment="1">
      <alignment horizontal="center" vertical="center"/>
    </xf>
    <xf numFmtId="176" fontId="27" fillId="0" borderId="42" xfId="0" applyNumberFormat="1" applyFont="1" applyBorder="1" applyAlignment="1">
      <alignment horizontal="center" vertical="center"/>
    </xf>
    <xf numFmtId="176" fontId="14" fillId="0" borderId="54" xfId="0" applyNumberFormat="1" applyFont="1" applyBorder="1" applyAlignment="1">
      <alignment horizontal="center" vertical="center"/>
    </xf>
    <xf numFmtId="176" fontId="12" fillId="0" borderId="54" xfId="0" applyNumberFormat="1" applyFont="1" applyBorder="1" applyAlignment="1">
      <alignment horizontal="center" vertical="center"/>
    </xf>
    <xf numFmtId="176" fontId="30" fillId="0" borderId="54" xfId="0" applyNumberFormat="1" applyFont="1" applyBorder="1" applyAlignment="1">
      <alignment horizontal="center" vertical="center"/>
    </xf>
    <xf numFmtId="176" fontId="3" fillId="0" borderId="54" xfId="0" applyNumberFormat="1" applyFont="1" applyBorder="1">
      <alignment vertical="center"/>
    </xf>
    <xf numFmtId="176" fontId="30" fillId="0" borderId="41" xfId="0" applyNumberFormat="1" applyFont="1" applyBorder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176" fontId="15" fillId="0" borderId="39" xfId="0" applyNumberFormat="1" applyFont="1" applyBorder="1" applyAlignment="1">
      <alignment horizontal="center" vertical="center"/>
    </xf>
    <xf numFmtId="176" fontId="15" fillId="0" borderId="42" xfId="0" applyNumberFormat="1" applyFont="1" applyBorder="1" applyAlignment="1">
      <alignment horizontal="center" vertical="center"/>
    </xf>
    <xf numFmtId="176" fontId="29" fillId="0" borderId="40" xfId="0" applyNumberFormat="1" applyFont="1" applyBorder="1" applyAlignment="1">
      <alignment horizontal="center" vertical="center"/>
    </xf>
    <xf numFmtId="176" fontId="30" fillId="0" borderId="40" xfId="0" applyNumberFormat="1" applyFont="1" applyBorder="1" applyAlignment="1">
      <alignment horizontal="center" vertical="center"/>
    </xf>
    <xf numFmtId="176" fontId="28" fillId="0" borderId="40" xfId="0" applyNumberFormat="1" applyFont="1" applyBorder="1" applyAlignment="1">
      <alignment horizontal="center" vertical="center"/>
    </xf>
    <xf numFmtId="176" fontId="28" fillId="0" borderId="41" xfId="0" applyNumberFormat="1" applyFont="1" applyBorder="1" applyAlignment="1">
      <alignment horizontal="center" vertical="center"/>
    </xf>
    <xf numFmtId="176" fontId="29" fillId="0" borderId="42" xfId="0" applyNumberFormat="1" applyFont="1" applyBorder="1" applyAlignment="1">
      <alignment horizontal="center" vertical="center"/>
    </xf>
    <xf numFmtId="176" fontId="29" fillId="0" borderId="41" xfId="0" applyNumberFormat="1" applyFont="1" applyBorder="1" applyAlignment="1">
      <alignment horizontal="center" vertical="center"/>
    </xf>
    <xf numFmtId="176" fontId="3" fillId="0" borderId="42" xfId="0" applyNumberFormat="1" applyFont="1" applyBorder="1">
      <alignment vertical="center"/>
    </xf>
    <xf numFmtId="176" fontId="30" fillId="0" borderId="43" xfId="0" applyNumberFormat="1" applyFont="1" applyBorder="1" applyAlignment="1">
      <alignment horizontal="center" vertical="center"/>
    </xf>
    <xf numFmtId="176" fontId="14" fillId="0" borderId="43" xfId="0" applyNumberFormat="1" applyFont="1" applyBorder="1" applyAlignment="1">
      <alignment horizontal="center" vertical="center"/>
    </xf>
    <xf numFmtId="176" fontId="3" fillId="0" borderId="43" xfId="0" applyNumberFormat="1" applyFont="1" applyBorder="1">
      <alignment vertical="center"/>
    </xf>
    <xf numFmtId="176" fontId="15" fillId="0" borderId="55" xfId="0" applyNumberFormat="1" applyFont="1" applyBorder="1" applyAlignment="1">
      <alignment horizontal="center" vertical="center"/>
    </xf>
    <xf numFmtId="176" fontId="2" fillId="0" borderId="55" xfId="0" applyNumberFormat="1" applyFont="1" applyBorder="1">
      <alignment vertical="center"/>
    </xf>
    <xf numFmtId="176" fontId="30" fillId="0" borderId="55" xfId="0" applyNumberFormat="1" applyFont="1" applyBorder="1" applyAlignment="1">
      <alignment horizontal="center" vertical="center"/>
    </xf>
    <xf numFmtId="176" fontId="14" fillId="0" borderId="55" xfId="0" applyNumberFormat="1" applyFont="1" applyBorder="1" applyAlignment="1">
      <alignment horizontal="center" vertical="center"/>
    </xf>
    <xf numFmtId="176" fontId="3" fillId="0" borderId="55" xfId="0" applyNumberFormat="1" applyFont="1" applyBorder="1">
      <alignment vertical="center"/>
    </xf>
    <xf numFmtId="176" fontId="15" fillId="0" borderId="54" xfId="0" applyNumberFormat="1" applyFont="1" applyBorder="1" applyAlignment="1">
      <alignment horizontal="center" vertical="center"/>
    </xf>
    <xf numFmtId="176" fontId="15" fillId="0" borderId="41" xfId="0" applyNumberFormat="1" applyFont="1" applyBorder="1" applyAlignment="1">
      <alignment horizontal="center" vertical="center"/>
    </xf>
    <xf numFmtId="176" fontId="17" fillId="0" borderId="39" xfId="0" applyNumberFormat="1" applyFont="1" applyBorder="1" applyAlignment="1">
      <alignment horizontal="center" vertical="center"/>
    </xf>
    <xf numFmtId="176" fontId="15" fillId="0" borderId="40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176" fontId="15" fillId="0" borderId="44" xfId="0" applyNumberFormat="1" applyFont="1" applyBorder="1" applyAlignment="1">
      <alignment horizontal="center" vertical="center"/>
    </xf>
    <xf numFmtId="176" fontId="2" fillId="0" borderId="44" xfId="0" applyNumberFormat="1" applyFont="1" applyBorder="1">
      <alignment vertical="center"/>
    </xf>
    <xf numFmtId="176" fontId="12" fillId="0" borderId="44" xfId="0" applyNumberFormat="1" applyFont="1" applyBorder="1" applyAlignment="1">
      <alignment horizontal="center" vertical="center"/>
    </xf>
    <xf numFmtId="176" fontId="30" fillId="0" borderId="44" xfId="0" applyNumberFormat="1" applyFont="1" applyBorder="1" applyAlignment="1">
      <alignment horizontal="center" vertical="center"/>
    </xf>
    <xf numFmtId="176" fontId="14" fillId="0" borderId="44" xfId="0" applyNumberFormat="1" applyFont="1" applyBorder="1" applyAlignment="1">
      <alignment horizontal="center" vertical="center"/>
    </xf>
    <xf numFmtId="176" fontId="3" fillId="0" borderId="44" xfId="0" applyNumberFormat="1" applyFont="1" applyBorder="1">
      <alignment vertical="center"/>
    </xf>
    <xf numFmtId="176" fontId="3" fillId="0" borderId="44" xfId="0" applyNumberFormat="1" applyFont="1" applyBorder="1" applyAlignment="1">
      <alignment horizontal="center" vertical="center"/>
    </xf>
    <xf numFmtId="176" fontId="12" fillId="0" borderId="39" xfId="0" applyNumberFormat="1" applyFont="1" applyBorder="1" applyAlignment="1">
      <alignment horizontal="right" vertical="center"/>
    </xf>
    <xf numFmtId="176" fontId="14" fillId="0" borderId="53" xfId="0" applyNumberFormat="1" applyFont="1" applyBorder="1" applyAlignment="1">
      <alignment horizontal="center" vertical="center"/>
    </xf>
    <xf numFmtId="176" fontId="12" fillId="0" borderId="40" xfId="0" applyNumberFormat="1" applyFont="1" applyBorder="1" applyAlignment="1">
      <alignment horizontal="right" vertical="center"/>
    </xf>
    <xf numFmtId="0" fontId="12" fillId="0" borderId="54" xfId="0" applyFont="1" applyBorder="1" applyAlignment="1">
      <alignment horizontal="right" vertical="center"/>
    </xf>
    <xf numFmtId="176" fontId="12" fillId="0" borderId="41" xfId="0" applyNumberFormat="1" applyFont="1" applyBorder="1" applyAlignment="1">
      <alignment horizontal="right" vertical="center"/>
    </xf>
    <xf numFmtId="176" fontId="24" fillId="0" borderId="55" xfId="0" applyNumberFormat="1" applyFont="1" applyBorder="1" applyAlignment="1">
      <alignment horizontal="center" vertical="center"/>
    </xf>
    <xf numFmtId="0" fontId="7" fillId="4" borderId="87" xfId="0" applyFont="1" applyFill="1" applyBorder="1" applyAlignment="1">
      <alignment horizontal="center" vertical="center" shrinkToFit="1"/>
    </xf>
    <xf numFmtId="0" fontId="7" fillId="4" borderId="88" xfId="0" applyFont="1" applyFill="1" applyBorder="1" applyAlignment="1">
      <alignment horizontal="center" vertical="center" shrinkToFit="1"/>
    </xf>
    <xf numFmtId="0" fontId="7" fillId="4" borderId="89" xfId="0" applyFont="1" applyFill="1" applyBorder="1" applyAlignment="1">
      <alignment horizontal="center" vertical="center" shrinkToFit="1"/>
    </xf>
    <xf numFmtId="0" fontId="32" fillId="7" borderId="87" xfId="0" applyFont="1" applyFill="1" applyBorder="1" applyAlignment="1">
      <alignment horizontal="center" vertical="center" shrinkToFit="1"/>
    </xf>
    <xf numFmtId="0" fontId="7" fillId="18" borderId="87" xfId="0" applyFont="1" applyFill="1" applyBorder="1" applyAlignment="1">
      <alignment horizontal="center" vertical="center" shrinkToFit="1"/>
    </xf>
    <xf numFmtId="0" fontId="7" fillId="18" borderId="90" xfId="0" applyFont="1" applyFill="1" applyBorder="1" applyAlignment="1">
      <alignment horizontal="center" vertical="center" shrinkToFit="1"/>
    </xf>
    <xf numFmtId="0" fontId="7" fillId="18" borderId="91" xfId="0" applyFont="1" applyFill="1" applyBorder="1" applyAlignment="1">
      <alignment horizontal="center" vertical="center" shrinkToFit="1"/>
    </xf>
    <xf numFmtId="0" fontId="7" fillId="9" borderId="87" xfId="0" applyFont="1" applyFill="1" applyBorder="1" applyAlignment="1">
      <alignment horizontal="center" vertical="center" shrinkToFit="1"/>
    </xf>
    <xf numFmtId="0" fontId="7" fillId="9" borderId="88" xfId="0" applyFont="1" applyFill="1" applyBorder="1" applyAlignment="1">
      <alignment horizontal="center" vertical="center" shrinkToFit="1"/>
    </xf>
    <xf numFmtId="0" fontId="7" fillId="9" borderId="89" xfId="0" applyFont="1" applyFill="1" applyBorder="1" applyAlignment="1">
      <alignment horizontal="center" vertical="center" shrinkToFit="1"/>
    </xf>
    <xf numFmtId="0" fontId="7" fillId="10" borderId="87" xfId="0" applyFont="1" applyFill="1" applyBorder="1" applyAlignment="1">
      <alignment horizontal="center" vertical="center" shrinkToFit="1"/>
    </xf>
    <xf numFmtId="0" fontId="7" fillId="10" borderId="88" xfId="0" applyFont="1" applyFill="1" applyBorder="1" applyAlignment="1">
      <alignment horizontal="center" vertical="center" shrinkToFit="1"/>
    </xf>
    <xf numFmtId="0" fontId="7" fillId="10" borderId="89" xfId="0" applyFont="1" applyFill="1" applyBorder="1" applyAlignment="1">
      <alignment horizontal="center" vertical="center" shrinkToFit="1"/>
    </xf>
    <xf numFmtId="0" fontId="7" fillId="6" borderId="88" xfId="0" applyFont="1" applyFill="1" applyBorder="1" applyAlignment="1">
      <alignment horizontal="center" vertical="center" shrinkToFit="1"/>
    </xf>
    <xf numFmtId="0" fontId="7" fillId="6" borderId="91" xfId="0" applyFont="1" applyFill="1" applyBorder="1" applyAlignment="1">
      <alignment horizontal="center" vertical="center" shrinkToFit="1"/>
    </xf>
    <xf numFmtId="0" fontId="7" fillId="11" borderId="87" xfId="0" applyFont="1" applyFill="1" applyBorder="1" applyAlignment="1">
      <alignment horizontal="center" vertical="center" shrinkToFit="1"/>
    </xf>
    <xf numFmtId="0" fontId="7" fillId="12" borderId="90" xfId="0" applyFont="1" applyFill="1" applyBorder="1" applyAlignment="1">
      <alignment horizontal="center" vertical="center" shrinkToFit="1"/>
    </xf>
    <xf numFmtId="0" fontId="7" fillId="12" borderId="0" xfId="0" applyFont="1" applyFill="1" applyAlignment="1">
      <alignment horizontal="center" vertical="center" shrinkToFit="1"/>
    </xf>
    <xf numFmtId="0" fontId="7" fillId="12" borderId="89" xfId="0" applyFont="1" applyFill="1" applyBorder="1" applyAlignment="1">
      <alignment horizontal="center" vertical="center" shrinkToFit="1"/>
    </xf>
    <xf numFmtId="0" fontId="7" fillId="7" borderId="88" xfId="0" applyFont="1" applyFill="1" applyBorder="1" applyAlignment="1">
      <alignment horizontal="center" vertical="center" shrinkToFit="1"/>
    </xf>
    <xf numFmtId="0" fontId="7" fillId="7" borderId="89" xfId="0" applyFont="1" applyFill="1" applyBorder="1" applyAlignment="1">
      <alignment horizontal="center" vertical="center" shrinkToFit="1"/>
    </xf>
    <xf numFmtId="0" fontId="2" fillId="2" borderId="26" xfId="0" applyFont="1" applyFill="1" applyBorder="1" applyAlignment="1">
      <alignment horizontal="center" vertical="center" shrinkToFit="1"/>
    </xf>
    <xf numFmtId="176" fontId="28" fillId="0" borderId="54" xfId="0" applyNumberFormat="1" applyFont="1" applyBorder="1" applyAlignment="1">
      <alignment horizontal="center" vertical="center"/>
    </xf>
    <xf numFmtId="0" fontId="7" fillId="6" borderId="40" xfId="0" applyFont="1" applyFill="1" applyBorder="1" applyAlignment="1">
      <alignment horizontal="center" vertical="center" shrinkToFit="1"/>
    </xf>
    <xf numFmtId="0" fontId="32" fillId="7" borderId="90" xfId="0" applyFont="1" applyFill="1" applyBorder="1" applyAlignment="1">
      <alignment horizontal="center" vertical="center" shrinkToFit="1"/>
    </xf>
    <xf numFmtId="0" fontId="7" fillId="11" borderId="91" xfId="0" applyFont="1" applyFill="1" applyBorder="1" applyAlignment="1">
      <alignment horizontal="center" vertical="center" shrinkToFit="1"/>
    </xf>
    <xf numFmtId="0" fontId="7" fillId="11" borderId="39" xfId="0" applyFont="1" applyFill="1" applyBorder="1" applyAlignment="1">
      <alignment horizontal="center" vertical="center" shrinkToFit="1"/>
    </xf>
    <xf numFmtId="0" fontId="7" fillId="20" borderId="87" xfId="0" applyFont="1" applyFill="1" applyBorder="1" applyAlignment="1">
      <alignment horizontal="center" vertical="center" shrinkToFit="1"/>
    </xf>
    <xf numFmtId="0" fontId="7" fillId="20" borderId="89" xfId="0" applyFont="1" applyFill="1" applyBorder="1" applyAlignment="1">
      <alignment horizontal="center" vertical="center" shrinkToFit="1"/>
    </xf>
    <xf numFmtId="0" fontId="7" fillId="20" borderId="39" xfId="0" applyFont="1" applyFill="1" applyBorder="1" applyAlignment="1">
      <alignment horizontal="center" vertical="center" shrinkToFit="1"/>
    </xf>
    <xf numFmtId="0" fontId="7" fillId="20" borderId="41" xfId="0" applyFont="1" applyFill="1" applyBorder="1" applyAlignment="1">
      <alignment horizontal="center" vertical="center" shrinkToFit="1"/>
    </xf>
    <xf numFmtId="0" fontId="7" fillId="18" borderId="88" xfId="0" applyFont="1" applyFill="1" applyBorder="1" applyAlignment="1">
      <alignment horizontal="center" vertical="center" shrinkToFit="1"/>
    </xf>
    <xf numFmtId="0" fontId="7" fillId="18" borderId="89" xfId="0" applyFont="1" applyFill="1" applyBorder="1" applyAlignment="1">
      <alignment horizontal="center" vertical="center" shrinkToFit="1"/>
    </xf>
    <xf numFmtId="0" fontId="32" fillId="7" borderId="39" xfId="0" applyFont="1" applyFill="1" applyBorder="1" applyAlignment="1">
      <alignment horizontal="center" vertical="center" shrinkToFit="1"/>
    </xf>
    <xf numFmtId="0" fontId="32" fillId="7" borderId="42" xfId="0" applyFont="1" applyFill="1" applyBorder="1" applyAlignment="1">
      <alignment horizontal="center" vertical="center" shrinkToFit="1"/>
    </xf>
    <xf numFmtId="0" fontId="7" fillId="18" borderId="39" xfId="0" applyFont="1" applyFill="1" applyBorder="1" applyAlignment="1">
      <alignment horizontal="center" vertical="center" shrinkToFit="1"/>
    </xf>
    <xf numFmtId="0" fontId="7" fillId="18" borderId="42" xfId="0" applyFont="1" applyFill="1" applyBorder="1" applyAlignment="1">
      <alignment horizontal="center" vertical="center" shrinkToFit="1"/>
    </xf>
    <xf numFmtId="0" fontId="7" fillId="18" borderId="43" xfId="0" applyFont="1" applyFill="1" applyBorder="1" applyAlignment="1">
      <alignment horizontal="center" vertical="center" shrinkToFit="1"/>
    </xf>
    <xf numFmtId="0" fontId="7" fillId="18" borderId="40" xfId="0" applyFont="1" applyFill="1" applyBorder="1" applyAlignment="1">
      <alignment horizontal="center" vertical="center" shrinkToFit="1"/>
    </xf>
    <xf numFmtId="0" fontId="7" fillId="18" borderId="41" xfId="0" applyFont="1" applyFill="1" applyBorder="1" applyAlignment="1">
      <alignment horizontal="center" vertical="center" shrinkToFit="1"/>
    </xf>
    <xf numFmtId="0" fontId="7" fillId="9" borderId="39" xfId="0" applyFont="1" applyFill="1" applyBorder="1" applyAlignment="1">
      <alignment horizontal="center" vertical="center" shrinkToFit="1"/>
    </xf>
    <xf numFmtId="0" fontId="7" fillId="9" borderId="40" xfId="0" applyFont="1" applyFill="1" applyBorder="1" applyAlignment="1">
      <alignment horizontal="center" vertical="center" shrinkToFit="1"/>
    </xf>
    <xf numFmtId="0" fontId="7" fillId="9" borderId="41" xfId="0" applyFont="1" applyFill="1" applyBorder="1" applyAlignment="1">
      <alignment horizontal="center" vertical="center" shrinkToFit="1"/>
    </xf>
    <xf numFmtId="0" fontId="7" fillId="10" borderId="39" xfId="0" applyFont="1" applyFill="1" applyBorder="1" applyAlignment="1">
      <alignment horizontal="center" vertical="center" shrinkToFit="1"/>
    </xf>
    <xf numFmtId="0" fontId="7" fillId="10" borderId="40" xfId="0" applyFont="1" applyFill="1" applyBorder="1" applyAlignment="1">
      <alignment horizontal="center" vertical="center" shrinkToFit="1"/>
    </xf>
    <xf numFmtId="0" fontId="7" fillId="10" borderId="41" xfId="0" applyFont="1" applyFill="1" applyBorder="1" applyAlignment="1">
      <alignment horizontal="center" vertical="center" shrinkToFit="1"/>
    </xf>
    <xf numFmtId="0" fontId="7" fillId="11" borderId="43" xfId="0" applyFont="1" applyFill="1" applyBorder="1" applyAlignment="1">
      <alignment horizontal="center" vertical="center" shrinkToFit="1"/>
    </xf>
    <xf numFmtId="0" fontId="7" fillId="12" borderId="42" xfId="0" applyFont="1" applyFill="1" applyBorder="1" applyAlignment="1">
      <alignment horizontal="center" vertical="center" shrinkToFit="1"/>
    </xf>
    <xf numFmtId="0" fontId="7" fillId="12" borderId="41" xfId="0" applyFont="1" applyFill="1" applyBorder="1" applyAlignment="1">
      <alignment horizontal="center" vertical="center" shrinkToFit="1"/>
    </xf>
    <xf numFmtId="0" fontId="7" fillId="7" borderId="40" xfId="0" applyFont="1" applyFill="1" applyBorder="1" applyAlignment="1">
      <alignment horizontal="center" vertical="center" shrinkToFit="1"/>
    </xf>
    <xf numFmtId="0" fontId="7" fillId="7" borderId="41" xfId="0" applyFont="1" applyFill="1" applyBorder="1" applyAlignment="1">
      <alignment horizontal="center" vertical="center" shrinkToFit="1"/>
    </xf>
    <xf numFmtId="176" fontId="33" fillId="0" borderId="42" xfId="0" applyNumberFormat="1" applyFont="1" applyBorder="1" applyAlignment="1">
      <alignment horizontal="center" vertical="center"/>
    </xf>
    <xf numFmtId="176" fontId="33" fillId="0" borderId="39" xfId="0" applyNumberFormat="1" applyFont="1" applyBorder="1" applyAlignment="1">
      <alignment horizontal="center" vertical="center"/>
    </xf>
    <xf numFmtId="176" fontId="33" fillId="0" borderId="54" xfId="0" applyNumberFormat="1" applyFont="1" applyBorder="1" applyAlignment="1">
      <alignment horizontal="center" vertical="center"/>
    </xf>
    <xf numFmtId="176" fontId="33" fillId="0" borderId="41" xfId="0" applyNumberFormat="1" applyFont="1" applyBorder="1" applyAlignment="1">
      <alignment horizontal="center" vertical="center"/>
    </xf>
    <xf numFmtId="176" fontId="33" fillId="0" borderId="40" xfId="0" applyNumberFormat="1" applyFont="1" applyBorder="1" applyAlignment="1">
      <alignment horizontal="center" vertical="center"/>
    </xf>
    <xf numFmtId="0" fontId="7" fillId="6" borderId="43" xfId="0" applyFont="1" applyFill="1" applyBorder="1" applyAlignment="1">
      <alignment horizontal="center" vertical="center" shrinkToFit="1"/>
    </xf>
    <xf numFmtId="176" fontId="34" fillId="0" borderId="39" xfId="0" applyNumberFormat="1" applyFont="1" applyBorder="1">
      <alignment vertical="center"/>
    </xf>
    <xf numFmtId="176" fontId="35" fillId="0" borderId="39" xfId="0" applyNumberFormat="1" applyFont="1" applyBorder="1" applyAlignment="1">
      <alignment horizontal="center" vertical="center"/>
    </xf>
    <xf numFmtId="176" fontId="36" fillId="0" borderId="39" xfId="0" applyNumberFormat="1" applyFont="1" applyBorder="1" applyAlignment="1">
      <alignment horizontal="center" vertical="center"/>
    </xf>
    <xf numFmtId="176" fontId="34" fillId="0" borderId="40" xfId="0" applyNumberFormat="1" applyFont="1" applyBorder="1">
      <alignment vertical="center"/>
    </xf>
    <xf numFmtId="176" fontId="35" fillId="0" borderId="40" xfId="0" applyNumberFormat="1" applyFont="1" applyBorder="1" applyAlignment="1">
      <alignment horizontal="center" vertical="center"/>
    </xf>
    <xf numFmtId="176" fontId="36" fillId="0" borderId="40" xfId="0" applyNumberFormat="1" applyFont="1" applyBorder="1" applyAlignment="1">
      <alignment horizontal="center" vertical="center"/>
    </xf>
    <xf numFmtId="176" fontId="34" fillId="0" borderId="41" xfId="0" applyNumberFormat="1" applyFont="1" applyBorder="1">
      <alignment vertical="center"/>
    </xf>
    <xf numFmtId="176" fontId="35" fillId="0" borderId="41" xfId="0" applyNumberFormat="1" applyFont="1" applyBorder="1" applyAlignment="1">
      <alignment horizontal="center" vertical="center"/>
    </xf>
    <xf numFmtId="176" fontId="36" fillId="0" borderId="41" xfId="0" applyNumberFormat="1" applyFont="1" applyBorder="1" applyAlignment="1">
      <alignment horizontal="center" vertical="center"/>
    </xf>
    <xf numFmtId="176" fontId="34" fillId="0" borderId="42" xfId="0" applyNumberFormat="1" applyFont="1" applyBorder="1">
      <alignment vertical="center"/>
    </xf>
    <xf numFmtId="176" fontId="36" fillId="0" borderId="42" xfId="0" applyNumberFormat="1" applyFont="1" applyBorder="1" applyAlignment="1">
      <alignment horizontal="center" vertical="center"/>
    </xf>
    <xf numFmtId="176" fontId="37" fillId="0" borderId="42" xfId="0" applyNumberFormat="1" applyFont="1" applyBorder="1" applyAlignment="1">
      <alignment horizontal="center" vertical="center"/>
    </xf>
    <xf numFmtId="176" fontId="34" fillId="0" borderId="54" xfId="0" applyNumberFormat="1" applyFont="1" applyBorder="1">
      <alignment vertical="center"/>
    </xf>
    <xf numFmtId="176" fontId="36" fillId="0" borderId="54" xfId="0" applyNumberFormat="1" applyFont="1" applyBorder="1" applyAlignment="1">
      <alignment horizontal="center" vertical="center"/>
    </xf>
    <xf numFmtId="176" fontId="40" fillId="0" borderId="39" xfId="0" applyNumberFormat="1" applyFont="1" applyBorder="1" applyAlignment="1">
      <alignment horizontal="center" vertical="center"/>
    </xf>
    <xf numFmtId="176" fontId="40" fillId="0" borderId="42" xfId="0" applyNumberFormat="1" applyFont="1" applyBorder="1" applyAlignment="1">
      <alignment horizontal="center" vertical="center"/>
    </xf>
    <xf numFmtId="176" fontId="33" fillId="0" borderId="55" xfId="0" applyNumberFormat="1" applyFont="1" applyBorder="1" applyAlignment="1">
      <alignment horizontal="center" vertical="center"/>
    </xf>
    <xf numFmtId="176" fontId="38" fillId="0" borderId="39" xfId="0" applyNumberFormat="1" applyFont="1" applyBorder="1" applyAlignment="1">
      <alignment horizontal="center" vertical="center"/>
    </xf>
    <xf numFmtId="176" fontId="38" fillId="0" borderId="40" xfId="0" applyNumberFormat="1" applyFont="1" applyBorder="1" applyAlignment="1">
      <alignment horizontal="center" vertical="center"/>
    </xf>
    <xf numFmtId="176" fontId="38" fillId="0" borderId="41" xfId="0" applyNumberFormat="1" applyFont="1" applyBorder="1" applyAlignment="1">
      <alignment horizontal="center" vertical="center"/>
    </xf>
    <xf numFmtId="176" fontId="12" fillId="0" borderId="55" xfId="0" applyNumberFormat="1" applyFont="1" applyBorder="1" applyAlignment="1">
      <alignment horizontal="center" vertical="center"/>
    </xf>
    <xf numFmtId="176" fontId="41" fillId="0" borderId="39" xfId="0" applyNumberFormat="1" applyFont="1" applyBorder="1">
      <alignment vertical="center"/>
    </xf>
    <xf numFmtId="176" fontId="14" fillId="0" borderId="85" xfId="0" applyNumberFormat="1" applyFont="1" applyBorder="1" applyAlignment="1">
      <alignment horizontal="center" vertical="center"/>
    </xf>
    <xf numFmtId="176" fontId="33" fillId="0" borderId="44" xfId="0" applyNumberFormat="1" applyFont="1" applyBorder="1" applyAlignment="1">
      <alignment horizontal="center" vertical="center"/>
    </xf>
    <xf numFmtId="176" fontId="27" fillId="0" borderId="39" xfId="0" applyNumberFormat="1" applyFont="1" applyBorder="1" applyAlignment="1">
      <alignment horizontal="center" vertical="center"/>
    </xf>
    <xf numFmtId="176" fontId="27" fillId="0" borderId="41" xfId="0" applyNumberFormat="1" applyFont="1" applyBorder="1" applyAlignment="1">
      <alignment horizontal="center" vertical="center"/>
    </xf>
    <xf numFmtId="176" fontId="27" fillId="0" borderId="40" xfId="0" applyNumberFormat="1" applyFont="1" applyBorder="1" applyAlignment="1">
      <alignment horizontal="center" vertical="center"/>
    </xf>
    <xf numFmtId="176" fontId="27" fillId="0" borderId="44" xfId="0" applyNumberFormat="1" applyFont="1" applyBorder="1" applyAlignment="1">
      <alignment horizontal="center" vertical="center"/>
    </xf>
    <xf numFmtId="176" fontId="27" fillId="0" borderId="84" xfId="0" applyNumberFormat="1" applyFont="1" applyBorder="1" applyAlignment="1">
      <alignment horizontal="center" vertical="center"/>
    </xf>
    <xf numFmtId="176" fontId="39" fillId="0" borderId="42" xfId="0" applyNumberFormat="1" applyFont="1" applyBorder="1" applyAlignment="1">
      <alignment horizontal="center" vertical="center"/>
    </xf>
    <xf numFmtId="176" fontId="39" fillId="0" borderId="39" xfId="0" applyNumberFormat="1" applyFont="1" applyBorder="1" applyAlignment="1">
      <alignment horizontal="center" vertical="center"/>
    </xf>
    <xf numFmtId="176" fontId="39" fillId="0" borderId="40" xfId="0" applyNumberFormat="1" applyFont="1" applyBorder="1" applyAlignment="1">
      <alignment horizontal="center" vertical="center"/>
    </xf>
    <xf numFmtId="176" fontId="42" fillId="0" borderId="39" xfId="0" applyNumberFormat="1" applyFont="1" applyBorder="1" applyAlignment="1">
      <alignment horizontal="center" vertical="center"/>
    </xf>
    <xf numFmtId="176" fontId="42" fillId="0" borderId="54" xfId="0" applyNumberFormat="1" applyFont="1" applyBorder="1" applyAlignment="1">
      <alignment horizontal="center" vertical="center"/>
    </xf>
    <xf numFmtId="176" fontId="42" fillId="0" borderId="41" xfId="0" applyNumberFormat="1" applyFont="1" applyBorder="1" applyAlignment="1">
      <alignment horizontal="center" vertical="center"/>
    </xf>
    <xf numFmtId="176" fontId="5" fillId="0" borderId="40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39" xfId="0" applyNumberFormat="1" applyFont="1" applyBorder="1" applyAlignment="1">
      <alignment horizontal="right" vertical="center"/>
    </xf>
    <xf numFmtId="0" fontId="32" fillId="7" borderId="43" xfId="0" applyFont="1" applyFill="1" applyBorder="1" applyAlignment="1">
      <alignment horizontal="center" vertical="center" shrinkToFit="1"/>
    </xf>
    <xf numFmtId="0" fontId="32" fillId="7" borderId="0" xfId="0" applyFont="1" applyFill="1" applyAlignment="1">
      <alignment horizontal="center" vertical="center" shrinkToFit="1"/>
    </xf>
    <xf numFmtId="0" fontId="7" fillId="7" borderId="95" xfId="0" applyFont="1" applyFill="1" applyBorder="1" applyAlignment="1">
      <alignment horizontal="center" vertical="center" shrinkToFit="1"/>
    </xf>
    <xf numFmtId="0" fontId="6" fillId="7" borderId="96" xfId="0" applyFont="1" applyFill="1" applyBorder="1" applyAlignment="1">
      <alignment horizontal="center" vertical="center" shrinkToFit="1"/>
    </xf>
    <xf numFmtId="0" fontId="7" fillId="7" borderId="96" xfId="0" applyFont="1" applyFill="1" applyBorder="1" applyAlignment="1">
      <alignment horizontal="center" vertical="center" shrinkToFit="1"/>
    </xf>
    <xf numFmtId="0" fontId="6" fillId="7" borderId="97" xfId="0" applyFont="1" applyFill="1" applyBorder="1" applyAlignment="1">
      <alignment horizontal="center" vertical="center" shrinkToFit="1"/>
    </xf>
    <xf numFmtId="176" fontId="27" fillId="0" borderId="55" xfId="0" applyNumberFormat="1" applyFont="1" applyBorder="1" applyAlignment="1">
      <alignment horizontal="center" vertical="center"/>
    </xf>
    <xf numFmtId="0" fontId="7" fillId="20" borderId="43" xfId="0" applyFont="1" applyFill="1" applyBorder="1" applyAlignment="1">
      <alignment horizontal="center" vertical="center" shrinkToFit="1"/>
    </xf>
    <xf numFmtId="176" fontId="5" fillId="3" borderId="43" xfId="0" applyNumberFormat="1" applyFont="1" applyFill="1" applyBorder="1" applyAlignment="1">
      <alignment horizontal="right" vertical="center"/>
    </xf>
    <xf numFmtId="176" fontId="3" fillId="0" borderId="92" xfId="0" applyNumberFormat="1" applyFont="1" applyBorder="1" applyAlignment="1">
      <alignment horizontal="center" vertical="center"/>
    </xf>
    <xf numFmtId="0" fontId="7" fillId="12" borderId="39" xfId="0" applyFont="1" applyFill="1" applyBorder="1" applyAlignment="1">
      <alignment horizontal="center" vertical="center" shrinkToFit="1"/>
    </xf>
    <xf numFmtId="176" fontId="5" fillId="3" borderId="42" xfId="0" applyNumberFormat="1" applyFont="1" applyFill="1" applyBorder="1" applyAlignment="1">
      <alignment horizontal="right" vertical="center"/>
    </xf>
    <xf numFmtId="176" fontId="28" fillId="0" borderId="55" xfId="0" applyNumberFormat="1" applyFont="1" applyBorder="1" applyAlignment="1">
      <alignment horizontal="center" vertical="center"/>
    </xf>
    <xf numFmtId="176" fontId="3" fillId="0" borderId="55" xfId="0" applyNumberFormat="1" applyFont="1" applyBorder="1" applyAlignment="1">
      <alignment horizontal="center" vertical="center"/>
    </xf>
    <xf numFmtId="0" fontId="32" fillId="7" borderId="55" xfId="0" applyFont="1" applyFill="1" applyBorder="1" applyAlignment="1">
      <alignment horizontal="center" vertical="center" shrinkToFit="1"/>
    </xf>
    <xf numFmtId="176" fontId="29" fillId="0" borderId="55" xfId="0" applyNumberFormat="1" applyFont="1" applyBorder="1" applyAlignment="1">
      <alignment horizontal="center" vertical="center"/>
    </xf>
    <xf numFmtId="176" fontId="29" fillId="0" borderId="39" xfId="0" applyNumberFormat="1" applyFont="1" applyBorder="1" applyAlignment="1">
      <alignment horizontal="center" vertical="center"/>
    </xf>
    <xf numFmtId="176" fontId="43" fillId="0" borderId="39" xfId="0" applyNumberFormat="1" applyFont="1" applyBorder="1" applyAlignment="1">
      <alignment horizontal="center" vertical="center"/>
    </xf>
    <xf numFmtId="176" fontId="44" fillId="0" borderId="42" xfId="0" applyNumberFormat="1" applyFont="1" applyBorder="1" applyAlignment="1">
      <alignment horizontal="center" vertical="center"/>
    </xf>
    <xf numFmtId="176" fontId="45" fillId="0" borderId="42" xfId="0" applyNumberFormat="1" applyFont="1" applyBorder="1" applyAlignment="1">
      <alignment horizontal="center" vertical="center"/>
    </xf>
    <xf numFmtId="176" fontId="45" fillId="0" borderId="40" xfId="0" applyNumberFormat="1" applyFont="1" applyBorder="1" applyAlignment="1">
      <alignment horizontal="center" vertical="center"/>
    </xf>
    <xf numFmtId="176" fontId="46" fillId="0" borderId="42" xfId="0" applyNumberFormat="1" applyFont="1" applyBorder="1" applyAlignment="1">
      <alignment horizontal="center" vertical="center"/>
    </xf>
    <xf numFmtId="176" fontId="47" fillId="0" borderId="42" xfId="0" applyNumberFormat="1" applyFont="1" applyBorder="1" applyAlignment="1">
      <alignment horizontal="center" vertical="center"/>
    </xf>
    <xf numFmtId="176" fontId="46" fillId="0" borderId="43" xfId="0" applyNumberFormat="1" applyFont="1" applyBorder="1" applyAlignment="1">
      <alignment horizontal="center" vertical="center"/>
    </xf>
    <xf numFmtId="176" fontId="48" fillId="0" borderId="42" xfId="0" applyNumberFormat="1" applyFont="1" applyBorder="1" applyAlignment="1">
      <alignment horizontal="center" vertical="center"/>
    </xf>
    <xf numFmtId="176" fontId="37" fillId="0" borderId="39" xfId="0" applyNumberFormat="1" applyFont="1" applyBorder="1" applyAlignment="1">
      <alignment horizontal="center" vertical="center"/>
    </xf>
    <xf numFmtId="176" fontId="28" fillId="0" borderId="44" xfId="0" applyNumberFormat="1" applyFont="1" applyBorder="1" applyAlignment="1">
      <alignment horizontal="center" vertical="center"/>
    </xf>
    <xf numFmtId="176" fontId="28" fillId="0" borderId="84" xfId="0" applyNumberFormat="1" applyFont="1" applyBorder="1" applyAlignment="1">
      <alignment horizontal="center" vertical="center"/>
    </xf>
    <xf numFmtId="176" fontId="28" fillId="0" borderId="85" xfId="0" applyNumberFormat="1" applyFont="1" applyBorder="1" applyAlignment="1">
      <alignment horizontal="center" vertical="center"/>
    </xf>
    <xf numFmtId="176" fontId="28" fillId="0" borderId="53" xfId="0" applyNumberFormat="1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14" borderId="55" xfId="0" applyFont="1" applyFill="1" applyBorder="1" applyAlignment="1">
      <alignment horizontal="center" vertical="center"/>
    </xf>
    <xf numFmtId="0" fontId="7" fillId="15" borderId="56" xfId="0" applyFont="1" applyFill="1" applyBorder="1" applyAlignment="1">
      <alignment horizontal="center" vertical="center" shrinkToFit="1"/>
    </xf>
    <xf numFmtId="0" fontId="7" fillId="15" borderId="52" xfId="0" applyFont="1" applyFill="1" applyBorder="1" applyAlignment="1">
      <alignment horizontal="center" vertical="center" shrinkToFit="1"/>
    </xf>
    <xf numFmtId="0" fontId="7" fillId="15" borderId="32" xfId="0" applyFont="1" applyFill="1" applyBorder="1" applyAlignment="1">
      <alignment horizontal="center" vertical="center" shrinkToFit="1"/>
    </xf>
    <xf numFmtId="0" fontId="7" fillId="16" borderId="57" xfId="0" applyFont="1" applyFill="1" applyBorder="1" applyAlignment="1">
      <alignment horizontal="center" vertical="center" wrapText="1"/>
    </xf>
    <xf numFmtId="0" fontId="7" fillId="16" borderId="92" xfId="0" applyFont="1" applyFill="1" applyBorder="1" applyAlignment="1">
      <alignment horizontal="center" vertical="center" wrapText="1"/>
    </xf>
    <xf numFmtId="0" fontId="7" fillId="16" borderId="59" xfId="0" applyFont="1" applyFill="1" applyBorder="1" applyAlignment="1">
      <alignment horizontal="center" vertical="center" wrapText="1"/>
    </xf>
    <xf numFmtId="0" fontId="7" fillId="16" borderId="0" xfId="0" applyFont="1" applyFill="1" applyAlignment="1">
      <alignment horizontal="center" vertical="center" wrapText="1"/>
    </xf>
    <xf numFmtId="0" fontId="7" fillId="16" borderId="61" xfId="0" applyFont="1" applyFill="1" applyBorder="1" applyAlignment="1">
      <alignment horizontal="center" vertical="center" wrapText="1"/>
    </xf>
    <xf numFmtId="0" fontId="7" fillId="16" borderId="93" xfId="0" applyFont="1" applyFill="1" applyBorder="1" applyAlignment="1">
      <alignment horizontal="center" vertical="center" wrapText="1"/>
    </xf>
    <xf numFmtId="0" fontId="18" fillId="16" borderId="57" xfId="0" applyFont="1" applyFill="1" applyBorder="1" applyAlignment="1">
      <alignment horizontal="center" vertical="center"/>
    </xf>
    <xf numFmtId="0" fontId="7" fillId="16" borderId="59" xfId="0" applyFont="1" applyFill="1" applyBorder="1">
      <alignment vertical="center"/>
    </xf>
    <xf numFmtId="0" fontId="7" fillId="16" borderId="61" xfId="0" applyFont="1" applyFill="1" applyBorder="1">
      <alignment vertical="center"/>
    </xf>
    <xf numFmtId="0" fontId="0" fillId="0" borderId="57" xfId="0" applyBorder="1">
      <alignment vertical="center"/>
    </xf>
    <xf numFmtId="0" fontId="0" fillId="0" borderId="58" xfId="0" applyBorder="1">
      <alignment vertical="center"/>
    </xf>
    <xf numFmtId="0" fontId="0" fillId="0" borderId="59" xfId="0" applyBorder="1">
      <alignment vertical="center"/>
    </xf>
    <xf numFmtId="0" fontId="0" fillId="0" borderId="60" xfId="0" applyBorder="1">
      <alignment vertical="center"/>
    </xf>
    <xf numFmtId="0" fontId="0" fillId="0" borderId="61" xfId="0" applyBorder="1">
      <alignment vertical="center"/>
    </xf>
    <xf numFmtId="0" fontId="0" fillId="0" borderId="23" xfId="0" applyBorder="1">
      <alignment vertical="center"/>
    </xf>
    <xf numFmtId="0" fontId="7" fillId="11" borderId="53" xfId="0" applyFont="1" applyFill="1" applyBorder="1" applyAlignment="1">
      <alignment horizontal="center" vertical="center"/>
    </xf>
    <xf numFmtId="0" fontId="7" fillId="11" borderId="54" xfId="0" applyFont="1" applyFill="1" applyBorder="1" applyAlignment="1">
      <alignment horizontal="center" vertical="center"/>
    </xf>
    <xf numFmtId="0" fontId="7" fillId="20" borderId="39" xfId="0" applyFont="1" applyFill="1" applyBorder="1" applyAlignment="1">
      <alignment horizontal="center" vertical="center"/>
    </xf>
    <xf numFmtId="0" fontId="7" fillId="20" borderId="41" xfId="0" applyFont="1" applyFill="1" applyBorder="1" applyAlignment="1">
      <alignment horizontal="center" vertical="center"/>
    </xf>
    <xf numFmtId="0" fontId="7" fillId="20" borderId="43" xfId="0" applyFont="1" applyFill="1" applyBorder="1" applyAlignment="1">
      <alignment horizontal="center" vertical="center"/>
    </xf>
    <xf numFmtId="0" fontId="7" fillId="12" borderId="54" xfId="0" applyFont="1" applyFill="1" applyBorder="1" applyAlignment="1">
      <alignment horizontal="center" vertical="center"/>
    </xf>
    <xf numFmtId="0" fontId="7" fillId="12" borderId="55" xfId="0" applyFont="1" applyFill="1" applyBorder="1" applyAlignment="1">
      <alignment horizontal="center" vertical="center"/>
    </xf>
    <xf numFmtId="0" fontId="7" fillId="12" borderId="53" xfId="0" applyFont="1" applyFill="1" applyBorder="1" applyAlignment="1">
      <alignment horizontal="center" vertical="center"/>
    </xf>
    <xf numFmtId="0" fontId="7" fillId="9" borderId="53" xfId="0" applyFont="1" applyFill="1" applyBorder="1" applyAlignment="1">
      <alignment horizontal="center" vertical="center"/>
    </xf>
    <xf numFmtId="0" fontId="7" fillId="9" borderId="54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7" fillId="10" borderId="53" xfId="0" applyFont="1" applyFill="1" applyBorder="1" applyAlignment="1">
      <alignment horizontal="center" vertical="center"/>
    </xf>
    <xf numFmtId="0" fontId="7" fillId="10" borderId="54" xfId="0" applyFont="1" applyFill="1" applyBorder="1" applyAlignment="1">
      <alignment horizontal="center" vertical="center"/>
    </xf>
    <xf numFmtId="0" fontId="7" fillId="10" borderId="55" xfId="0" applyFont="1" applyFill="1" applyBorder="1" applyAlignment="1">
      <alignment horizontal="center" vertical="center"/>
    </xf>
    <xf numFmtId="0" fontId="7" fillId="6" borderId="53" xfId="0" applyFont="1" applyFill="1" applyBorder="1" applyAlignment="1">
      <alignment horizontal="center" vertical="center"/>
    </xf>
    <xf numFmtId="0" fontId="7" fillId="6" borderId="54" xfId="0" applyFont="1" applyFill="1" applyBorder="1" applyAlignment="1">
      <alignment horizontal="center" vertical="center"/>
    </xf>
    <xf numFmtId="0" fontId="18" fillId="0" borderId="63" xfId="0" applyFont="1" applyBorder="1" applyAlignment="1">
      <alignment horizontal="center" vertical="center"/>
    </xf>
    <xf numFmtId="0" fontId="18" fillId="0" borderId="64" xfId="0" applyFont="1" applyBorder="1" applyAlignment="1">
      <alignment horizontal="center" vertical="center"/>
    </xf>
    <xf numFmtId="0" fontId="7" fillId="17" borderId="53" xfId="0" applyFont="1" applyFill="1" applyBorder="1" applyAlignment="1">
      <alignment horizontal="center" vertical="center" wrapText="1"/>
    </xf>
    <xf numFmtId="0" fontId="7" fillId="17" borderId="54" xfId="0" applyFont="1" applyFill="1" applyBorder="1" applyAlignment="1">
      <alignment horizontal="center" vertical="center" wrapText="1"/>
    </xf>
    <xf numFmtId="0" fontId="7" fillId="17" borderId="55" xfId="0" applyFont="1" applyFill="1" applyBorder="1" applyAlignment="1">
      <alignment horizontal="center" vertical="center" wrapText="1"/>
    </xf>
    <xf numFmtId="0" fontId="7" fillId="7" borderId="53" xfId="0" applyFont="1" applyFill="1" applyBorder="1" applyAlignment="1">
      <alignment horizontal="center" vertical="center"/>
    </xf>
    <xf numFmtId="0" fontId="7" fillId="7" borderId="54" xfId="0" applyFont="1" applyFill="1" applyBorder="1" applyAlignment="1">
      <alignment horizontal="center" vertical="center"/>
    </xf>
    <xf numFmtId="0" fontId="0" fillId="7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 vertical="center"/>
    </xf>
    <xf numFmtId="0" fontId="7" fillId="18" borderId="53" xfId="0" applyFont="1" applyFill="1" applyBorder="1" applyAlignment="1">
      <alignment horizontal="center" vertical="center" wrapText="1"/>
    </xf>
    <xf numFmtId="0" fontId="7" fillId="18" borderId="54" xfId="0" applyFont="1" applyFill="1" applyBorder="1" applyAlignment="1">
      <alignment horizontal="center" vertical="center"/>
    </xf>
    <xf numFmtId="0" fontId="7" fillId="8" borderId="53" xfId="0" applyFont="1" applyFill="1" applyBorder="1" applyAlignment="1">
      <alignment horizontal="center" vertical="center" wrapText="1"/>
    </xf>
    <xf numFmtId="0" fontId="7" fillId="8" borderId="54" xfId="0" applyFont="1" applyFill="1" applyBorder="1" applyAlignment="1">
      <alignment horizontal="center" vertical="center"/>
    </xf>
    <xf numFmtId="0" fontId="7" fillId="0" borderId="65" xfId="0" applyFont="1" applyBorder="1" applyAlignment="1">
      <alignment horizontal="center" vertical="center"/>
    </xf>
    <xf numFmtId="0" fontId="7" fillId="0" borderId="66" xfId="0" applyFont="1" applyBorder="1" applyAlignment="1">
      <alignment horizontal="center" vertical="center"/>
    </xf>
    <xf numFmtId="176" fontId="8" fillId="0" borderId="85" xfId="0" applyNumberFormat="1" applyFont="1" applyBorder="1" applyAlignment="1">
      <alignment horizontal="center" vertical="center"/>
    </xf>
    <xf numFmtId="0" fontId="18" fillId="0" borderId="67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7" fillId="0" borderId="67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70" xfId="0" applyFont="1" applyFill="1" applyBorder="1" applyAlignment="1">
      <alignment horizontal="center" vertical="center"/>
    </xf>
    <xf numFmtId="0" fontId="7" fillId="7" borderId="24" xfId="0" applyFont="1" applyFill="1" applyBorder="1" applyAlignment="1">
      <alignment horizontal="center" vertical="center"/>
    </xf>
    <xf numFmtId="179" fontId="7" fillId="7" borderId="85" xfId="0" applyNumberFormat="1" applyFont="1" applyFill="1" applyBorder="1" applyAlignment="1">
      <alignment horizontal="center" vertical="center"/>
    </xf>
    <xf numFmtId="0" fontId="6" fillId="0" borderId="85" xfId="0" applyFont="1" applyBorder="1" applyAlignment="1">
      <alignment horizontal="center" vertical="center" shrinkToFit="1"/>
    </xf>
    <xf numFmtId="0" fontId="2" fillId="2" borderId="68" xfId="0" applyFont="1" applyFill="1" applyBorder="1" applyAlignment="1">
      <alignment horizontal="center" vertical="center" shrinkToFit="1"/>
    </xf>
    <xf numFmtId="0" fontId="2" fillId="2" borderId="69" xfId="0" applyFont="1" applyFill="1" applyBorder="1" applyAlignment="1">
      <alignment horizontal="center" vertical="center" shrinkToFit="1"/>
    </xf>
    <xf numFmtId="0" fontId="7" fillId="0" borderId="85" xfId="0" applyFont="1" applyBorder="1" applyAlignment="1">
      <alignment horizontal="center" vertical="center" shrinkToFit="1"/>
    </xf>
    <xf numFmtId="14" fontId="7" fillId="0" borderId="85" xfId="0" applyNumberFormat="1" applyFont="1" applyBorder="1" applyAlignment="1">
      <alignment horizontal="center" vertical="center" shrinkToFit="1"/>
    </xf>
    <xf numFmtId="0" fontId="7" fillId="0" borderId="70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20" fillId="13" borderId="84" xfId="0" applyFont="1" applyFill="1" applyBorder="1" applyAlignment="1">
      <alignment horizontal="center" vertical="center" shrinkToFit="1"/>
    </xf>
    <xf numFmtId="14" fontId="20" fillId="13" borderId="73" xfId="0" applyNumberFormat="1" applyFont="1" applyFill="1" applyBorder="1" applyAlignment="1">
      <alignment horizontal="center" vertical="center"/>
    </xf>
    <xf numFmtId="14" fontId="20" fillId="13" borderId="72" xfId="0" applyNumberFormat="1" applyFont="1" applyFill="1" applyBorder="1" applyAlignment="1">
      <alignment horizontal="center" vertical="center"/>
    </xf>
    <xf numFmtId="0" fontId="21" fillId="13" borderId="73" xfId="0" applyFont="1" applyFill="1" applyBorder="1" applyAlignment="1">
      <alignment horizontal="center" vertical="center" shrinkToFit="1"/>
    </xf>
    <xf numFmtId="0" fontId="21" fillId="13" borderId="72" xfId="0" applyFont="1" applyFill="1" applyBorder="1" applyAlignment="1">
      <alignment horizontal="center" vertical="center" shrinkToFit="1"/>
    </xf>
    <xf numFmtId="0" fontId="7" fillId="0" borderId="74" xfId="0" applyFont="1" applyBorder="1" applyAlignment="1">
      <alignment horizontal="left" vertical="top" wrapText="1"/>
    </xf>
    <xf numFmtId="0" fontId="7" fillId="0" borderId="75" xfId="0" applyFont="1" applyBorder="1" applyAlignment="1">
      <alignment horizontal="left" vertical="top" wrapText="1"/>
    </xf>
    <xf numFmtId="0" fontId="7" fillId="0" borderId="76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60" xfId="0" applyFont="1" applyBorder="1" applyAlignment="1">
      <alignment horizontal="left" vertical="top" wrapText="1"/>
    </xf>
    <xf numFmtId="0" fontId="7" fillId="0" borderId="77" xfId="0" applyFont="1" applyBorder="1" applyAlignment="1">
      <alignment horizontal="left" vertical="top" wrapText="1"/>
    </xf>
    <xf numFmtId="0" fontId="7" fillId="0" borderId="78" xfId="0" applyFont="1" applyBorder="1" applyAlignment="1">
      <alignment horizontal="left" vertical="top" wrapText="1"/>
    </xf>
    <xf numFmtId="0" fontId="7" fillId="0" borderId="37" xfId="0" applyFont="1" applyBorder="1" applyAlignment="1">
      <alignment horizontal="left" vertical="top" wrapText="1"/>
    </xf>
    <xf numFmtId="0" fontId="7" fillId="0" borderId="63" xfId="0" applyFont="1" applyBorder="1" applyAlignment="1">
      <alignment horizontal="center" vertical="center"/>
    </xf>
    <xf numFmtId="0" fontId="7" fillId="0" borderId="64" xfId="0" applyFont="1" applyBorder="1" applyAlignment="1">
      <alignment horizontal="center" vertical="center"/>
    </xf>
    <xf numFmtId="0" fontId="23" fillId="0" borderId="57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7" fillId="0" borderId="83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7" borderId="62" xfId="0" applyFont="1" applyFill="1" applyBorder="1" applyAlignment="1">
      <alignment horizontal="center" vertical="center"/>
    </xf>
    <xf numFmtId="0" fontId="2" fillId="2" borderId="94" xfId="0" applyFont="1" applyFill="1" applyBorder="1" applyAlignment="1">
      <alignment horizontal="center" vertical="center" shrinkToFit="1"/>
    </xf>
    <xf numFmtId="0" fontId="7" fillId="0" borderId="62" xfId="0" applyFont="1" applyBorder="1" applyAlignment="1">
      <alignment horizontal="center" vertical="center"/>
    </xf>
    <xf numFmtId="0" fontId="21" fillId="13" borderId="80" xfId="0" applyFont="1" applyFill="1" applyBorder="1" applyAlignment="1">
      <alignment horizontal="center" vertical="center" shrinkToFit="1"/>
    </xf>
    <xf numFmtId="0" fontId="18" fillId="0" borderId="74" xfId="0" applyFont="1" applyBorder="1" applyAlignment="1">
      <alignment horizontal="left" vertical="top" wrapText="1"/>
    </xf>
    <xf numFmtId="0" fontId="18" fillId="0" borderId="75" xfId="0" applyFont="1" applyBorder="1" applyAlignment="1">
      <alignment horizontal="left" vertical="top" wrapText="1"/>
    </xf>
    <xf numFmtId="0" fontId="18" fillId="0" borderId="76" xfId="0" applyFont="1" applyBorder="1" applyAlignment="1">
      <alignment horizontal="left" vertical="top" wrapText="1"/>
    </xf>
    <xf numFmtId="0" fontId="18" fillId="0" borderId="59" xfId="0" applyFont="1" applyBorder="1" applyAlignment="1">
      <alignment horizontal="left" vertical="top" wrapText="1"/>
    </xf>
    <xf numFmtId="0" fontId="18" fillId="0" borderId="0" xfId="0" applyFont="1" applyAlignment="1">
      <alignment horizontal="left" vertical="top" wrapText="1"/>
    </xf>
    <xf numFmtId="0" fontId="18" fillId="0" borderId="60" xfId="0" applyFont="1" applyBorder="1" applyAlignment="1">
      <alignment horizontal="left" vertical="top" wrapText="1"/>
    </xf>
    <xf numFmtId="0" fontId="18" fillId="0" borderId="77" xfId="0" applyFont="1" applyBorder="1" applyAlignment="1">
      <alignment horizontal="left" vertical="top" wrapText="1"/>
    </xf>
    <xf numFmtId="0" fontId="18" fillId="0" borderId="78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20" fillId="13" borderId="71" xfId="0" applyFont="1" applyFill="1" applyBorder="1" applyAlignment="1">
      <alignment horizontal="center" vertical="center" shrinkToFit="1"/>
    </xf>
    <xf numFmtId="0" fontId="20" fillId="13" borderId="79" xfId="0" applyFont="1" applyFill="1" applyBorder="1" applyAlignment="1">
      <alignment horizontal="center" vertical="center" shrinkToFit="1"/>
    </xf>
    <xf numFmtId="0" fontId="7" fillId="0" borderId="62" xfId="0" applyFont="1" applyBorder="1" applyAlignment="1">
      <alignment horizontal="center" vertical="center" shrinkToFit="1"/>
    </xf>
    <xf numFmtId="0" fontId="7" fillId="0" borderId="25" xfId="0" applyFont="1" applyBorder="1" applyAlignment="1">
      <alignment horizontal="center" vertical="center" shrinkToFit="1"/>
    </xf>
    <xf numFmtId="0" fontId="7" fillId="0" borderId="46" xfId="0" applyFont="1" applyBorder="1" applyAlignment="1">
      <alignment horizontal="center" vertical="center" shrinkToFit="1"/>
    </xf>
    <xf numFmtId="0" fontId="7" fillId="0" borderId="26" xfId="0" applyFont="1" applyBorder="1" applyAlignment="1">
      <alignment horizontal="center" vertical="center" shrinkToFit="1"/>
    </xf>
    <xf numFmtId="0" fontId="20" fillId="13" borderId="80" xfId="0" applyFont="1" applyFill="1" applyBorder="1" applyAlignment="1">
      <alignment horizontal="center" vertical="center" shrinkToFit="1"/>
    </xf>
    <xf numFmtId="0" fontId="20" fillId="13" borderId="72" xfId="0" applyFont="1" applyFill="1" applyBorder="1" applyAlignment="1">
      <alignment horizontal="center" vertical="center" shrinkToFit="1"/>
    </xf>
    <xf numFmtId="0" fontId="7" fillId="0" borderId="24" xfId="0" applyFont="1" applyBorder="1" applyAlignment="1">
      <alignment horizontal="center" vertical="center" shrinkToFit="1"/>
    </xf>
    <xf numFmtId="14" fontId="7" fillId="0" borderId="62" xfId="0" applyNumberFormat="1" applyFont="1" applyBorder="1" applyAlignment="1">
      <alignment horizontal="center" vertical="center" shrinkToFit="1"/>
    </xf>
    <xf numFmtId="14" fontId="7" fillId="0" borderId="25" xfId="0" applyNumberFormat="1" applyFont="1" applyBorder="1" applyAlignment="1">
      <alignment horizontal="center" vertical="center" shrinkToFit="1"/>
    </xf>
    <xf numFmtId="14" fontId="7" fillId="0" borderId="46" xfId="0" applyNumberFormat="1" applyFont="1" applyBorder="1" applyAlignment="1">
      <alignment horizontal="center" vertical="center" shrinkToFit="1"/>
    </xf>
    <xf numFmtId="14" fontId="7" fillId="0" borderId="26" xfId="0" applyNumberFormat="1" applyFont="1" applyBorder="1" applyAlignment="1">
      <alignment horizontal="center" vertical="center" shrinkToFit="1"/>
    </xf>
    <xf numFmtId="0" fontId="6" fillId="0" borderId="62" xfId="0" applyFont="1" applyBorder="1" applyAlignment="1">
      <alignment horizontal="center" vertical="center" shrinkToFit="1"/>
    </xf>
    <xf numFmtId="0" fontId="6" fillId="0" borderId="25" xfId="0" applyFont="1" applyBorder="1" applyAlignment="1">
      <alignment horizontal="center" vertical="center" shrinkToFit="1"/>
    </xf>
    <xf numFmtId="0" fontId="6" fillId="0" borderId="46" xfId="0" applyFont="1" applyBorder="1" applyAlignment="1">
      <alignment horizontal="center" vertical="center" shrinkToFit="1"/>
    </xf>
    <xf numFmtId="0" fontId="6" fillId="0" borderId="26" xfId="0" applyFont="1" applyBorder="1" applyAlignment="1">
      <alignment horizontal="center" vertical="center" shrinkToFit="1"/>
    </xf>
    <xf numFmtId="179" fontId="7" fillId="7" borderId="24" xfId="0" applyNumberFormat="1" applyFont="1" applyFill="1" applyBorder="1" applyAlignment="1">
      <alignment horizontal="center" vertical="center"/>
    </xf>
    <xf numFmtId="179" fontId="7" fillId="7" borderId="62" xfId="0" applyNumberFormat="1" applyFont="1" applyFill="1" applyBorder="1" applyAlignment="1">
      <alignment horizontal="center" vertical="center"/>
    </xf>
    <xf numFmtId="179" fontId="7" fillId="7" borderId="25" xfId="0" applyNumberFormat="1" applyFont="1" applyFill="1" applyBorder="1" applyAlignment="1">
      <alignment horizontal="center" vertical="center"/>
    </xf>
    <xf numFmtId="179" fontId="7" fillId="7" borderId="26" xfId="0" applyNumberFormat="1" applyFont="1" applyFill="1" applyBorder="1" applyAlignment="1">
      <alignment horizontal="center" vertical="center"/>
    </xf>
    <xf numFmtId="176" fontId="8" fillId="0" borderId="62" xfId="0" applyNumberFormat="1" applyFont="1" applyBorder="1" applyAlignment="1">
      <alignment horizontal="center" vertical="center"/>
    </xf>
    <xf numFmtId="176" fontId="8" fillId="0" borderId="26" xfId="0" applyNumberFormat="1" applyFont="1" applyBorder="1" applyAlignment="1">
      <alignment horizontal="center" vertical="center"/>
    </xf>
    <xf numFmtId="176" fontId="8" fillId="0" borderId="25" xfId="0" applyNumberFormat="1" applyFont="1" applyBorder="1" applyAlignment="1">
      <alignment horizontal="center" vertical="center"/>
    </xf>
    <xf numFmtId="176" fontId="8" fillId="0" borderId="46" xfId="0" applyNumberFormat="1" applyFont="1" applyBorder="1" applyAlignment="1">
      <alignment horizontal="center" vertical="center"/>
    </xf>
    <xf numFmtId="0" fontId="7" fillId="16" borderId="58" xfId="0" applyFont="1" applyFill="1" applyBorder="1" applyAlignment="1">
      <alignment horizontal="center" vertical="center" wrapText="1"/>
    </xf>
    <xf numFmtId="0" fontId="7" fillId="16" borderId="60" xfId="0" applyFont="1" applyFill="1" applyBorder="1" applyAlignment="1">
      <alignment horizontal="center" vertical="center" wrapText="1"/>
    </xf>
    <xf numFmtId="0" fontId="7" fillId="16" borderId="23" xfId="0" applyFont="1" applyFill="1" applyBorder="1" applyAlignment="1">
      <alignment horizontal="center" vertical="center" wrapText="1"/>
    </xf>
    <xf numFmtId="0" fontId="7" fillId="11" borderId="55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 shrinkToFit="1"/>
    </xf>
    <xf numFmtId="14" fontId="7" fillId="0" borderId="24" xfId="0" applyNumberFormat="1" applyFont="1" applyBorder="1" applyAlignment="1">
      <alignment horizontal="center" vertical="center" shrinkToFit="1"/>
    </xf>
    <xf numFmtId="14" fontId="7" fillId="0" borderId="6" xfId="0" applyNumberFormat="1" applyFont="1" applyBorder="1" applyAlignment="1">
      <alignment horizontal="center" vertical="center" shrinkToFit="1"/>
    </xf>
    <xf numFmtId="179" fontId="7" fillId="7" borderId="6" xfId="0" applyNumberFormat="1" applyFont="1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 wrapText="1"/>
    </xf>
    <xf numFmtId="0" fontId="0" fillId="8" borderId="54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54" xfId="0" applyFill="1" applyBorder="1" applyAlignment="1">
      <alignment horizontal="center" vertical="center"/>
    </xf>
    <xf numFmtId="0" fontId="0" fillId="9" borderId="55" xfId="0" applyFill="1" applyBorder="1" applyAlignment="1">
      <alignment horizontal="center" vertical="center"/>
    </xf>
    <xf numFmtId="0" fontId="0" fillId="10" borderId="53" xfId="0" applyFill="1" applyBorder="1" applyAlignment="1">
      <alignment horizontal="center" vertical="center"/>
    </xf>
    <xf numFmtId="0" fontId="0" fillId="10" borderId="54" xfId="0" applyFill="1" applyBorder="1" applyAlignment="1">
      <alignment horizontal="center" vertical="center"/>
    </xf>
    <xf numFmtId="0" fontId="0" fillId="10" borderId="55" xfId="0" applyFill="1" applyBorder="1" applyAlignment="1">
      <alignment horizontal="center" vertical="center"/>
    </xf>
    <xf numFmtId="0" fontId="1" fillId="17" borderId="53" xfId="0" applyFont="1" applyFill="1" applyBorder="1" applyAlignment="1">
      <alignment horizontal="center" vertical="center" wrapText="1"/>
    </xf>
    <xf numFmtId="0" fontId="0" fillId="17" borderId="54" xfId="0" applyFill="1" applyBorder="1" applyAlignment="1">
      <alignment horizontal="center" vertical="center" wrapText="1"/>
    </xf>
    <xf numFmtId="0" fontId="0" fillId="17" borderId="55" xfId="0" applyFill="1" applyBorder="1" applyAlignment="1">
      <alignment horizontal="center" vertical="center" wrapText="1"/>
    </xf>
    <xf numFmtId="0" fontId="0" fillId="14" borderId="53" xfId="0" applyFill="1" applyBorder="1" applyAlignment="1">
      <alignment horizontal="center" vertical="center"/>
    </xf>
    <xf numFmtId="0" fontId="0" fillId="14" borderId="54" xfId="0" applyFill="1" applyBorder="1" applyAlignment="1">
      <alignment horizontal="center" vertical="center"/>
    </xf>
    <xf numFmtId="0" fontId="0" fillId="14" borderId="55" xfId="0" applyFill="1" applyBorder="1" applyAlignment="1">
      <alignment horizontal="center" vertical="center"/>
    </xf>
    <xf numFmtId="0" fontId="0" fillId="15" borderId="56" xfId="0" applyFill="1" applyBorder="1" applyAlignment="1">
      <alignment horizontal="center" vertical="center" shrinkToFit="1"/>
    </xf>
    <xf numFmtId="0" fontId="0" fillId="15" borderId="32" xfId="0" applyFill="1" applyBorder="1" applyAlignment="1">
      <alignment horizontal="center" vertical="center" shrinkToFit="1"/>
    </xf>
    <xf numFmtId="0" fontId="0" fillId="16" borderId="57" xfId="0" applyFill="1" applyBorder="1" applyAlignment="1">
      <alignment horizontal="center" vertical="center" wrapText="1"/>
    </xf>
    <xf numFmtId="0" fontId="0" fillId="16" borderId="58" xfId="0" applyFill="1" applyBorder="1" applyAlignment="1">
      <alignment horizontal="center" vertical="center" wrapText="1"/>
    </xf>
    <xf numFmtId="0" fontId="0" fillId="16" borderId="59" xfId="0" applyFill="1" applyBorder="1" applyAlignment="1">
      <alignment horizontal="center" vertical="center" wrapText="1"/>
    </xf>
    <xf numFmtId="0" fontId="0" fillId="16" borderId="60" xfId="0" applyFill="1" applyBorder="1" applyAlignment="1">
      <alignment horizontal="center" vertical="center" wrapText="1"/>
    </xf>
    <xf numFmtId="0" fontId="0" fillId="16" borderId="61" xfId="0" applyFill="1" applyBorder="1" applyAlignment="1">
      <alignment horizontal="center" vertical="center" wrapText="1"/>
    </xf>
    <xf numFmtId="0" fontId="0" fillId="16" borderId="23" xfId="0" applyFill="1" applyBorder="1" applyAlignment="1">
      <alignment horizontal="center" vertical="center" wrapText="1"/>
    </xf>
    <xf numFmtId="0" fontId="2" fillId="16" borderId="57" xfId="0" applyFont="1" applyFill="1" applyBorder="1" applyAlignment="1">
      <alignment horizontal="center" vertical="center"/>
    </xf>
    <xf numFmtId="0" fontId="0" fillId="16" borderId="59" xfId="0" applyFill="1" applyBorder="1">
      <alignment vertical="center"/>
    </xf>
    <xf numFmtId="0" fontId="0" fillId="16" borderId="61" xfId="0" applyFill="1" applyBorder="1">
      <alignment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11" borderId="53" xfId="0" applyFill="1" applyBorder="1" applyAlignment="1">
      <alignment horizontal="center" vertical="center"/>
    </xf>
    <xf numFmtId="0" fontId="0" fillId="11" borderId="55" xfId="0" applyFill="1" applyBorder="1" applyAlignment="1">
      <alignment horizontal="center" vertical="center"/>
    </xf>
    <xf numFmtId="0" fontId="1" fillId="12" borderId="54" xfId="0" applyFont="1" applyFill="1" applyBorder="1" applyAlignment="1">
      <alignment horizontal="center" vertical="center"/>
    </xf>
    <xf numFmtId="0" fontId="1" fillId="12" borderId="55" xfId="0" applyFont="1" applyFill="1" applyBorder="1" applyAlignment="1">
      <alignment horizontal="center" vertical="center"/>
    </xf>
    <xf numFmtId="0" fontId="22" fillId="13" borderId="71" xfId="0" applyFont="1" applyFill="1" applyBorder="1" applyAlignment="1">
      <alignment horizontal="center" vertical="center" shrinkToFit="1"/>
    </xf>
    <xf numFmtId="0" fontId="22" fillId="13" borderId="72" xfId="0" applyFont="1" applyFill="1" applyBorder="1" applyAlignment="1">
      <alignment horizontal="center" vertical="center" shrinkToFit="1"/>
    </xf>
    <xf numFmtId="0" fontId="2" fillId="0" borderId="24" xfId="0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 shrinkToFit="1"/>
    </xf>
    <xf numFmtId="14" fontId="2" fillId="0" borderId="24" xfId="0" applyNumberFormat="1" applyFont="1" applyBorder="1" applyAlignment="1">
      <alignment horizontal="center" vertical="center" shrinkToFit="1"/>
    </xf>
    <xf numFmtId="0" fontId="19" fillId="0" borderId="62" xfId="0" applyFont="1" applyBorder="1" applyAlignment="1">
      <alignment horizontal="center" vertical="center" shrinkToFit="1"/>
    </xf>
    <xf numFmtId="0" fontId="19" fillId="0" borderId="25" xfId="0" applyFont="1" applyBorder="1" applyAlignment="1">
      <alignment horizontal="center" vertical="center" shrinkToFit="1"/>
    </xf>
    <xf numFmtId="0" fontId="19" fillId="0" borderId="26" xfId="0" applyFont="1" applyBorder="1" applyAlignment="1">
      <alignment horizontal="center" vertical="center" shrinkToFit="1"/>
    </xf>
    <xf numFmtId="0" fontId="2" fillId="8" borderId="53" xfId="0" applyFont="1" applyFill="1" applyBorder="1" applyAlignment="1">
      <alignment horizontal="center" vertical="center" wrapText="1"/>
    </xf>
    <xf numFmtId="0" fontId="2" fillId="8" borderId="54" xfId="0" applyFont="1" applyFill="1" applyBorder="1" applyAlignment="1">
      <alignment horizontal="center" vertical="center"/>
    </xf>
    <xf numFmtId="0" fontId="2" fillId="9" borderId="53" xfId="0" applyFont="1" applyFill="1" applyBorder="1" applyAlignment="1">
      <alignment horizontal="center" vertical="center"/>
    </xf>
    <xf numFmtId="0" fontId="2" fillId="9" borderId="54" xfId="0" applyFont="1" applyFill="1" applyBorder="1" applyAlignment="1">
      <alignment horizontal="center" vertical="center"/>
    </xf>
    <xf numFmtId="0" fontId="2" fillId="9" borderId="55" xfId="0" applyFont="1" applyFill="1" applyBorder="1" applyAlignment="1">
      <alignment horizontal="center" vertical="center"/>
    </xf>
    <xf numFmtId="0" fontId="2" fillId="10" borderId="53" xfId="0" applyFont="1" applyFill="1" applyBorder="1" applyAlignment="1">
      <alignment horizontal="center" vertical="center"/>
    </xf>
    <xf numFmtId="0" fontId="2" fillId="10" borderId="54" xfId="0" applyFont="1" applyFill="1" applyBorder="1" applyAlignment="1">
      <alignment horizontal="center" vertical="center"/>
    </xf>
    <xf numFmtId="0" fontId="2" fillId="10" borderId="55" xfId="0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 vertical="center" wrapText="1"/>
    </xf>
    <xf numFmtId="0" fontId="2" fillId="17" borderId="53" xfId="0" applyFont="1" applyFill="1" applyBorder="1" applyAlignment="1">
      <alignment horizontal="center" vertical="center" wrapText="1"/>
    </xf>
    <xf numFmtId="0" fontId="2" fillId="17" borderId="54" xfId="0" applyFont="1" applyFill="1" applyBorder="1" applyAlignment="1">
      <alignment horizontal="center" vertical="center" wrapText="1"/>
    </xf>
    <xf numFmtId="0" fontId="2" fillId="17" borderId="55" xfId="0" applyFont="1" applyFill="1" applyBorder="1" applyAlignment="1">
      <alignment horizontal="center" vertical="center" wrapText="1"/>
    </xf>
    <xf numFmtId="0" fontId="2" fillId="7" borderId="53" xfId="0" applyFont="1" applyFill="1" applyBorder="1" applyAlignment="1">
      <alignment horizontal="center" vertical="center"/>
    </xf>
    <xf numFmtId="0" fontId="2" fillId="7" borderId="54" xfId="0" applyFont="1" applyFill="1" applyBorder="1" applyAlignment="1">
      <alignment horizontal="center" vertical="center"/>
    </xf>
    <xf numFmtId="0" fontId="2" fillId="14" borderId="53" xfId="0" applyFont="1" applyFill="1" applyBorder="1" applyAlignment="1">
      <alignment horizontal="center" vertical="center"/>
    </xf>
    <xf numFmtId="0" fontId="2" fillId="14" borderId="54" xfId="0" applyFont="1" applyFill="1" applyBorder="1" applyAlignment="1">
      <alignment horizontal="center" vertical="center"/>
    </xf>
    <xf numFmtId="0" fontId="2" fillId="14" borderId="55" xfId="0" applyFont="1" applyFill="1" applyBorder="1" applyAlignment="1">
      <alignment horizontal="center" vertical="center"/>
    </xf>
    <xf numFmtId="0" fontId="2" fillId="15" borderId="56" xfId="0" applyFont="1" applyFill="1" applyBorder="1" applyAlignment="1">
      <alignment horizontal="center" vertical="center" shrinkToFit="1"/>
    </xf>
    <xf numFmtId="0" fontId="2" fillId="15" borderId="32" xfId="0" applyFont="1" applyFill="1" applyBorder="1" applyAlignment="1">
      <alignment horizontal="center" vertical="center" shrinkToFit="1"/>
    </xf>
    <xf numFmtId="0" fontId="2" fillId="6" borderId="53" xfId="0" applyFont="1" applyFill="1" applyBorder="1" applyAlignment="1">
      <alignment horizontal="center" vertical="center"/>
    </xf>
    <xf numFmtId="0" fontId="2" fillId="6" borderId="54" xfId="0" applyFont="1" applyFill="1" applyBorder="1" applyAlignment="1">
      <alignment horizontal="center" vertical="center"/>
    </xf>
    <xf numFmtId="0" fontId="0" fillId="11" borderId="54" xfId="0" applyFill="1" applyBorder="1" applyAlignment="1">
      <alignment horizontal="center" vertical="center"/>
    </xf>
    <xf numFmtId="0" fontId="2" fillId="11" borderId="53" xfId="0" applyFont="1" applyFill="1" applyBorder="1" applyAlignment="1">
      <alignment horizontal="center" vertical="center"/>
    </xf>
    <xf numFmtId="0" fontId="2" fillId="11" borderId="54" xfId="0" applyFont="1" applyFill="1" applyBorder="1" applyAlignment="1">
      <alignment horizontal="center" vertical="center"/>
    </xf>
    <xf numFmtId="0" fontId="0" fillId="12" borderId="53" xfId="0" applyFill="1" applyBorder="1" applyAlignment="1">
      <alignment horizontal="center" vertical="center"/>
    </xf>
    <xf numFmtId="0" fontId="0" fillId="12" borderId="55" xfId="0" applyFill="1" applyBorder="1" applyAlignment="1">
      <alignment horizontal="center" vertical="center"/>
    </xf>
    <xf numFmtId="0" fontId="2" fillId="12" borderId="53" xfId="0" applyFont="1" applyFill="1" applyBorder="1" applyAlignment="1">
      <alignment horizontal="center" vertical="center"/>
    </xf>
    <xf numFmtId="0" fontId="2" fillId="12" borderId="55" xfId="0" applyFont="1" applyFill="1" applyBorder="1" applyAlignment="1">
      <alignment horizontal="center" vertical="center"/>
    </xf>
    <xf numFmtId="0" fontId="2" fillId="0" borderId="62" xfId="0" applyFont="1" applyBorder="1" applyAlignment="1">
      <alignment horizontal="center" vertical="center" shrinkToFit="1"/>
    </xf>
    <xf numFmtId="0" fontId="2" fillId="0" borderId="26" xfId="0" applyFont="1" applyBorder="1" applyAlignment="1">
      <alignment horizontal="center" vertical="center" shrinkToFit="1"/>
    </xf>
    <xf numFmtId="14" fontId="2" fillId="0" borderId="62" xfId="0" applyNumberFormat="1" applyFont="1" applyBorder="1" applyAlignment="1">
      <alignment horizontal="center" vertical="center" shrinkToFit="1"/>
    </xf>
    <xf numFmtId="14" fontId="2" fillId="0" borderId="25" xfId="0" applyNumberFormat="1" applyFont="1" applyBorder="1" applyAlignment="1">
      <alignment horizontal="center" vertical="center" shrinkToFit="1"/>
    </xf>
    <xf numFmtId="14" fontId="2" fillId="0" borderId="6" xfId="0" applyNumberFormat="1" applyFont="1" applyBorder="1" applyAlignment="1">
      <alignment horizontal="center" vertical="center" shrinkToFit="1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57150</xdr:colOff>
      <xdr:row>25</xdr:row>
      <xdr:rowOff>0</xdr:rowOff>
    </xdr:from>
    <xdr:to>
      <xdr:col>14</xdr:col>
      <xdr:colOff>247649</xdr:colOff>
      <xdr:row>28</xdr:row>
      <xdr:rowOff>0</xdr:rowOff>
    </xdr:to>
    <xdr:sp macro="" textlink="">
      <xdr:nvSpPr>
        <xdr:cNvPr id="2" name="오른쪽 화살표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1001375" y="4819650"/>
          <a:ext cx="190500" cy="571500"/>
        </a:xfrm>
        <a:prstGeom prst="rightArrow">
          <a:avLst>
            <a:gd name="adj1" fmla="val 50000"/>
            <a:gd name="adj2" fmla="val 50000"/>
          </a:avLst>
        </a:prstGeom>
        <a:solidFill>
          <a:srgbClr val="FF33CC"/>
        </a:solidFill>
        <a:ln>
          <a:solidFill>
            <a:schemeClr val="tx2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90170" tIns="46990" rIns="90170" bIns="46990"/>
        <a:lstStyle/>
        <a:p>
          <a:pPr algn="l" eaLnBrk="0" latinLnBrk="0">
            <a:lnSpc>
              <a:spcPct val="100000"/>
            </a:lnSpc>
          </a:pPr>
          <a:endParaRPr/>
        </a:p>
      </xdr:txBody>
    </xdr:sp>
    <xdr:clientData/>
  </xdr:twoCellAnchor>
  <xdr:twoCellAnchor>
    <xdr:from>
      <xdr:col>14</xdr:col>
      <xdr:colOff>57150</xdr:colOff>
      <xdr:row>76</xdr:row>
      <xdr:rowOff>0</xdr:rowOff>
    </xdr:from>
    <xdr:to>
      <xdr:col>14</xdr:col>
      <xdr:colOff>247649</xdr:colOff>
      <xdr:row>79</xdr:row>
      <xdr:rowOff>0</xdr:rowOff>
    </xdr:to>
    <xdr:sp macro="" textlink="">
      <xdr:nvSpPr>
        <xdr:cNvPr id="3" name="오른쪽 화살표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11001375" y="14563725"/>
          <a:ext cx="190500" cy="571500"/>
        </a:xfrm>
        <a:prstGeom prst="rightArrow">
          <a:avLst>
            <a:gd name="adj1" fmla="val 50000"/>
            <a:gd name="adj2" fmla="val 50000"/>
          </a:avLst>
        </a:prstGeom>
        <a:solidFill>
          <a:srgbClr val="FF33CC"/>
        </a:solidFill>
        <a:ln>
          <a:solidFill>
            <a:schemeClr val="tx2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90170" tIns="46990" rIns="90170" bIns="46990"/>
        <a:lstStyle/>
        <a:p>
          <a:pPr algn="l" eaLnBrk="0" latinLnBrk="0">
            <a:lnSpc>
              <a:spcPct val="100000"/>
            </a:lnSpc>
          </a:pPr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7375E"/>
    <pageSetUpPr fitToPage="1"/>
  </sheetPr>
  <dimension ref="A1:U315"/>
  <sheetViews>
    <sheetView tabSelected="1" view="pageBreakPreview" zoomScaleNormal="100" zoomScaleSheetLayoutView="100" workbookViewId="0">
      <pane ySplit="11" topLeftCell="A12" activePane="bottomLeft" state="frozen"/>
      <selection pane="bottomLeft" activeCell="I9" sqref="I9:J9"/>
    </sheetView>
  </sheetViews>
  <sheetFormatPr defaultColWidth="8.625" defaultRowHeight="14.1" customHeight="1" x14ac:dyDescent="0.3"/>
  <cols>
    <col min="1" max="1" width="7.625" style="5" customWidth="1"/>
    <col min="2" max="2" width="12.25" style="3" customWidth="1"/>
    <col min="3" max="3" width="14.625" style="3" customWidth="1"/>
    <col min="4" max="4" width="5.25" style="16" customWidth="1"/>
    <col min="5" max="5" width="14.625" style="3" customWidth="1"/>
    <col min="6" max="6" width="5.25" style="16" customWidth="1"/>
    <col min="7" max="7" width="14.625" style="3" customWidth="1"/>
    <col min="8" max="8" width="5.25" style="16" customWidth="1"/>
    <col min="9" max="9" width="14.625" style="4" customWidth="1"/>
    <col min="10" max="10" width="5.25" style="16" customWidth="1"/>
    <col min="11" max="11" width="14.625" style="185" customWidth="1"/>
    <col min="12" max="12" width="5.25" style="16" customWidth="1"/>
    <col min="13" max="13" width="14.625" style="16" customWidth="1"/>
    <col min="14" max="14" width="5.25" style="16" customWidth="1"/>
    <col min="15" max="15" width="14.625" style="4" customWidth="1"/>
    <col min="16" max="16" width="5.25" style="78" customWidth="1"/>
    <col min="17" max="17" width="3.625" style="4" customWidth="1"/>
    <col min="18" max="18" width="8.5" style="5" customWidth="1"/>
    <col min="19" max="19" width="12.5" style="3" customWidth="1"/>
    <col min="20" max="20" width="11.625" style="17" customWidth="1"/>
  </cols>
  <sheetData>
    <row r="1" spans="1:20" s="1" customFormat="1" ht="19.5" customHeight="1" x14ac:dyDescent="0.3">
      <c r="A1" s="652" t="s">
        <v>267</v>
      </c>
      <c r="B1" s="678"/>
      <c r="C1" s="649" t="s">
        <v>247</v>
      </c>
      <c r="D1" s="649"/>
      <c r="E1" s="649" t="s">
        <v>248</v>
      </c>
      <c r="F1" s="649"/>
      <c r="G1" s="649" t="s">
        <v>249</v>
      </c>
      <c r="H1" s="649"/>
      <c r="I1" s="649" t="s">
        <v>250</v>
      </c>
      <c r="J1" s="649"/>
      <c r="K1" s="649"/>
      <c r="L1" s="649"/>
      <c r="M1" s="649"/>
      <c r="N1" s="649"/>
      <c r="O1" s="649"/>
      <c r="P1" s="649"/>
      <c r="Q1" s="136"/>
      <c r="R1" s="650" t="s">
        <v>15</v>
      </c>
      <c r="S1" s="651"/>
      <c r="T1" s="137">
        <f ca="1">TODAY()</f>
        <v>46140</v>
      </c>
    </row>
    <row r="2" spans="1:20" ht="14.1" customHeight="1" x14ac:dyDescent="0.3">
      <c r="A2" s="647" t="s">
        <v>49</v>
      </c>
      <c r="B2" s="677"/>
      <c r="C2" s="645" t="s">
        <v>251</v>
      </c>
      <c r="D2" s="645"/>
      <c r="E2" s="645" t="s">
        <v>252</v>
      </c>
      <c r="F2" s="645"/>
      <c r="G2" s="645" t="s">
        <v>253</v>
      </c>
      <c r="H2" s="645"/>
      <c r="I2" s="645" t="s">
        <v>254</v>
      </c>
      <c r="J2" s="645"/>
      <c r="K2" s="645"/>
      <c r="L2" s="645"/>
      <c r="M2" s="645"/>
      <c r="N2" s="645"/>
      <c r="O2" s="645"/>
      <c r="P2" s="645"/>
      <c r="Q2" s="25"/>
      <c r="R2" s="679"/>
      <c r="S2" s="680"/>
      <c r="T2" s="681"/>
    </row>
    <row r="3" spans="1:20" ht="14.1" customHeight="1" x14ac:dyDescent="0.3">
      <c r="A3" s="637" t="s">
        <v>28</v>
      </c>
      <c r="B3" s="674"/>
      <c r="C3" s="645" t="s">
        <v>255</v>
      </c>
      <c r="D3" s="645"/>
      <c r="E3" s="645" t="s">
        <v>255</v>
      </c>
      <c r="F3" s="645"/>
      <c r="G3" s="645" t="s">
        <v>255</v>
      </c>
      <c r="H3" s="645"/>
      <c r="I3" s="645" t="s">
        <v>255</v>
      </c>
      <c r="J3" s="645"/>
      <c r="K3" s="645"/>
      <c r="L3" s="645"/>
      <c r="M3" s="645"/>
      <c r="N3" s="645"/>
      <c r="O3" s="645"/>
      <c r="P3" s="645"/>
      <c r="Q3" s="25"/>
      <c r="R3" s="682"/>
      <c r="S3" s="683"/>
      <c r="T3" s="684"/>
    </row>
    <row r="4" spans="1:20" ht="14.1" customHeight="1" x14ac:dyDescent="0.3">
      <c r="A4" s="647" t="s">
        <v>17</v>
      </c>
      <c r="B4" s="677"/>
      <c r="C4" s="646">
        <v>40336</v>
      </c>
      <c r="D4" s="645"/>
      <c r="E4" s="646">
        <v>41855</v>
      </c>
      <c r="F4" s="646"/>
      <c r="G4" s="646">
        <v>43587</v>
      </c>
      <c r="H4" s="646"/>
      <c r="I4" s="646">
        <v>43910</v>
      </c>
      <c r="J4" s="645"/>
      <c r="K4" s="646"/>
      <c r="L4" s="645"/>
      <c r="M4" s="646"/>
      <c r="N4" s="645"/>
      <c r="O4" s="646"/>
      <c r="P4" s="646"/>
      <c r="Q4" s="25"/>
      <c r="R4" s="682"/>
      <c r="S4" s="683"/>
      <c r="T4" s="684"/>
    </row>
    <row r="5" spans="1:20" ht="14.1" customHeight="1" x14ac:dyDescent="0.3">
      <c r="A5" s="647" t="s">
        <v>23</v>
      </c>
      <c r="B5" s="677"/>
      <c r="C5" s="383">
        <v>20</v>
      </c>
      <c r="D5" s="382">
        <v>189</v>
      </c>
      <c r="E5" s="383">
        <v>30</v>
      </c>
      <c r="F5" s="382">
        <v>139</v>
      </c>
      <c r="G5" s="383">
        <v>10</v>
      </c>
      <c r="H5" s="382">
        <v>83</v>
      </c>
      <c r="I5" s="383">
        <v>10</v>
      </c>
      <c r="J5" s="382">
        <v>73</v>
      </c>
      <c r="K5" s="383"/>
      <c r="L5" s="382">
        <f ca="1">IF(DATEDIF(K4,$T$1,"m")&lt;K5*12,DATEDIF(K4,$T$1,"m"),K5*12)</f>
        <v>0</v>
      </c>
      <c r="M5" s="383"/>
      <c r="N5" s="382">
        <f ca="1">IF(DATEDIF(M4,$T$1,"m")&lt;M5*12,DATEDIF(M4,$T$1,"m"),M5*12)</f>
        <v>0</v>
      </c>
      <c r="O5" s="383"/>
      <c r="P5" s="382">
        <f ca="1">IF(DATEDIF(O4,$T$1,"m")&lt;O5*12,DATEDIF(O4,$T$1,"m"),O5*12)</f>
        <v>0</v>
      </c>
      <c r="Q5" s="25"/>
      <c r="R5" s="682"/>
      <c r="S5" s="683"/>
      <c r="T5" s="684"/>
    </row>
    <row r="6" spans="1:20" ht="14.1" customHeight="1" x14ac:dyDescent="0.3">
      <c r="A6" s="647" t="s">
        <v>2</v>
      </c>
      <c r="B6" s="677"/>
      <c r="C6" s="645" t="s">
        <v>256</v>
      </c>
      <c r="D6" s="645"/>
      <c r="E6" s="645" t="s">
        <v>257</v>
      </c>
      <c r="F6" s="645"/>
      <c r="G6" s="645" t="s">
        <v>258</v>
      </c>
      <c r="H6" s="645"/>
      <c r="I6" s="645" t="s">
        <v>258</v>
      </c>
      <c r="J6" s="645"/>
      <c r="K6" s="645"/>
      <c r="L6" s="645"/>
      <c r="M6" s="645"/>
      <c r="N6" s="645"/>
      <c r="O6" s="645"/>
      <c r="P6" s="645"/>
      <c r="Q6" s="25"/>
      <c r="R6" s="685"/>
      <c r="S6" s="686"/>
      <c r="T6" s="687"/>
    </row>
    <row r="7" spans="1:20" ht="14.1" customHeight="1" x14ac:dyDescent="0.3">
      <c r="A7" s="632" t="s">
        <v>37</v>
      </c>
      <c r="B7" s="672"/>
      <c r="C7" s="642" t="s">
        <v>259</v>
      </c>
      <c r="D7" s="642"/>
      <c r="E7" s="642" t="s">
        <v>260</v>
      </c>
      <c r="F7" s="642"/>
      <c r="G7" s="642" t="s">
        <v>261</v>
      </c>
      <c r="H7" s="642"/>
      <c r="I7" s="642" t="s">
        <v>261</v>
      </c>
      <c r="J7" s="642"/>
      <c r="K7" s="642"/>
      <c r="L7" s="642"/>
      <c r="M7" s="642"/>
      <c r="N7" s="642"/>
      <c r="O7" s="642"/>
      <c r="P7" s="642"/>
      <c r="Q7" s="25"/>
      <c r="R7" s="643"/>
      <c r="S7" s="676"/>
      <c r="T7" s="478" t="s">
        <v>91</v>
      </c>
    </row>
    <row r="8" spans="1:20" ht="14.1" customHeight="1" x14ac:dyDescent="0.3">
      <c r="A8" s="639" t="s">
        <v>12</v>
      </c>
      <c r="B8" s="675"/>
      <c r="C8" s="641">
        <v>67900</v>
      </c>
      <c r="D8" s="641"/>
      <c r="E8" s="641">
        <v>61430</v>
      </c>
      <c r="F8" s="641"/>
      <c r="G8" s="641">
        <v>21520</v>
      </c>
      <c r="H8" s="641"/>
      <c r="I8" s="641">
        <v>32500</v>
      </c>
      <c r="J8" s="641"/>
      <c r="K8" s="641"/>
      <c r="L8" s="641"/>
      <c r="M8" s="641"/>
      <c r="N8" s="641"/>
      <c r="O8" s="641"/>
      <c r="P8" s="641"/>
      <c r="Q8" s="26"/>
      <c r="R8" s="637" t="s">
        <v>34</v>
      </c>
      <c r="S8" s="673"/>
      <c r="T8" s="79">
        <f>SUM(B8:P8)</f>
        <v>183350</v>
      </c>
    </row>
    <row r="9" spans="1:20" ht="14.1" customHeight="1" x14ac:dyDescent="0.3">
      <c r="A9" s="637" t="s">
        <v>3</v>
      </c>
      <c r="B9" s="674"/>
      <c r="C9" s="634">
        <f t="shared" ref="C9" si="0">C8*C5*12</f>
        <v>16296000</v>
      </c>
      <c r="D9" s="634"/>
      <c r="E9" s="634">
        <f t="shared" ref="E9" si="1">E8*E5*12</f>
        <v>22114800</v>
      </c>
      <c r="F9" s="634"/>
      <c r="G9" s="634">
        <f>G8*G5*12</f>
        <v>2582400</v>
      </c>
      <c r="H9" s="634"/>
      <c r="I9" s="634">
        <f>I8*I5*12</f>
        <v>3900000</v>
      </c>
      <c r="J9" s="634"/>
      <c r="K9" s="634">
        <f t="shared" ref="K9" si="2">K8*K5*12</f>
        <v>0</v>
      </c>
      <c r="L9" s="634"/>
      <c r="M9" s="634">
        <f t="shared" ref="M9" si="3">M8*M5*12</f>
        <v>0</v>
      </c>
      <c r="N9" s="634"/>
      <c r="O9" s="634">
        <f t="shared" ref="O9" si="4">O8*O5*12</f>
        <v>0</v>
      </c>
      <c r="P9" s="634"/>
      <c r="Q9" s="26"/>
      <c r="R9" s="637" t="s">
        <v>33</v>
      </c>
      <c r="S9" s="673"/>
      <c r="T9" s="80">
        <f t="shared" ref="T9:T11" si="5">SUM(B9:P9)</f>
        <v>44893200</v>
      </c>
    </row>
    <row r="10" spans="1:20" ht="14.1" customHeight="1" x14ac:dyDescent="0.3">
      <c r="A10" s="637" t="s">
        <v>4</v>
      </c>
      <c r="B10" s="674"/>
      <c r="C10" s="634">
        <f t="shared" ref="C10" si="6">C8*D5</f>
        <v>12833100</v>
      </c>
      <c r="D10" s="634"/>
      <c r="E10" s="634">
        <f t="shared" ref="E10" si="7">E8*F5</f>
        <v>8538770</v>
      </c>
      <c r="F10" s="634"/>
      <c r="G10" s="634">
        <f>G8*H5</f>
        <v>1786160</v>
      </c>
      <c r="H10" s="634"/>
      <c r="I10" s="634">
        <f>I8*J5</f>
        <v>2372500</v>
      </c>
      <c r="J10" s="634"/>
      <c r="K10" s="634">
        <f t="shared" ref="K10" ca="1" si="8">K8*L5</f>
        <v>0</v>
      </c>
      <c r="L10" s="634"/>
      <c r="M10" s="634">
        <f t="shared" ref="M10" ca="1" si="9">M8*N5</f>
        <v>0</v>
      </c>
      <c r="N10" s="634"/>
      <c r="O10" s="634">
        <f t="shared" ref="O10" ca="1" si="10">O8*P5</f>
        <v>0</v>
      </c>
      <c r="P10" s="634"/>
      <c r="Q10" s="26"/>
      <c r="R10" s="637" t="s">
        <v>31</v>
      </c>
      <c r="S10" s="673"/>
      <c r="T10" s="80">
        <f t="shared" ca="1" si="5"/>
        <v>25530530</v>
      </c>
    </row>
    <row r="11" spans="1:20" ht="14.1" customHeight="1" thickBot="1" x14ac:dyDescent="0.35">
      <c r="A11" s="632" t="s">
        <v>18</v>
      </c>
      <c r="B11" s="672"/>
      <c r="C11" s="634">
        <f t="shared" ref="C11" si="11">C9-C10</f>
        <v>3462900</v>
      </c>
      <c r="D11" s="634"/>
      <c r="E11" s="634">
        <f t="shared" ref="E11" si="12">E9-E10</f>
        <v>13576030</v>
      </c>
      <c r="F11" s="634"/>
      <c r="G11" s="634">
        <f>G9-G10</f>
        <v>796240</v>
      </c>
      <c r="H11" s="634"/>
      <c r="I11" s="634">
        <f>I9-I10</f>
        <v>1527500</v>
      </c>
      <c r="J11" s="634"/>
      <c r="K11" s="634">
        <f t="shared" ref="K11" ca="1" si="13">K9-K10</f>
        <v>0</v>
      </c>
      <c r="L11" s="634"/>
      <c r="M11" s="634">
        <f t="shared" ref="M11" ca="1" si="14">M9-M10</f>
        <v>0</v>
      </c>
      <c r="N11" s="634"/>
      <c r="O11" s="634">
        <f t="shared" ref="O11" ca="1" si="15">O9-O10</f>
        <v>0</v>
      </c>
      <c r="P11" s="634"/>
      <c r="Q11" s="26"/>
      <c r="R11" s="663" t="s">
        <v>35</v>
      </c>
      <c r="S11" s="671"/>
      <c r="T11" s="80">
        <f t="shared" ca="1" si="5"/>
        <v>19362670</v>
      </c>
    </row>
    <row r="12" spans="1:20" ht="14.1" customHeight="1" thickBot="1" x14ac:dyDescent="0.35">
      <c r="A12" s="621" t="s">
        <v>202</v>
      </c>
      <c r="B12" s="457" t="s">
        <v>149</v>
      </c>
      <c r="C12" s="514">
        <v>50000000</v>
      </c>
      <c r="D12" s="531" t="s">
        <v>262</v>
      </c>
      <c r="E12" s="514"/>
      <c r="F12" s="516"/>
      <c r="G12" s="514"/>
      <c r="H12" s="515"/>
      <c r="I12" s="390"/>
      <c r="J12" s="389"/>
      <c r="K12" s="386"/>
      <c r="L12" s="385"/>
      <c r="M12" s="386"/>
      <c r="N12" s="389"/>
      <c r="O12" s="390"/>
      <c r="P12" s="389"/>
      <c r="Q12" s="6"/>
      <c r="R12" s="621" t="s">
        <v>202</v>
      </c>
      <c r="S12" s="352" t="s">
        <v>149</v>
      </c>
      <c r="T12" s="81">
        <f>C12+E12+G12+I12+K12+M12+O12</f>
        <v>50000000</v>
      </c>
    </row>
    <row r="13" spans="1:20" ht="14.1" customHeight="1" thickBot="1" x14ac:dyDescent="0.35">
      <c r="A13" s="622"/>
      <c r="B13" s="458" t="s">
        <v>150</v>
      </c>
      <c r="C13" s="517">
        <v>300000</v>
      </c>
      <c r="D13" s="531" t="s">
        <v>262</v>
      </c>
      <c r="E13" s="517"/>
      <c r="F13" s="519"/>
      <c r="G13" s="517"/>
      <c r="H13" s="518"/>
      <c r="I13" s="396"/>
      <c r="J13" s="395"/>
      <c r="K13" s="392"/>
      <c r="L13" s="391"/>
      <c r="M13" s="392"/>
      <c r="N13" s="395"/>
      <c r="O13" s="396"/>
      <c r="P13" s="395"/>
      <c r="Q13" s="6"/>
      <c r="R13" s="622"/>
      <c r="S13" s="353" t="s">
        <v>150</v>
      </c>
      <c r="T13" s="82">
        <f t="shared" ref="T13:T59" si="16">C13+E13+G13+I13+K13+M13+O13</f>
        <v>300000</v>
      </c>
    </row>
    <row r="14" spans="1:20" ht="14.1" customHeight="1" thickBot="1" x14ac:dyDescent="0.35">
      <c r="A14" s="622"/>
      <c r="B14" s="458" t="s">
        <v>151</v>
      </c>
      <c r="C14" s="517">
        <v>50000000</v>
      </c>
      <c r="D14" s="531" t="s">
        <v>262</v>
      </c>
      <c r="E14" s="517"/>
      <c r="F14" s="519"/>
      <c r="G14" s="517"/>
      <c r="H14" s="518"/>
      <c r="I14" s="396"/>
      <c r="J14" s="395"/>
      <c r="K14" s="392"/>
      <c r="L14" s="391"/>
      <c r="M14" s="392"/>
      <c r="N14" s="395"/>
      <c r="O14" s="396"/>
      <c r="P14" s="395"/>
      <c r="Q14" s="6"/>
      <c r="R14" s="622"/>
      <c r="S14" s="353" t="s">
        <v>151</v>
      </c>
      <c r="T14" s="82">
        <f t="shared" si="16"/>
        <v>50000000</v>
      </c>
    </row>
    <row r="15" spans="1:20" ht="14.1" customHeight="1" thickBot="1" x14ac:dyDescent="0.35">
      <c r="A15" s="622"/>
      <c r="B15" s="458" t="s">
        <v>148</v>
      </c>
      <c r="C15" s="517">
        <v>300000</v>
      </c>
      <c r="D15" s="531" t="s">
        <v>262</v>
      </c>
      <c r="E15" s="517"/>
      <c r="F15" s="519"/>
      <c r="G15" s="517"/>
      <c r="H15" s="518"/>
      <c r="I15" s="396"/>
      <c r="J15" s="395"/>
      <c r="K15" s="392"/>
      <c r="L15" s="391"/>
      <c r="M15" s="392"/>
      <c r="N15" s="395"/>
      <c r="O15" s="396"/>
      <c r="P15" s="395"/>
      <c r="Q15" s="6"/>
      <c r="R15" s="622"/>
      <c r="S15" s="353" t="s">
        <v>148</v>
      </c>
      <c r="T15" s="82">
        <f t="shared" si="16"/>
        <v>300000</v>
      </c>
    </row>
    <row r="16" spans="1:20" ht="14.1" customHeight="1" thickBot="1" x14ac:dyDescent="0.35">
      <c r="A16" s="623"/>
      <c r="B16" s="459" t="s">
        <v>89</v>
      </c>
      <c r="C16" s="520"/>
      <c r="D16" s="531" t="s">
        <v>262</v>
      </c>
      <c r="E16" s="520"/>
      <c r="F16" s="522"/>
      <c r="G16" s="520"/>
      <c r="H16" s="521"/>
      <c r="I16" s="402"/>
      <c r="J16" s="401"/>
      <c r="K16" s="398"/>
      <c r="L16" s="397"/>
      <c r="M16" s="398"/>
      <c r="N16" s="401"/>
      <c r="O16" s="402"/>
      <c r="P16" s="401"/>
      <c r="Q16" s="6"/>
      <c r="R16" s="623"/>
      <c r="S16" s="354" t="s">
        <v>89</v>
      </c>
      <c r="T16" s="84">
        <f t="shared" si="16"/>
        <v>0</v>
      </c>
    </row>
    <row r="17" spans="1:20" ht="14.1" customHeight="1" x14ac:dyDescent="0.3">
      <c r="A17" s="624" t="s">
        <v>50</v>
      </c>
      <c r="B17" s="460" t="s">
        <v>203</v>
      </c>
      <c r="C17" s="386"/>
      <c r="D17" s="509"/>
      <c r="E17" s="514">
        <v>30000000</v>
      </c>
      <c r="F17" s="528"/>
      <c r="G17" s="392"/>
      <c r="H17" s="509"/>
      <c r="I17" s="392"/>
      <c r="J17" s="404"/>
      <c r="K17" s="392"/>
      <c r="L17" s="509"/>
      <c r="M17" s="386"/>
      <c r="N17" s="406"/>
      <c r="O17" s="386"/>
      <c r="P17" s="389"/>
      <c r="Q17" s="6"/>
      <c r="R17" s="624" t="s">
        <v>50</v>
      </c>
      <c r="S17" s="490" t="s">
        <v>203</v>
      </c>
      <c r="T17" s="551">
        <f t="shared" si="16"/>
        <v>30000000</v>
      </c>
    </row>
    <row r="18" spans="1:20" ht="14.1" customHeight="1" x14ac:dyDescent="0.3">
      <c r="A18" s="625"/>
      <c r="B18" s="481" t="s">
        <v>205</v>
      </c>
      <c r="C18" s="392"/>
      <c r="D18" s="508"/>
      <c r="E18" s="392">
        <v>3000000</v>
      </c>
      <c r="F18" s="508"/>
      <c r="G18" s="392"/>
      <c r="H18" s="508"/>
      <c r="I18" s="392"/>
      <c r="J18" s="404"/>
      <c r="K18" s="392"/>
      <c r="L18" s="508"/>
      <c r="M18" s="409"/>
      <c r="N18" s="406"/>
      <c r="O18" s="409"/>
      <c r="P18" s="410"/>
      <c r="Q18" s="6"/>
      <c r="R18" s="625"/>
      <c r="S18" s="491" t="s">
        <v>205</v>
      </c>
      <c r="T18" s="549">
        <f t="shared" si="16"/>
        <v>3000000</v>
      </c>
    </row>
    <row r="19" spans="1:20" ht="14.1" customHeight="1" thickBot="1" x14ac:dyDescent="0.35">
      <c r="A19" s="625"/>
      <c r="B19" s="553" t="s">
        <v>211</v>
      </c>
      <c r="C19" s="412"/>
      <c r="D19" s="416"/>
      <c r="E19" s="412">
        <v>30000000</v>
      </c>
      <c r="F19" s="510"/>
      <c r="G19" s="411"/>
      <c r="H19" s="417"/>
      <c r="I19" s="412"/>
      <c r="J19" s="417"/>
      <c r="K19" s="411"/>
      <c r="L19" s="510"/>
      <c r="M19" s="412"/>
      <c r="N19" s="416"/>
      <c r="O19" s="412"/>
      <c r="P19" s="414"/>
      <c r="Q19" s="6"/>
      <c r="R19" s="625"/>
      <c r="S19" s="552" t="s">
        <v>211</v>
      </c>
      <c r="T19" s="550">
        <f t="shared" si="16"/>
        <v>30000000</v>
      </c>
    </row>
    <row r="20" spans="1:20" ht="14.1" customHeight="1" x14ac:dyDescent="0.3">
      <c r="A20" s="625"/>
      <c r="B20" s="554" t="s">
        <v>163</v>
      </c>
      <c r="C20" s="514"/>
      <c r="D20" s="516"/>
      <c r="E20" s="514">
        <v>4000000</v>
      </c>
      <c r="F20" s="528"/>
      <c r="G20" s="514"/>
      <c r="H20" s="516"/>
      <c r="I20" s="386"/>
      <c r="J20" s="538"/>
      <c r="K20" s="386"/>
      <c r="L20" s="509"/>
      <c r="M20" s="386"/>
      <c r="N20" s="509"/>
      <c r="O20" s="386"/>
      <c r="P20" s="389"/>
      <c r="Q20" s="6"/>
      <c r="R20" s="625"/>
      <c r="S20" s="554" t="s">
        <v>163</v>
      </c>
      <c r="T20" s="551">
        <f t="shared" si="16"/>
        <v>4000000</v>
      </c>
    </row>
    <row r="21" spans="1:20" ht="14.1" customHeight="1" x14ac:dyDescent="0.3">
      <c r="A21" s="625"/>
      <c r="B21" s="555" t="s">
        <v>162</v>
      </c>
      <c r="C21" s="523"/>
      <c r="D21" s="524"/>
      <c r="E21" s="523"/>
      <c r="F21" s="529"/>
      <c r="G21" s="523"/>
      <c r="H21" s="525"/>
      <c r="I21" s="409"/>
      <c r="J21" s="415"/>
      <c r="K21" s="392"/>
      <c r="L21" s="415"/>
      <c r="M21" s="392"/>
      <c r="N21" s="576"/>
      <c r="O21" s="409"/>
      <c r="P21" s="410"/>
      <c r="Q21" s="6"/>
      <c r="R21" s="625"/>
      <c r="S21" s="555" t="s">
        <v>162</v>
      </c>
      <c r="T21" s="549">
        <f t="shared" si="16"/>
        <v>0</v>
      </c>
    </row>
    <row r="22" spans="1:20" ht="14.1" customHeight="1" x14ac:dyDescent="0.3">
      <c r="A22" s="625"/>
      <c r="B22" s="556" t="s">
        <v>164</v>
      </c>
      <c r="C22" s="392"/>
      <c r="D22" s="407"/>
      <c r="E22" s="409"/>
      <c r="F22" s="508"/>
      <c r="G22" s="409"/>
      <c r="H22" s="410"/>
      <c r="I22" s="409"/>
      <c r="J22" s="415"/>
      <c r="K22" s="392"/>
      <c r="L22" s="508"/>
      <c r="M22" s="392"/>
      <c r="N22" s="508"/>
      <c r="O22" s="409"/>
      <c r="P22" s="410"/>
      <c r="Q22" s="6"/>
      <c r="R22" s="625"/>
      <c r="S22" s="556" t="s">
        <v>164</v>
      </c>
      <c r="T22" s="549">
        <f t="shared" si="16"/>
        <v>0</v>
      </c>
    </row>
    <row r="23" spans="1:20" ht="14.1" customHeight="1" x14ac:dyDescent="0.3">
      <c r="A23" s="625"/>
      <c r="B23" s="555" t="s">
        <v>165</v>
      </c>
      <c r="C23" s="392"/>
      <c r="D23" s="407"/>
      <c r="E23" s="409"/>
      <c r="F23" s="508"/>
      <c r="G23" s="409"/>
      <c r="H23" s="410"/>
      <c r="I23" s="409"/>
      <c r="J23" s="543"/>
      <c r="K23" s="392"/>
      <c r="L23" s="508"/>
      <c r="M23" s="392"/>
      <c r="N23" s="508"/>
      <c r="O23" s="409"/>
      <c r="P23" s="410"/>
      <c r="Q23" s="6"/>
      <c r="R23" s="625"/>
      <c r="S23" s="555" t="s">
        <v>165</v>
      </c>
      <c r="T23" s="549">
        <f t="shared" si="16"/>
        <v>0</v>
      </c>
    </row>
    <row r="24" spans="1:20" ht="14.1" customHeight="1" x14ac:dyDescent="0.3">
      <c r="A24" s="625"/>
      <c r="B24" s="555" t="s">
        <v>184</v>
      </c>
      <c r="C24" s="392"/>
      <c r="D24" s="407"/>
      <c r="E24" s="409"/>
      <c r="F24" s="508"/>
      <c r="G24" s="409"/>
      <c r="H24" s="410"/>
      <c r="I24" s="409"/>
      <c r="J24" s="415"/>
      <c r="K24" s="392"/>
      <c r="L24" s="508"/>
      <c r="M24" s="392"/>
      <c r="N24" s="508"/>
      <c r="O24" s="409"/>
      <c r="P24" s="410"/>
      <c r="Q24" s="6"/>
      <c r="R24" s="625"/>
      <c r="S24" s="555" t="s">
        <v>184</v>
      </c>
      <c r="T24" s="549">
        <f t="shared" si="16"/>
        <v>0</v>
      </c>
    </row>
    <row r="25" spans="1:20" ht="14.1" customHeight="1" x14ac:dyDescent="0.3">
      <c r="A25" s="625"/>
      <c r="B25" s="555" t="s">
        <v>185</v>
      </c>
      <c r="C25" s="392"/>
      <c r="D25" s="407"/>
      <c r="E25" s="409"/>
      <c r="F25" s="508"/>
      <c r="G25" s="409"/>
      <c r="H25" s="415"/>
      <c r="I25" s="409"/>
      <c r="J25" s="415"/>
      <c r="K25" s="392"/>
      <c r="L25" s="508"/>
      <c r="M25" s="392"/>
      <c r="N25" s="508"/>
      <c r="O25" s="409"/>
      <c r="P25" s="410"/>
      <c r="Q25" s="6"/>
      <c r="R25" s="625"/>
      <c r="S25" s="555" t="s">
        <v>185</v>
      </c>
      <c r="T25" s="549">
        <f t="shared" si="16"/>
        <v>0</v>
      </c>
    </row>
    <row r="26" spans="1:20" ht="14.1" customHeight="1" x14ac:dyDescent="0.3">
      <c r="A26" s="625"/>
      <c r="B26" s="556" t="s">
        <v>166</v>
      </c>
      <c r="C26" s="392"/>
      <c r="D26" s="407"/>
      <c r="E26" s="412"/>
      <c r="F26" s="508"/>
      <c r="G26" s="412"/>
      <c r="H26" s="508"/>
      <c r="I26" s="412"/>
      <c r="J26" s="415"/>
      <c r="K26" s="411"/>
      <c r="L26" s="570"/>
      <c r="M26" s="411"/>
      <c r="N26" s="570"/>
      <c r="O26" s="409"/>
      <c r="P26" s="410"/>
      <c r="Q26" s="6"/>
      <c r="R26" s="625"/>
      <c r="S26" s="556" t="s">
        <v>166</v>
      </c>
      <c r="T26" s="549">
        <f t="shared" si="16"/>
        <v>0</v>
      </c>
    </row>
    <row r="27" spans="1:20" ht="14.1" customHeight="1" x14ac:dyDescent="0.3">
      <c r="A27" s="625"/>
      <c r="B27" s="555" t="s">
        <v>167</v>
      </c>
      <c r="C27" s="411"/>
      <c r="D27" s="479"/>
      <c r="E27" s="412"/>
      <c r="F27" s="508"/>
      <c r="G27" s="412"/>
      <c r="H27" s="415"/>
      <c r="I27" s="412"/>
      <c r="J27" s="415"/>
      <c r="K27" s="411"/>
      <c r="L27" s="415"/>
      <c r="M27" s="411"/>
      <c r="N27" s="415"/>
      <c r="O27" s="412"/>
      <c r="P27" s="414"/>
      <c r="Q27" s="6"/>
      <c r="R27" s="625"/>
      <c r="S27" s="555" t="s">
        <v>167</v>
      </c>
      <c r="T27" s="549">
        <f t="shared" si="16"/>
        <v>0</v>
      </c>
    </row>
    <row r="28" spans="1:20" ht="14.1" customHeight="1" thickBot="1" x14ac:dyDescent="0.35">
      <c r="A28" s="625"/>
      <c r="B28" s="557" t="s">
        <v>222</v>
      </c>
      <c r="C28" s="398"/>
      <c r="D28" s="397"/>
      <c r="E28" s="398"/>
      <c r="F28" s="437"/>
      <c r="G28" s="398"/>
      <c r="H28" s="558"/>
      <c r="I28" s="398"/>
      <c r="J28" s="558"/>
      <c r="K28" s="398"/>
      <c r="L28" s="530"/>
      <c r="M28" s="398"/>
      <c r="N28" s="530"/>
      <c r="O28" s="402"/>
      <c r="P28" s="401"/>
      <c r="Q28" s="6"/>
      <c r="R28" s="625"/>
      <c r="S28" s="557" t="s">
        <v>222</v>
      </c>
      <c r="T28" s="550">
        <f t="shared" si="16"/>
        <v>0</v>
      </c>
    </row>
    <row r="29" spans="1:20" ht="14.1" customHeight="1" x14ac:dyDescent="0.3">
      <c r="A29" s="628" t="s">
        <v>19</v>
      </c>
      <c r="B29" s="461" t="s">
        <v>193</v>
      </c>
      <c r="C29" s="392"/>
      <c r="D29" s="385"/>
      <c r="E29" s="392"/>
      <c r="F29" s="388"/>
      <c r="G29" s="392"/>
      <c r="H29" s="509"/>
      <c r="I29" s="392"/>
      <c r="J29" s="538"/>
      <c r="K29" s="392"/>
      <c r="L29" s="509"/>
      <c r="M29" s="386"/>
      <c r="N29" s="385"/>
      <c r="O29" s="396"/>
      <c r="P29" s="389"/>
      <c r="Q29" s="6"/>
      <c r="R29" s="630" t="s">
        <v>19</v>
      </c>
      <c r="S29" s="492" t="s">
        <v>193</v>
      </c>
      <c r="T29" s="86">
        <f t="shared" si="16"/>
        <v>0</v>
      </c>
    </row>
    <row r="30" spans="1:20" ht="14.1" customHeight="1" x14ac:dyDescent="0.3">
      <c r="A30" s="629"/>
      <c r="B30" s="462" t="s">
        <v>194</v>
      </c>
      <c r="C30" s="392"/>
      <c r="D30" s="508"/>
      <c r="E30" s="409">
        <v>30000000</v>
      </c>
      <c r="F30" s="404"/>
      <c r="G30" s="392"/>
      <c r="H30" s="508"/>
      <c r="I30" s="392"/>
      <c r="J30" s="415"/>
      <c r="K30" s="392"/>
      <c r="L30" s="508"/>
      <c r="M30" s="409"/>
      <c r="N30" s="406"/>
      <c r="O30" s="396"/>
      <c r="P30" s="410"/>
      <c r="Q30" s="6"/>
      <c r="R30" s="631"/>
      <c r="S30" s="493" t="s">
        <v>194</v>
      </c>
      <c r="T30" s="82">
        <f t="shared" si="16"/>
        <v>30000000</v>
      </c>
    </row>
    <row r="31" spans="1:20" ht="14.1" customHeight="1" thickBot="1" x14ac:dyDescent="0.35">
      <c r="A31" s="629"/>
      <c r="B31" s="463" t="s">
        <v>195</v>
      </c>
      <c r="C31" s="412"/>
      <c r="D31" s="510"/>
      <c r="E31" s="412"/>
      <c r="F31" s="417"/>
      <c r="G31" s="412"/>
      <c r="H31" s="510"/>
      <c r="I31" s="412"/>
      <c r="J31" s="413"/>
      <c r="K31" s="412"/>
      <c r="L31" s="510"/>
      <c r="M31" s="412"/>
      <c r="N31" s="416"/>
      <c r="O31" s="419"/>
      <c r="P31" s="414"/>
      <c r="Q31" s="6"/>
      <c r="R31" s="631"/>
      <c r="S31" s="494" t="s">
        <v>195</v>
      </c>
      <c r="T31" s="84">
        <f t="shared" si="16"/>
        <v>0</v>
      </c>
    </row>
    <row r="32" spans="1:20" ht="14.1" customHeight="1" x14ac:dyDescent="0.3">
      <c r="A32" s="629"/>
      <c r="B32" s="461" t="s">
        <v>196</v>
      </c>
      <c r="C32" s="386"/>
      <c r="D32" s="509"/>
      <c r="E32" s="386"/>
      <c r="F32" s="388"/>
      <c r="G32" s="386"/>
      <c r="H32" s="509"/>
      <c r="I32" s="386"/>
      <c r="J32" s="538"/>
      <c r="K32" s="386"/>
      <c r="L32" s="509"/>
      <c r="M32" s="386"/>
      <c r="N32" s="385"/>
      <c r="O32" s="390"/>
      <c r="P32" s="389"/>
      <c r="Q32" s="6"/>
      <c r="R32" s="631"/>
      <c r="S32" s="492" t="s">
        <v>196</v>
      </c>
      <c r="T32" s="551">
        <f t="shared" si="16"/>
        <v>0</v>
      </c>
    </row>
    <row r="33" spans="1:21" ht="14.1" customHeight="1" x14ac:dyDescent="0.3">
      <c r="A33" s="629"/>
      <c r="B33" s="488" t="s">
        <v>197</v>
      </c>
      <c r="C33" s="392"/>
      <c r="D33" s="508"/>
      <c r="E33" s="392"/>
      <c r="F33" s="404"/>
      <c r="G33" s="392"/>
      <c r="H33" s="508"/>
      <c r="I33" s="392"/>
      <c r="J33" s="415"/>
      <c r="K33" s="392"/>
      <c r="L33" s="508"/>
      <c r="M33" s="392"/>
      <c r="N33" s="406"/>
      <c r="O33" s="396"/>
      <c r="P33" s="410"/>
      <c r="Q33" s="6"/>
      <c r="R33" s="631"/>
      <c r="S33" s="495" t="s">
        <v>197</v>
      </c>
      <c r="T33" s="549">
        <f t="shared" si="16"/>
        <v>0</v>
      </c>
    </row>
    <row r="34" spans="1:21" ht="14.1" customHeight="1" thickBot="1" x14ac:dyDescent="0.35">
      <c r="A34" s="629"/>
      <c r="B34" s="489" t="s">
        <v>198</v>
      </c>
      <c r="C34" s="398"/>
      <c r="D34" s="511"/>
      <c r="E34" s="398">
        <v>30000000</v>
      </c>
      <c r="F34" s="400"/>
      <c r="G34" s="398"/>
      <c r="H34" s="511"/>
      <c r="I34" s="398"/>
      <c r="J34" s="539"/>
      <c r="K34" s="398"/>
      <c r="L34" s="511"/>
      <c r="M34" s="398"/>
      <c r="N34" s="397"/>
      <c r="O34" s="402"/>
      <c r="P34" s="421"/>
      <c r="Q34" s="6"/>
      <c r="R34" s="631"/>
      <c r="S34" s="496" t="s">
        <v>198</v>
      </c>
      <c r="T34" s="550">
        <f t="shared" si="16"/>
        <v>30000000</v>
      </c>
    </row>
    <row r="35" spans="1:21" ht="14.1" customHeight="1" x14ac:dyDescent="0.3">
      <c r="A35" s="629"/>
      <c r="B35" s="461" t="s">
        <v>210</v>
      </c>
      <c r="C35" s="386"/>
      <c r="D35" s="509"/>
      <c r="E35" s="526"/>
      <c r="F35" s="527"/>
      <c r="G35" s="386"/>
      <c r="H35" s="509"/>
      <c r="I35" s="386"/>
      <c r="J35" s="538"/>
      <c r="K35" s="386"/>
      <c r="L35" s="509"/>
      <c r="M35" s="386"/>
      <c r="N35" s="385"/>
      <c r="O35" s="390"/>
      <c r="P35" s="389"/>
      <c r="Q35" s="6"/>
      <c r="R35" s="631"/>
      <c r="S35" s="492" t="s">
        <v>210</v>
      </c>
      <c r="T35" s="86">
        <f t="shared" si="16"/>
        <v>0</v>
      </c>
    </row>
    <row r="36" spans="1:21" ht="14.1" customHeight="1" x14ac:dyDescent="0.3">
      <c r="A36" s="629"/>
      <c r="B36" s="488" t="s">
        <v>200</v>
      </c>
      <c r="C36" s="392"/>
      <c r="D36" s="508"/>
      <c r="E36" s="392"/>
      <c r="F36" s="512"/>
      <c r="G36" s="392"/>
      <c r="H36" s="508"/>
      <c r="I36" s="392"/>
      <c r="J36" s="415"/>
      <c r="K36" s="392"/>
      <c r="L36" s="508"/>
      <c r="M36" s="392"/>
      <c r="N36" s="406"/>
      <c r="O36" s="396"/>
      <c r="P36" s="410"/>
      <c r="Q36" s="6"/>
      <c r="R36" s="631"/>
      <c r="S36" s="495" t="s">
        <v>200</v>
      </c>
      <c r="T36" s="82">
        <f t="shared" si="16"/>
        <v>0</v>
      </c>
    </row>
    <row r="37" spans="1:21" ht="14.1" customHeight="1" thickBot="1" x14ac:dyDescent="0.35">
      <c r="A37" s="629"/>
      <c r="B37" s="463" t="s">
        <v>201</v>
      </c>
      <c r="C37" s="398"/>
      <c r="D37" s="511"/>
      <c r="E37" s="398"/>
      <c r="F37" s="420"/>
      <c r="G37" s="398"/>
      <c r="H37" s="511"/>
      <c r="I37" s="398"/>
      <c r="J37" s="539"/>
      <c r="K37" s="398"/>
      <c r="L37" s="511"/>
      <c r="M37" s="398"/>
      <c r="N37" s="397"/>
      <c r="O37" s="402"/>
      <c r="P37" s="421"/>
      <c r="Q37" s="6"/>
      <c r="R37" s="631"/>
      <c r="S37" s="496" t="s">
        <v>201</v>
      </c>
      <c r="T37" s="84">
        <f t="shared" si="16"/>
        <v>0</v>
      </c>
    </row>
    <row r="38" spans="1:21" ht="14.1" customHeight="1" x14ac:dyDescent="0.3">
      <c r="A38" s="611" t="s">
        <v>16</v>
      </c>
      <c r="B38" s="464" t="s">
        <v>36</v>
      </c>
      <c r="C38" s="386">
        <v>10000000</v>
      </c>
      <c r="D38" s="509"/>
      <c r="E38" s="386"/>
      <c r="F38" s="388"/>
      <c r="G38" s="386"/>
      <c r="H38" s="509"/>
      <c r="I38" s="386"/>
      <c r="J38" s="544"/>
      <c r="K38" s="386"/>
      <c r="L38" s="509"/>
      <c r="M38" s="386"/>
      <c r="N38" s="385"/>
      <c r="O38" s="390"/>
      <c r="P38" s="389"/>
      <c r="Q38" s="6"/>
      <c r="R38" s="611" t="s">
        <v>16</v>
      </c>
      <c r="S38" s="497" t="s">
        <v>36</v>
      </c>
      <c r="T38" s="551">
        <f t="shared" si="16"/>
        <v>10000000</v>
      </c>
    </row>
    <row r="39" spans="1:21" ht="14.1" customHeight="1" x14ac:dyDescent="0.3">
      <c r="A39" s="612"/>
      <c r="B39" s="465" t="s">
        <v>81</v>
      </c>
      <c r="C39" s="392"/>
      <c r="D39" s="508"/>
      <c r="E39" s="392"/>
      <c r="F39" s="394"/>
      <c r="G39" s="392"/>
      <c r="H39" s="512"/>
      <c r="I39" s="392"/>
      <c r="J39" s="545"/>
      <c r="K39" s="392"/>
      <c r="L39" s="512"/>
      <c r="M39" s="392"/>
      <c r="N39" s="391"/>
      <c r="O39" s="396"/>
      <c r="P39" s="395"/>
      <c r="Q39" s="6"/>
      <c r="R39" s="612"/>
      <c r="S39" s="498" t="s">
        <v>81</v>
      </c>
      <c r="T39" s="549">
        <f t="shared" si="16"/>
        <v>0</v>
      </c>
    </row>
    <row r="40" spans="1:21" ht="14.1" customHeight="1" x14ac:dyDescent="0.3">
      <c r="A40" s="612"/>
      <c r="B40" s="465" t="s">
        <v>78</v>
      </c>
      <c r="C40" s="392"/>
      <c r="D40" s="512"/>
      <c r="E40" s="392"/>
      <c r="F40" s="394"/>
      <c r="G40" s="392"/>
      <c r="H40" s="512"/>
      <c r="I40" s="392"/>
      <c r="J40" s="540"/>
      <c r="K40" s="392"/>
      <c r="L40" s="512"/>
      <c r="M40" s="392"/>
      <c r="N40" s="391"/>
      <c r="O40" s="396"/>
      <c r="P40" s="395"/>
      <c r="Q40" s="6"/>
      <c r="R40" s="612"/>
      <c r="S40" s="498" t="s">
        <v>78</v>
      </c>
      <c r="T40" s="549">
        <f t="shared" si="16"/>
        <v>0</v>
      </c>
    </row>
    <row r="41" spans="1:21" ht="14.1" customHeight="1" thickBot="1" x14ac:dyDescent="0.35">
      <c r="A41" s="613"/>
      <c r="B41" s="466" t="s">
        <v>87</v>
      </c>
      <c r="C41" s="398">
        <v>50000000</v>
      </c>
      <c r="D41" s="511"/>
      <c r="E41" s="398">
        <v>100000000</v>
      </c>
      <c r="F41" s="400"/>
      <c r="G41" s="392"/>
      <c r="H41" s="511"/>
      <c r="I41" s="392"/>
      <c r="J41" s="539"/>
      <c r="K41" s="392"/>
      <c r="L41" s="511"/>
      <c r="M41" s="398"/>
      <c r="N41" s="397"/>
      <c r="O41" s="402"/>
      <c r="P41" s="401"/>
      <c r="Q41" s="6"/>
      <c r="R41" s="613"/>
      <c r="S41" s="499" t="s">
        <v>87</v>
      </c>
      <c r="T41" s="550">
        <f t="shared" si="16"/>
        <v>150000000</v>
      </c>
    </row>
    <row r="42" spans="1:21" ht="14.1" customHeight="1" x14ac:dyDescent="0.3">
      <c r="A42" s="614" t="s">
        <v>47</v>
      </c>
      <c r="B42" s="467" t="s">
        <v>48</v>
      </c>
      <c r="C42" s="409"/>
      <c r="D42" s="508"/>
      <c r="E42" s="386"/>
      <c r="F42" s="388"/>
      <c r="G42" s="386"/>
      <c r="H42" s="509"/>
      <c r="I42" s="386"/>
      <c r="J42" s="569"/>
      <c r="K42" s="386"/>
      <c r="L42" s="385"/>
      <c r="M42" s="386"/>
      <c r="N42" s="385"/>
      <c r="O42" s="390"/>
      <c r="P42" s="389"/>
      <c r="Q42" s="6"/>
      <c r="R42" s="614" t="s">
        <v>47</v>
      </c>
      <c r="S42" s="500" t="s">
        <v>48</v>
      </c>
      <c r="T42" s="86">
        <f t="shared" si="16"/>
        <v>0</v>
      </c>
    </row>
    <row r="43" spans="1:21" ht="14.1" customHeight="1" x14ac:dyDescent="0.3">
      <c r="A43" s="615"/>
      <c r="B43" s="468" t="s">
        <v>44</v>
      </c>
      <c r="C43" s="392">
        <v>30000000</v>
      </c>
      <c r="D43" s="512"/>
      <c r="E43" s="392">
        <v>100000000</v>
      </c>
      <c r="F43" s="394"/>
      <c r="G43" s="392"/>
      <c r="H43" s="512"/>
      <c r="I43" s="392"/>
      <c r="J43" s="540"/>
      <c r="K43" s="392"/>
      <c r="L43" s="391"/>
      <c r="M43" s="392"/>
      <c r="N43" s="391"/>
      <c r="O43" s="396"/>
      <c r="P43" s="395"/>
      <c r="Q43" s="6"/>
      <c r="R43" s="615"/>
      <c r="S43" s="501" t="s">
        <v>44</v>
      </c>
      <c r="T43" s="82">
        <f t="shared" si="16"/>
        <v>130000000</v>
      </c>
    </row>
    <row r="44" spans="1:21" ht="14.1" customHeight="1" thickBot="1" x14ac:dyDescent="0.35">
      <c r="A44" s="616"/>
      <c r="B44" s="469" t="s">
        <v>54</v>
      </c>
      <c r="C44" s="398">
        <v>50000000</v>
      </c>
      <c r="D44" s="511"/>
      <c r="E44" s="398">
        <v>100000000</v>
      </c>
      <c r="F44" s="400"/>
      <c r="G44" s="398"/>
      <c r="H44" s="511"/>
      <c r="I44" s="398"/>
      <c r="J44" s="427"/>
      <c r="K44" s="398"/>
      <c r="L44" s="429"/>
      <c r="M44" s="398"/>
      <c r="N44" s="397"/>
      <c r="O44" s="430"/>
      <c r="P44" s="410"/>
      <c r="Q44" s="6"/>
      <c r="R44" s="616"/>
      <c r="S44" s="502" t="s">
        <v>54</v>
      </c>
      <c r="T44" s="84">
        <f t="shared" si="16"/>
        <v>150000000</v>
      </c>
      <c r="U44" s="2"/>
    </row>
    <row r="45" spans="1:21" ht="14.1" customHeight="1" x14ac:dyDescent="0.3">
      <c r="A45" s="617" t="s">
        <v>39</v>
      </c>
      <c r="B45" s="470" t="s">
        <v>44</v>
      </c>
      <c r="C45" s="386"/>
      <c r="D45" s="509"/>
      <c r="E45" s="386">
        <v>30</v>
      </c>
      <c r="F45" s="404"/>
      <c r="G45" s="386"/>
      <c r="H45" s="508"/>
      <c r="I45" s="386"/>
      <c r="J45" s="407"/>
      <c r="K45" s="386"/>
      <c r="L45" s="385"/>
      <c r="M45" s="409"/>
      <c r="N45" s="406"/>
      <c r="O45" s="390"/>
      <c r="P45" s="389"/>
      <c r="Q45" s="6"/>
      <c r="R45" s="617" t="s">
        <v>39</v>
      </c>
      <c r="S45" s="480" t="s">
        <v>44</v>
      </c>
      <c r="T45" s="551">
        <f t="shared" si="16"/>
        <v>30</v>
      </c>
    </row>
    <row r="46" spans="1:21" ht="14.1" customHeight="1" x14ac:dyDescent="0.3">
      <c r="A46" s="618"/>
      <c r="B46" s="470" t="s">
        <v>54</v>
      </c>
      <c r="C46" s="392"/>
      <c r="D46" s="512"/>
      <c r="E46" s="392">
        <v>30</v>
      </c>
      <c r="F46" s="394"/>
      <c r="G46" s="392"/>
      <c r="H46" s="512"/>
      <c r="I46" s="392"/>
      <c r="J46" s="426"/>
      <c r="K46" s="392"/>
      <c r="L46" s="391"/>
      <c r="M46" s="392"/>
      <c r="N46" s="574"/>
      <c r="O46" s="396"/>
      <c r="P46" s="395"/>
      <c r="Q46" s="6"/>
      <c r="R46" s="618"/>
      <c r="S46" s="480" t="s">
        <v>54</v>
      </c>
      <c r="T46" s="549">
        <f t="shared" si="16"/>
        <v>30</v>
      </c>
    </row>
    <row r="47" spans="1:21" ht="14.1" customHeight="1" x14ac:dyDescent="0.3">
      <c r="A47" s="618"/>
      <c r="B47" s="470" t="s">
        <v>204</v>
      </c>
      <c r="C47" s="392"/>
      <c r="D47" s="512"/>
      <c r="E47" s="392"/>
      <c r="F47" s="404"/>
      <c r="G47" s="392"/>
      <c r="H47" s="406"/>
      <c r="I47" s="392"/>
      <c r="J47" s="407"/>
      <c r="K47" s="392"/>
      <c r="L47" s="406"/>
      <c r="M47" s="392"/>
      <c r="N47" s="573"/>
      <c r="O47" s="396"/>
      <c r="P47" s="395"/>
      <c r="Q47" s="6"/>
      <c r="R47" s="618"/>
      <c r="S47" s="480" t="s">
        <v>204</v>
      </c>
      <c r="T47" s="549">
        <f t="shared" si="16"/>
        <v>0</v>
      </c>
    </row>
    <row r="48" spans="1:21" ht="14.1" customHeight="1" thickBot="1" x14ac:dyDescent="0.35">
      <c r="A48" s="618"/>
      <c r="B48" s="471" t="s">
        <v>216</v>
      </c>
      <c r="C48" s="411"/>
      <c r="D48" s="511"/>
      <c r="E48" s="411"/>
      <c r="F48" s="417"/>
      <c r="G48" s="411"/>
      <c r="H48" s="510"/>
      <c r="I48" s="411"/>
      <c r="J48" s="479"/>
      <c r="K48" s="411"/>
      <c r="L48" s="432"/>
      <c r="M48" s="411"/>
      <c r="N48" s="575"/>
      <c r="O48" s="433"/>
      <c r="P48" s="421"/>
      <c r="Q48" s="6"/>
      <c r="R48" s="618"/>
      <c r="S48" s="513" t="s">
        <v>113</v>
      </c>
      <c r="T48" s="550">
        <f t="shared" si="16"/>
        <v>0</v>
      </c>
    </row>
    <row r="49" spans="1:20" ht="14.1" customHeight="1" x14ac:dyDescent="0.3">
      <c r="A49" s="603" t="s">
        <v>215</v>
      </c>
      <c r="B49" s="472" t="s">
        <v>45</v>
      </c>
      <c r="C49" s="386">
        <v>20</v>
      </c>
      <c r="D49" s="509"/>
      <c r="E49" s="386">
        <v>20</v>
      </c>
      <c r="F49" s="388"/>
      <c r="G49" s="386"/>
      <c r="H49" s="509"/>
      <c r="I49" s="386"/>
      <c r="J49" s="403"/>
      <c r="K49" s="386"/>
      <c r="L49" s="388"/>
      <c r="M49" s="386"/>
      <c r="N49" s="509"/>
      <c r="O49" s="390"/>
      <c r="P49" s="389"/>
      <c r="Q49" s="6"/>
      <c r="R49" s="603" t="s">
        <v>215</v>
      </c>
      <c r="S49" s="483" t="s">
        <v>45</v>
      </c>
      <c r="T49" s="86">
        <f t="shared" si="16"/>
        <v>40</v>
      </c>
    </row>
    <row r="50" spans="1:20" ht="14.1" customHeight="1" thickBot="1" x14ac:dyDescent="0.35">
      <c r="A50" s="604"/>
      <c r="B50" s="482" t="s">
        <v>42</v>
      </c>
      <c r="C50" s="435"/>
      <c r="D50" s="530"/>
      <c r="E50" s="435"/>
      <c r="F50" s="400"/>
      <c r="G50" s="435"/>
      <c r="H50" s="397"/>
      <c r="I50" s="435"/>
      <c r="J50" s="427"/>
      <c r="K50" s="435"/>
      <c r="L50" s="534"/>
      <c r="M50" s="435"/>
      <c r="N50" s="530"/>
      <c r="O50" s="438"/>
      <c r="P50" s="401"/>
      <c r="Q50" s="6"/>
      <c r="R50" s="604"/>
      <c r="S50" s="503" t="s">
        <v>42</v>
      </c>
      <c r="T50" s="84">
        <f t="shared" si="16"/>
        <v>0</v>
      </c>
    </row>
    <row r="51" spans="1:20" ht="14.1" customHeight="1" x14ac:dyDescent="0.3">
      <c r="A51" s="605" t="s">
        <v>206</v>
      </c>
      <c r="B51" s="484" t="s">
        <v>207</v>
      </c>
      <c r="C51" s="409">
        <v>3</v>
      </c>
      <c r="D51" s="508"/>
      <c r="E51" s="409">
        <v>3</v>
      </c>
      <c r="F51" s="404"/>
      <c r="G51" s="409"/>
      <c r="H51" s="406"/>
      <c r="I51" s="409"/>
      <c r="J51" s="407"/>
      <c r="K51" s="409"/>
      <c r="L51" s="404"/>
      <c r="M51" s="409"/>
      <c r="N51" s="508"/>
      <c r="O51" s="419"/>
      <c r="P51" s="414"/>
      <c r="Q51" s="6"/>
      <c r="R51" s="605" t="s">
        <v>206</v>
      </c>
      <c r="S51" s="486" t="s">
        <v>207</v>
      </c>
      <c r="T51" s="551">
        <f t="shared" si="16"/>
        <v>6</v>
      </c>
    </row>
    <row r="52" spans="1:20" ht="14.1" customHeight="1" thickBot="1" x14ac:dyDescent="0.35">
      <c r="A52" s="606"/>
      <c r="B52" s="485" t="s">
        <v>208</v>
      </c>
      <c r="C52" s="398">
        <v>3</v>
      </c>
      <c r="D52" s="511"/>
      <c r="E52" s="398">
        <v>3</v>
      </c>
      <c r="F52" s="404"/>
      <c r="G52" s="398"/>
      <c r="H52" s="406"/>
      <c r="I52" s="398"/>
      <c r="J52" s="407"/>
      <c r="K52" s="398"/>
      <c r="L52" s="400"/>
      <c r="M52" s="398"/>
      <c r="N52" s="511"/>
      <c r="O52" s="419"/>
      <c r="P52" s="414"/>
      <c r="Q52" s="6"/>
      <c r="R52" s="606"/>
      <c r="S52" s="487" t="s">
        <v>208</v>
      </c>
      <c r="T52" s="550">
        <f t="shared" si="16"/>
        <v>6</v>
      </c>
    </row>
    <row r="53" spans="1:20" ht="14.1" customHeight="1" x14ac:dyDescent="0.3">
      <c r="A53" s="608" t="s">
        <v>125</v>
      </c>
      <c r="B53" s="473" t="s">
        <v>126</v>
      </c>
      <c r="C53" s="386"/>
      <c r="D53" s="509"/>
      <c r="E53" s="386"/>
      <c r="F53" s="405"/>
      <c r="G53" s="386"/>
      <c r="H53" s="405"/>
      <c r="I53" s="386"/>
      <c r="J53" s="403"/>
      <c r="K53" s="386"/>
      <c r="L53" s="405"/>
      <c r="M53" s="386"/>
      <c r="N53" s="509"/>
      <c r="O53" s="390"/>
      <c r="P53" s="389"/>
      <c r="Q53" s="6"/>
      <c r="R53" s="608" t="s">
        <v>125</v>
      </c>
      <c r="S53" s="504" t="s">
        <v>126</v>
      </c>
      <c r="T53" s="86">
        <f t="shared" si="16"/>
        <v>0</v>
      </c>
    </row>
    <row r="54" spans="1:20" ht="14.1" customHeight="1" x14ac:dyDescent="0.3">
      <c r="A54" s="608"/>
      <c r="B54" s="474" t="s">
        <v>127</v>
      </c>
      <c r="C54" s="412"/>
      <c r="D54" s="510"/>
      <c r="E54" s="412"/>
      <c r="F54" s="408"/>
      <c r="G54" s="412"/>
      <c r="H54" s="406"/>
      <c r="I54" s="412"/>
      <c r="J54" s="479"/>
      <c r="K54" s="412"/>
      <c r="L54" s="418"/>
      <c r="M54" s="412"/>
      <c r="N54" s="510"/>
      <c r="O54" s="419"/>
      <c r="P54" s="414"/>
      <c r="Q54" s="6"/>
      <c r="R54" s="608"/>
      <c r="S54" s="504" t="s">
        <v>127</v>
      </c>
      <c r="T54" s="82">
        <f t="shared" si="16"/>
        <v>0</v>
      </c>
    </row>
    <row r="55" spans="1:20" ht="14.1" customHeight="1" thickBot="1" x14ac:dyDescent="0.35">
      <c r="A55" s="609"/>
      <c r="B55" s="475" t="s">
        <v>128</v>
      </c>
      <c r="C55" s="398"/>
      <c r="D55" s="511"/>
      <c r="E55" s="398"/>
      <c r="F55" s="436"/>
      <c r="G55" s="398"/>
      <c r="H55" s="437"/>
      <c r="I55" s="398"/>
      <c r="J55" s="427"/>
      <c r="K55" s="398"/>
      <c r="L55" s="420"/>
      <c r="M55" s="398"/>
      <c r="N55" s="511"/>
      <c r="O55" s="402"/>
      <c r="P55" s="401"/>
      <c r="Q55" s="6"/>
      <c r="R55" s="609"/>
      <c r="S55" s="505" t="s">
        <v>128</v>
      </c>
      <c r="T55" s="84">
        <f t="shared" si="16"/>
        <v>0</v>
      </c>
    </row>
    <row r="56" spans="1:20" ht="14.1" customHeight="1" x14ac:dyDescent="0.3">
      <c r="A56" s="582" t="s">
        <v>52</v>
      </c>
      <c r="B56" s="476" t="s">
        <v>41</v>
      </c>
      <c r="C56" s="535"/>
      <c r="D56" s="509"/>
      <c r="E56" s="390"/>
      <c r="F56" s="388"/>
      <c r="G56" s="386"/>
      <c r="H56" s="385"/>
      <c r="I56" s="386"/>
      <c r="J56" s="403"/>
      <c r="K56" s="386"/>
      <c r="L56" s="388"/>
      <c r="M56" s="386"/>
      <c r="N56" s="509"/>
      <c r="O56" s="396"/>
      <c r="P56" s="389"/>
      <c r="Q56" s="6"/>
      <c r="R56" s="582" t="s">
        <v>52</v>
      </c>
      <c r="S56" s="506" t="s">
        <v>41</v>
      </c>
      <c r="T56" s="551">
        <f t="shared" si="16"/>
        <v>0</v>
      </c>
    </row>
    <row r="57" spans="1:20" ht="14.1" customHeight="1" x14ac:dyDescent="0.3">
      <c r="A57" s="583"/>
      <c r="B57" s="476" t="s">
        <v>11</v>
      </c>
      <c r="C57" s="392"/>
      <c r="D57" s="512"/>
      <c r="E57" s="396"/>
      <c r="F57" s="394"/>
      <c r="G57" s="392"/>
      <c r="H57" s="391"/>
      <c r="I57" s="392"/>
      <c r="J57" s="426"/>
      <c r="K57" s="392"/>
      <c r="L57" s="394"/>
      <c r="M57" s="392"/>
      <c r="N57" s="512"/>
      <c r="O57" s="396"/>
      <c r="P57" s="395"/>
      <c r="Q57" s="6"/>
      <c r="R57" s="583"/>
      <c r="S57" s="506" t="s">
        <v>11</v>
      </c>
      <c r="T57" s="549">
        <f t="shared" si="16"/>
        <v>0</v>
      </c>
    </row>
    <row r="58" spans="1:20" ht="14.1" customHeight="1" thickBot="1" x14ac:dyDescent="0.35">
      <c r="A58" s="584"/>
      <c r="B58" s="477" t="s">
        <v>27</v>
      </c>
      <c r="C58" s="409"/>
      <c r="D58" s="508"/>
      <c r="E58" s="430"/>
      <c r="F58" s="404"/>
      <c r="G58" s="409"/>
      <c r="H58" s="406"/>
      <c r="I58" s="409"/>
      <c r="J58" s="407"/>
      <c r="K58" s="409"/>
      <c r="L58" s="404"/>
      <c r="M58" s="409"/>
      <c r="N58" s="508"/>
      <c r="O58" s="396"/>
      <c r="P58" s="395"/>
      <c r="Q58" s="6"/>
      <c r="R58" s="584"/>
      <c r="S58" s="507" t="s">
        <v>27</v>
      </c>
      <c r="T58" s="550">
        <f t="shared" si="16"/>
        <v>0</v>
      </c>
    </row>
    <row r="59" spans="1:20" ht="14.1" customHeight="1" thickBot="1" x14ac:dyDescent="0.35">
      <c r="A59" s="585" t="s">
        <v>30</v>
      </c>
      <c r="B59" s="586"/>
      <c r="C59" s="445">
        <v>100000000</v>
      </c>
      <c r="D59" s="537"/>
      <c r="E59" s="445"/>
      <c r="F59" s="446"/>
      <c r="G59" s="445"/>
      <c r="H59" s="448"/>
      <c r="I59" s="445"/>
      <c r="J59" s="578"/>
      <c r="K59" s="445"/>
      <c r="L59" s="446"/>
      <c r="M59" s="445"/>
      <c r="N59" s="537"/>
      <c r="O59" s="449"/>
      <c r="P59" s="450"/>
      <c r="Q59" s="6"/>
      <c r="R59" s="585" t="s">
        <v>30</v>
      </c>
      <c r="S59" s="587"/>
      <c r="T59" s="85">
        <f t="shared" si="16"/>
        <v>100000000</v>
      </c>
    </row>
    <row r="60" spans="1:20" ht="14.1" customHeight="1" x14ac:dyDescent="0.3">
      <c r="A60" s="588" t="s">
        <v>38</v>
      </c>
      <c r="B60" s="589"/>
      <c r="C60" s="451"/>
      <c r="D60" s="509"/>
      <c r="E60" s="451" t="s">
        <v>263</v>
      </c>
      <c r="F60" s="424" t="s">
        <v>264</v>
      </c>
      <c r="G60" s="451"/>
      <c r="H60" s="568"/>
      <c r="I60" s="451"/>
      <c r="J60" s="579"/>
      <c r="K60" s="451"/>
      <c r="L60" s="568"/>
      <c r="M60" s="451"/>
      <c r="N60" s="571"/>
      <c r="O60" s="451"/>
      <c r="P60" s="389"/>
      <c r="Q60" s="6"/>
      <c r="R60" s="594" t="s">
        <v>38</v>
      </c>
      <c r="S60" s="665"/>
      <c r="T60" s="666"/>
    </row>
    <row r="61" spans="1:20" ht="14.1" customHeight="1" x14ac:dyDescent="0.3">
      <c r="A61" s="590"/>
      <c r="B61" s="591"/>
      <c r="C61" s="453"/>
      <c r="D61" s="512"/>
      <c r="E61" s="453" t="s">
        <v>265</v>
      </c>
      <c r="F61" s="428" t="s">
        <v>266</v>
      </c>
      <c r="G61" s="453"/>
      <c r="H61" s="424"/>
      <c r="I61" s="453"/>
      <c r="J61" s="580"/>
      <c r="K61" s="453"/>
      <c r="L61" s="424"/>
      <c r="M61" s="453"/>
      <c r="N61" s="572"/>
      <c r="O61" s="453"/>
      <c r="P61" s="395"/>
      <c r="Q61" s="6"/>
      <c r="R61" s="595"/>
      <c r="S61" s="667"/>
      <c r="T61" s="668"/>
    </row>
    <row r="62" spans="1:20" ht="14.1" customHeight="1" x14ac:dyDescent="0.3">
      <c r="A62" s="590"/>
      <c r="B62" s="591"/>
      <c r="C62" s="453"/>
      <c r="D62" s="512"/>
      <c r="E62" s="453"/>
      <c r="F62" s="428"/>
      <c r="G62" s="453"/>
      <c r="H62" s="391"/>
      <c r="I62" s="453"/>
      <c r="J62" s="407"/>
      <c r="K62" s="453"/>
      <c r="L62" s="424"/>
      <c r="M62" s="453"/>
      <c r="N62" s="573"/>
      <c r="O62" s="453"/>
      <c r="P62" s="395"/>
      <c r="Q62" s="6"/>
      <c r="R62" s="595"/>
      <c r="S62" s="667"/>
      <c r="T62" s="668"/>
    </row>
    <row r="63" spans="1:20" ht="14.1" customHeight="1" thickBot="1" x14ac:dyDescent="0.35">
      <c r="A63" s="592"/>
      <c r="B63" s="593"/>
      <c r="C63" s="455"/>
      <c r="D63" s="511"/>
      <c r="E63" s="455"/>
      <c r="F63" s="567"/>
      <c r="G63" s="455"/>
      <c r="H63" s="400"/>
      <c r="I63" s="455"/>
      <c r="J63" s="427"/>
      <c r="K63" s="455"/>
      <c r="L63" s="429"/>
      <c r="M63" s="455"/>
      <c r="N63" s="397"/>
      <c r="O63" s="455"/>
      <c r="P63" s="401"/>
      <c r="Q63" s="6"/>
      <c r="R63" s="596"/>
      <c r="S63" s="669"/>
      <c r="T63" s="670"/>
    </row>
    <row r="64" spans="1:20" ht="19.5" customHeight="1" x14ac:dyDescent="0.3">
      <c r="A64" s="652" t="str">
        <f>A1</f>
        <v>박관수님 보장분석</v>
      </c>
      <c r="B64" s="653"/>
      <c r="C64" s="649"/>
      <c r="D64" s="649"/>
      <c r="E64" s="649"/>
      <c r="F64" s="649"/>
      <c r="G64" s="649"/>
      <c r="H64" s="649"/>
      <c r="I64" s="649"/>
      <c r="J64" s="649"/>
      <c r="K64" s="649"/>
      <c r="L64" s="649"/>
      <c r="M64" s="649"/>
      <c r="N64" s="649"/>
      <c r="O64" s="649"/>
      <c r="P64" s="649"/>
      <c r="Q64" s="138"/>
      <c r="R64" s="650" t="s">
        <v>15</v>
      </c>
      <c r="S64" s="651"/>
      <c r="T64" s="137">
        <f ca="1">T1</f>
        <v>46140</v>
      </c>
    </row>
    <row r="65" spans="1:20" ht="14.1" customHeight="1" x14ac:dyDescent="0.3">
      <c r="A65" s="647" t="s">
        <v>49</v>
      </c>
      <c r="B65" s="648"/>
      <c r="C65" s="645"/>
      <c r="D65" s="645"/>
      <c r="E65" s="645"/>
      <c r="F65" s="645"/>
      <c r="G65" s="645"/>
      <c r="H65" s="645"/>
      <c r="I65" s="645"/>
      <c r="J65" s="645"/>
      <c r="K65" s="645"/>
      <c r="L65" s="645"/>
      <c r="M65" s="645"/>
      <c r="N65" s="645"/>
      <c r="O65" s="645"/>
      <c r="P65" s="645"/>
      <c r="Q65" s="25"/>
      <c r="R65" s="654"/>
      <c r="S65" s="655"/>
      <c r="T65" s="656"/>
    </row>
    <row r="66" spans="1:20" ht="14.1" customHeight="1" x14ac:dyDescent="0.3">
      <c r="A66" s="637" t="s">
        <v>28</v>
      </c>
      <c r="B66" s="638"/>
      <c r="C66" s="645"/>
      <c r="D66" s="645"/>
      <c r="E66" s="645"/>
      <c r="F66" s="645"/>
      <c r="G66" s="645"/>
      <c r="H66" s="645"/>
      <c r="I66" s="645"/>
      <c r="J66" s="645"/>
      <c r="K66" s="645"/>
      <c r="L66" s="645"/>
      <c r="M66" s="645"/>
      <c r="N66" s="645"/>
      <c r="O66" s="646"/>
      <c r="P66" s="646"/>
      <c r="Q66" s="25"/>
      <c r="R66" s="657"/>
      <c r="S66" s="658"/>
      <c r="T66" s="659"/>
    </row>
    <row r="67" spans="1:20" ht="14.1" customHeight="1" x14ac:dyDescent="0.3">
      <c r="A67" s="647" t="s">
        <v>17</v>
      </c>
      <c r="B67" s="648"/>
      <c r="C67" s="646"/>
      <c r="D67" s="645"/>
      <c r="E67" s="646"/>
      <c r="F67" s="646"/>
      <c r="G67" s="646"/>
      <c r="H67" s="646"/>
      <c r="I67" s="646"/>
      <c r="J67" s="645"/>
      <c r="K67" s="646"/>
      <c r="L67" s="645"/>
      <c r="M67" s="646"/>
      <c r="N67" s="645"/>
      <c r="O67" s="646"/>
      <c r="P67" s="646"/>
      <c r="Q67" s="25"/>
      <c r="R67" s="657"/>
      <c r="S67" s="658"/>
      <c r="T67" s="659"/>
    </row>
    <row r="68" spans="1:20" ht="14.1" customHeight="1" x14ac:dyDescent="0.3">
      <c r="A68" s="647" t="s">
        <v>23</v>
      </c>
      <c r="B68" s="648"/>
      <c r="C68" s="383"/>
      <c r="D68" s="382">
        <f ca="1">IF(DATEDIF(C67,$T$1,"m")&lt;C68*12,DATEDIF(C67,$T$1,"m"),C68*12)</f>
        <v>0</v>
      </c>
      <c r="E68" s="383"/>
      <c r="F68" s="382">
        <f ca="1">IF(DATEDIF(E67,$T$1,"m")&lt;E68*12,DATEDIF(E67,$T$1,"m"),E68*12)</f>
        <v>0</v>
      </c>
      <c r="G68" s="383"/>
      <c r="H68" s="382">
        <f ca="1">IF(DATEDIF(G67,$T$1,"m")&lt;G68*12,DATEDIF(G67,$T$1,"m"),G68*12)</f>
        <v>0</v>
      </c>
      <c r="I68" s="383"/>
      <c r="J68" s="382">
        <f ca="1">IF(DATEDIF(I67,$T$1,"m")&lt;I68*12,DATEDIF(I67,$T$1,"m"),I68*12)</f>
        <v>0</v>
      </c>
      <c r="K68" s="383"/>
      <c r="L68" s="382">
        <f ca="1">IF(DATEDIF(K67,$T$1,"m")&lt;K68*12,DATEDIF(K67,$T$1,"m"),K68*12)</f>
        <v>0</v>
      </c>
      <c r="M68" s="383"/>
      <c r="N68" s="384">
        <f ca="1">IF(DATEDIF(M67,$T$1,"m")&lt;M68*12,DATEDIF(M67,$T$1,"m"),M68*12)</f>
        <v>0</v>
      </c>
      <c r="O68" s="383"/>
      <c r="P68" s="382">
        <f ca="1">IF(DATEDIF(O67,$T$1,"m")&lt;O68*12,DATEDIF(O67,$T$1,"m"),O68*12)</f>
        <v>0</v>
      </c>
      <c r="Q68" s="25"/>
      <c r="R68" s="657"/>
      <c r="S68" s="658"/>
      <c r="T68" s="659"/>
    </row>
    <row r="69" spans="1:20" ht="14.1" customHeight="1" x14ac:dyDescent="0.3">
      <c r="A69" s="647" t="s">
        <v>2</v>
      </c>
      <c r="B69" s="648"/>
      <c r="C69" s="645"/>
      <c r="D69" s="645"/>
      <c r="E69" s="645"/>
      <c r="F69" s="645"/>
      <c r="G69" s="645"/>
      <c r="H69" s="645"/>
      <c r="I69" s="645"/>
      <c r="J69" s="645"/>
      <c r="K69" s="645"/>
      <c r="L69" s="645"/>
      <c r="M69" s="645"/>
      <c r="N69" s="645"/>
      <c r="O69" s="645"/>
      <c r="P69" s="645"/>
      <c r="Q69" s="25"/>
      <c r="R69" s="660"/>
      <c r="S69" s="661"/>
      <c r="T69" s="662"/>
    </row>
    <row r="70" spans="1:20" ht="14.1" customHeight="1" x14ac:dyDescent="0.3">
      <c r="A70" s="632" t="s">
        <v>37</v>
      </c>
      <c r="B70" s="633"/>
      <c r="C70" s="642"/>
      <c r="D70" s="642"/>
      <c r="E70" s="642"/>
      <c r="F70" s="642"/>
      <c r="G70" s="642"/>
      <c r="H70" s="642"/>
      <c r="I70" s="642"/>
      <c r="J70" s="642"/>
      <c r="K70" s="642"/>
      <c r="L70" s="642"/>
      <c r="M70" s="642"/>
      <c r="N70" s="642"/>
      <c r="O70" s="642"/>
      <c r="P70" s="642"/>
      <c r="Q70" s="25"/>
      <c r="R70" s="643"/>
      <c r="S70" s="644"/>
      <c r="T70" s="27" t="s">
        <v>91</v>
      </c>
    </row>
    <row r="71" spans="1:20" ht="14.1" customHeight="1" x14ac:dyDescent="0.3">
      <c r="A71" s="639" t="s">
        <v>12</v>
      </c>
      <c r="B71" s="640"/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26"/>
      <c r="R71" s="637" t="s">
        <v>34</v>
      </c>
      <c r="S71" s="638"/>
      <c r="T71" s="60">
        <f>T8+C71+E71+G71+I71+K71+O71</f>
        <v>183350</v>
      </c>
    </row>
    <row r="72" spans="1:20" ht="14.1" customHeight="1" x14ac:dyDescent="0.3">
      <c r="A72" s="637" t="s">
        <v>3</v>
      </c>
      <c r="B72" s="638"/>
      <c r="C72" s="634">
        <f>C71*C68*12</f>
        <v>0</v>
      </c>
      <c r="D72" s="634"/>
      <c r="E72" s="634">
        <f>E71*E68*12</f>
        <v>0</v>
      </c>
      <c r="F72" s="634"/>
      <c r="G72" s="634">
        <f>G71*G68*12</f>
        <v>0</v>
      </c>
      <c r="H72" s="634"/>
      <c r="I72" s="634">
        <f>I71*I68*12</f>
        <v>0</v>
      </c>
      <c r="J72" s="634"/>
      <c r="K72" s="634">
        <f>K71*K68*12</f>
        <v>0</v>
      </c>
      <c r="L72" s="634"/>
      <c r="M72" s="634">
        <f>M71*M68*12</f>
        <v>0</v>
      </c>
      <c r="N72" s="634"/>
      <c r="O72" s="634">
        <f>O71*O68*12</f>
        <v>0</v>
      </c>
      <c r="P72" s="634"/>
      <c r="Q72" s="26"/>
      <c r="R72" s="637" t="s">
        <v>33</v>
      </c>
      <c r="S72" s="638"/>
      <c r="T72" s="51">
        <f>T9+C72+E72+G72+I72+K72+O72</f>
        <v>44893200</v>
      </c>
    </row>
    <row r="73" spans="1:20" ht="14.1" customHeight="1" x14ac:dyDescent="0.3">
      <c r="A73" s="637" t="s">
        <v>4</v>
      </c>
      <c r="B73" s="638"/>
      <c r="C73" s="634">
        <f ca="1">C71*D68</f>
        <v>0</v>
      </c>
      <c r="D73" s="634"/>
      <c r="E73" s="634">
        <f ca="1">E71*F68</f>
        <v>0</v>
      </c>
      <c r="F73" s="634"/>
      <c r="G73" s="634">
        <f ca="1">G71*H68</f>
        <v>0</v>
      </c>
      <c r="H73" s="634"/>
      <c r="I73" s="634">
        <f ca="1">I71*J68</f>
        <v>0</v>
      </c>
      <c r="J73" s="634"/>
      <c r="K73" s="634">
        <f ca="1">K71*L68</f>
        <v>0</v>
      </c>
      <c r="L73" s="634"/>
      <c r="M73" s="634">
        <f ca="1">M71*N68</f>
        <v>0</v>
      </c>
      <c r="N73" s="634"/>
      <c r="O73" s="634">
        <f ca="1">O71*P68</f>
        <v>0</v>
      </c>
      <c r="P73" s="634"/>
      <c r="Q73" s="26"/>
      <c r="R73" s="637" t="s">
        <v>31</v>
      </c>
      <c r="S73" s="638"/>
      <c r="T73" s="51">
        <f ca="1">T10+C73+E73+G73+I73+K73+O73</f>
        <v>25530530</v>
      </c>
    </row>
    <row r="74" spans="1:20" ht="14.1" customHeight="1" thickBot="1" x14ac:dyDescent="0.35">
      <c r="A74" s="632" t="s">
        <v>18</v>
      </c>
      <c r="B74" s="633"/>
      <c r="C74" s="634">
        <f ca="1">C72-C73</f>
        <v>0</v>
      </c>
      <c r="D74" s="634"/>
      <c r="E74" s="634">
        <f ca="1">E72-E73</f>
        <v>0</v>
      </c>
      <c r="F74" s="634"/>
      <c r="G74" s="634">
        <f ca="1">G72-G73</f>
        <v>0</v>
      </c>
      <c r="H74" s="634"/>
      <c r="I74" s="634">
        <f ca="1">I72-I73</f>
        <v>0</v>
      </c>
      <c r="J74" s="634"/>
      <c r="K74" s="634">
        <f ca="1">K72-K73</f>
        <v>0</v>
      </c>
      <c r="L74" s="634"/>
      <c r="M74" s="634">
        <f ca="1">M72-M73</f>
        <v>0</v>
      </c>
      <c r="N74" s="634"/>
      <c r="O74" s="634">
        <f ca="1">O72-O73</f>
        <v>0</v>
      </c>
      <c r="P74" s="634"/>
      <c r="Q74" s="26"/>
      <c r="R74" s="663" t="s">
        <v>35</v>
      </c>
      <c r="S74" s="664"/>
      <c r="T74" s="52">
        <f ca="1">T11+C74+E74+G74+I74+K74+O74</f>
        <v>19362670</v>
      </c>
    </row>
    <row r="75" spans="1:20" ht="14.1" customHeight="1" x14ac:dyDescent="0.3">
      <c r="A75" s="621" t="s">
        <v>202</v>
      </c>
      <c r="B75" s="457" t="s">
        <v>149</v>
      </c>
      <c r="C75" s="386"/>
      <c r="D75" s="385"/>
      <c r="E75" s="386"/>
      <c r="F75" s="387"/>
      <c r="G75" s="386"/>
      <c r="H75" s="388"/>
      <c r="I75" s="386"/>
      <c r="J75" s="388"/>
      <c r="K75" s="386"/>
      <c r="L75" s="385"/>
      <c r="M75" s="386"/>
      <c r="N75" s="389"/>
      <c r="O75" s="390"/>
      <c r="P75" s="389"/>
      <c r="Q75" s="6"/>
      <c r="R75" s="621" t="s">
        <v>202</v>
      </c>
      <c r="S75" s="352" t="s">
        <v>149</v>
      </c>
      <c r="T75" s="182">
        <f t="shared" ref="T75:T100" si="17">T12+C75+E75+G75+I75+K75+M75+O75</f>
        <v>50000000</v>
      </c>
    </row>
    <row r="76" spans="1:20" ht="14.1" customHeight="1" x14ac:dyDescent="0.3">
      <c r="A76" s="622"/>
      <c r="B76" s="458" t="s">
        <v>150</v>
      </c>
      <c r="C76" s="392"/>
      <c r="D76" s="391"/>
      <c r="E76" s="392"/>
      <c r="F76" s="393"/>
      <c r="G76" s="392"/>
      <c r="H76" s="394"/>
      <c r="I76" s="392"/>
      <c r="J76" s="394"/>
      <c r="K76" s="392"/>
      <c r="L76" s="391"/>
      <c r="M76" s="392"/>
      <c r="N76" s="395"/>
      <c r="O76" s="396"/>
      <c r="P76" s="395"/>
      <c r="Q76" s="6"/>
      <c r="R76" s="622"/>
      <c r="S76" s="353" t="s">
        <v>150</v>
      </c>
      <c r="T76" s="183">
        <f t="shared" si="17"/>
        <v>300000</v>
      </c>
    </row>
    <row r="77" spans="1:20" ht="14.1" customHeight="1" x14ac:dyDescent="0.3">
      <c r="A77" s="622"/>
      <c r="B77" s="458" t="s">
        <v>151</v>
      </c>
      <c r="C77" s="392"/>
      <c r="D77" s="391"/>
      <c r="E77" s="392"/>
      <c r="F77" s="393"/>
      <c r="G77" s="392"/>
      <c r="H77" s="394"/>
      <c r="I77" s="392"/>
      <c r="J77" s="394"/>
      <c r="K77" s="392"/>
      <c r="L77" s="391"/>
      <c r="M77" s="392"/>
      <c r="N77" s="395"/>
      <c r="O77" s="396"/>
      <c r="P77" s="395"/>
      <c r="Q77" s="6"/>
      <c r="R77" s="622"/>
      <c r="S77" s="353" t="s">
        <v>151</v>
      </c>
      <c r="T77" s="183">
        <f t="shared" si="17"/>
        <v>50000000</v>
      </c>
    </row>
    <row r="78" spans="1:20" ht="14.1" customHeight="1" x14ac:dyDescent="0.3">
      <c r="A78" s="622"/>
      <c r="B78" s="458" t="s">
        <v>148</v>
      </c>
      <c r="C78" s="392"/>
      <c r="D78" s="391"/>
      <c r="E78" s="392"/>
      <c r="F78" s="393"/>
      <c r="G78" s="392"/>
      <c r="H78" s="394"/>
      <c r="I78" s="392"/>
      <c r="J78" s="394"/>
      <c r="K78" s="392"/>
      <c r="L78" s="391"/>
      <c r="M78" s="392"/>
      <c r="N78" s="395"/>
      <c r="O78" s="396"/>
      <c r="P78" s="395"/>
      <c r="Q78" s="6"/>
      <c r="R78" s="622"/>
      <c r="S78" s="353" t="s">
        <v>148</v>
      </c>
      <c r="T78" s="183">
        <f t="shared" si="17"/>
        <v>300000</v>
      </c>
    </row>
    <row r="79" spans="1:20" ht="14.1" customHeight="1" thickBot="1" x14ac:dyDescent="0.35">
      <c r="A79" s="623"/>
      <c r="B79" s="459" t="s">
        <v>89</v>
      </c>
      <c r="C79" s="398"/>
      <c r="D79" s="397"/>
      <c r="E79" s="398"/>
      <c r="F79" s="399"/>
      <c r="G79" s="398"/>
      <c r="H79" s="400"/>
      <c r="I79" s="398"/>
      <c r="J79" s="400"/>
      <c r="K79" s="398"/>
      <c r="L79" s="397"/>
      <c r="M79" s="398"/>
      <c r="N79" s="401"/>
      <c r="O79" s="402"/>
      <c r="P79" s="401"/>
      <c r="Q79" s="6"/>
      <c r="R79" s="623"/>
      <c r="S79" s="354" t="s">
        <v>89</v>
      </c>
      <c r="T79" s="183">
        <f t="shared" si="17"/>
        <v>0</v>
      </c>
    </row>
    <row r="80" spans="1:20" ht="14.1" customHeight="1" x14ac:dyDescent="0.3">
      <c r="A80" s="624" t="s">
        <v>50</v>
      </c>
      <c r="B80" s="460" t="s">
        <v>203</v>
      </c>
      <c r="C80" s="386"/>
      <c r="D80" s="403"/>
      <c r="E80" s="386"/>
      <c r="F80" s="388"/>
      <c r="G80" s="386"/>
      <c r="H80" s="388"/>
      <c r="I80" s="386"/>
      <c r="J80" s="388"/>
      <c r="K80" s="386"/>
      <c r="L80" s="405"/>
      <c r="M80" s="386"/>
      <c r="N80" s="385"/>
      <c r="O80" s="386"/>
      <c r="P80" s="389"/>
      <c r="Q80" s="6"/>
      <c r="R80" s="626" t="s">
        <v>50</v>
      </c>
      <c r="S80" s="490" t="s">
        <v>168</v>
      </c>
      <c r="T80" s="182">
        <f t="shared" si="17"/>
        <v>30000000</v>
      </c>
    </row>
    <row r="81" spans="1:20" ht="14.1" customHeight="1" x14ac:dyDescent="0.3">
      <c r="A81" s="625"/>
      <c r="B81" s="481" t="s">
        <v>205</v>
      </c>
      <c r="C81" s="392"/>
      <c r="D81" s="407"/>
      <c r="E81" s="392"/>
      <c r="F81" s="404"/>
      <c r="G81" s="392"/>
      <c r="H81" s="404"/>
      <c r="I81" s="392"/>
      <c r="J81" s="404"/>
      <c r="K81" s="392"/>
      <c r="L81" s="408"/>
      <c r="M81" s="392"/>
      <c r="N81" s="406"/>
      <c r="O81" s="409"/>
      <c r="P81" s="410"/>
      <c r="Q81" s="6"/>
      <c r="R81" s="627"/>
      <c r="S81" s="491" t="s">
        <v>205</v>
      </c>
      <c r="T81" s="183">
        <f t="shared" si="17"/>
        <v>3000000</v>
      </c>
    </row>
    <row r="82" spans="1:20" ht="14.1" customHeight="1" thickBot="1" x14ac:dyDescent="0.35">
      <c r="A82" s="625"/>
      <c r="B82" s="553" t="s">
        <v>211</v>
      </c>
      <c r="C82" s="398"/>
      <c r="D82" s="564"/>
      <c r="E82" s="398"/>
      <c r="F82" s="534"/>
      <c r="G82" s="398"/>
      <c r="H82" s="534"/>
      <c r="I82" s="398"/>
      <c r="J82" s="534"/>
      <c r="K82" s="398"/>
      <c r="L82" s="436"/>
      <c r="M82" s="435"/>
      <c r="N82" s="437"/>
      <c r="O82" s="435"/>
      <c r="P82" s="565"/>
      <c r="Q82" s="6"/>
      <c r="R82" s="627"/>
      <c r="S82" s="566" t="s">
        <v>211</v>
      </c>
      <c r="T82" s="184">
        <f t="shared" si="17"/>
        <v>30000000</v>
      </c>
    </row>
    <row r="83" spans="1:20" ht="14.1" customHeight="1" x14ac:dyDescent="0.3">
      <c r="A83" s="625"/>
      <c r="B83" s="554" t="s">
        <v>163</v>
      </c>
      <c r="C83" s="409"/>
      <c r="D83" s="407"/>
      <c r="E83" s="409"/>
      <c r="F83" s="404"/>
      <c r="G83" s="409"/>
      <c r="H83" s="404"/>
      <c r="I83" s="409"/>
      <c r="J83" s="404"/>
      <c r="K83" s="409"/>
      <c r="L83" s="408"/>
      <c r="M83" s="409"/>
      <c r="N83" s="406"/>
      <c r="O83" s="409"/>
      <c r="P83" s="410"/>
      <c r="Q83" s="6"/>
      <c r="R83" s="627"/>
      <c r="S83" s="343" t="s">
        <v>163</v>
      </c>
      <c r="T83" s="563">
        <f t="shared" si="17"/>
        <v>4000000</v>
      </c>
    </row>
    <row r="84" spans="1:20" ht="14.1" customHeight="1" x14ac:dyDescent="0.3">
      <c r="A84" s="625"/>
      <c r="B84" s="555" t="s">
        <v>162</v>
      </c>
      <c r="C84" s="392"/>
      <c r="D84" s="407"/>
      <c r="E84" s="392"/>
      <c r="F84" s="404"/>
      <c r="G84" s="392"/>
      <c r="H84" s="404"/>
      <c r="I84" s="392"/>
      <c r="J84" s="404"/>
      <c r="K84" s="392"/>
      <c r="L84" s="408"/>
      <c r="M84" s="409"/>
      <c r="N84" s="406"/>
      <c r="O84" s="409"/>
      <c r="P84" s="410"/>
      <c r="Q84" s="6"/>
      <c r="R84" s="627"/>
      <c r="S84" s="326" t="s">
        <v>162</v>
      </c>
      <c r="T84" s="183">
        <f t="shared" si="17"/>
        <v>0</v>
      </c>
    </row>
    <row r="85" spans="1:20" ht="14.1" customHeight="1" x14ac:dyDescent="0.3">
      <c r="A85" s="625"/>
      <c r="B85" s="556" t="s">
        <v>164</v>
      </c>
      <c r="C85" s="392"/>
      <c r="D85" s="407"/>
      <c r="E85" s="392"/>
      <c r="F85" s="404"/>
      <c r="G85" s="392"/>
      <c r="H85" s="404"/>
      <c r="I85" s="392"/>
      <c r="J85" s="404"/>
      <c r="K85" s="392"/>
      <c r="L85" s="408"/>
      <c r="M85" s="409"/>
      <c r="N85" s="406"/>
      <c r="O85" s="409"/>
      <c r="P85" s="410"/>
      <c r="Q85" s="6"/>
      <c r="R85" s="627"/>
      <c r="S85" s="343" t="s">
        <v>164</v>
      </c>
      <c r="T85" s="183">
        <f t="shared" si="17"/>
        <v>0</v>
      </c>
    </row>
    <row r="86" spans="1:20" ht="14.1" customHeight="1" x14ac:dyDescent="0.3">
      <c r="A86" s="625"/>
      <c r="B86" s="555" t="s">
        <v>165</v>
      </c>
      <c r="C86" s="392"/>
      <c r="D86" s="407"/>
      <c r="E86" s="392"/>
      <c r="F86" s="404"/>
      <c r="G86" s="392"/>
      <c r="H86" s="404"/>
      <c r="I86" s="392"/>
      <c r="J86" s="404"/>
      <c r="K86" s="392"/>
      <c r="L86" s="408"/>
      <c r="M86" s="409"/>
      <c r="N86" s="406"/>
      <c r="O86" s="409"/>
      <c r="P86" s="410"/>
      <c r="Q86" s="6"/>
      <c r="R86" s="627"/>
      <c r="S86" s="326" t="s">
        <v>165</v>
      </c>
      <c r="T86" s="183">
        <f t="shared" si="17"/>
        <v>0</v>
      </c>
    </row>
    <row r="87" spans="1:20" ht="14.1" customHeight="1" x14ac:dyDescent="0.3">
      <c r="A87" s="625"/>
      <c r="B87" s="555" t="s">
        <v>184</v>
      </c>
      <c r="C87" s="392"/>
      <c r="D87" s="407"/>
      <c r="E87" s="392"/>
      <c r="F87" s="404"/>
      <c r="G87" s="392"/>
      <c r="H87" s="404"/>
      <c r="I87" s="392"/>
      <c r="J87" s="404"/>
      <c r="K87" s="392"/>
      <c r="L87" s="408"/>
      <c r="M87" s="409"/>
      <c r="N87" s="406"/>
      <c r="O87" s="409"/>
      <c r="P87" s="410"/>
      <c r="Q87" s="6"/>
      <c r="R87" s="627"/>
      <c r="S87" s="326" t="s">
        <v>184</v>
      </c>
      <c r="T87" s="183">
        <f t="shared" si="17"/>
        <v>0</v>
      </c>
    </row>
    <row r="88" spans="1:20" ht="14.1" customHeight="1" x14ac:dyDescent="0.3">
      <c r="A88" s="625"/>
      <c r="B88" s="555" t="s">
        <v>185</v>
      </c>
      <c r="C88" s="392"/>
      <c r="D88" s="407"/>
      <c r="E88" s="392"/>
      <c r="F88" s="404"/>
      <c r="G88" s="392"/>
      <c r="H88" s="404"/>
      <c r="I88" s="392"/>
      <c r="J88" s="404"/>
      <c r="K88" s="392"/>
      <c r="L88" s="408"/>
      <c r="M88" s="409"/>
      <c r="N88" s="406"/>
      <c r="O88" s="409"/>
      <c r="P88" s="410"/>
      <c r="Q88" s="6"/>
      <c r="R88" s="627"/>
      <c r="S88" s="326" t="s">
        <v>185</v>
      </c>
      <c r="T88" s="183">
        <f t="shared" si="17"/>
        <v>0</v>
      </c>
    </row>
    <row r="89" spans="1:20" ht="14.1" customHeight="1" x14ac:dyDescent="0.3">
      <c r="A89" s="625"/>
      <c r="B89" s="556" t="s">
        <v>166</v>
      </c>
      <c r="C89" s="392"/>
      <c r="D89" s="407"/>
      <c r="E89" s="411"/>
      <c r="F89" s="406"/>
      <c r="G89" s="411"/>
      <c r="H89" s="404"/>
      <c r="I89" s="411"/>
      <c r="J89" s="404"/>
      <c r="K89" s="411"/>
      <c r="L89" s="408"/>
      <c r="M89" s="412"/>
      <c r="N89" s="406"/>
      <c r="O89" s="409"/>
      <c r="P89" s="410"/>
      <c r="Q89" s="6"/>
      <c r="R89" s="627"/>
      <c r="S89" s="343" t="s">
        <v>166</v>
      </c>
      <c r="T89" s="183">
        <f t="shared" si="17"/>
        <v>0</v>
      </c>
    </row>
    <row r="90" spans="1:20" ht="14.1" customHeight="1" x14ac:dyDescent="0.3">
      <c r="A90" s="625"/>
      <c r="B90" s="555" t="s">
        <v>167</v>
      </c>
      <c r="C90" s="411"/>
      <c r="D90" s="413"/>
      <c r="E90" s="411"/>
      <c r="F90" s="406"/>
      <c r="G90" s="411"/>
      <c r="H90" s="404"/>
      <c r="I90" s="411"/>
      <c r="J90" s="404"/>
      <c r="K90" s="411"/>
      <c r="L90" s="408"/>
      <c r="M90" s="412"/>
      <c r="N90" s="406"/>
      <c r="O90" s="412"/>
      <c r="P90" s="414"/>
      <c r="Q90" s="6"/>
      <c r="R90" s="627"/>
      <c r="S90" s="326" t="s">
        <v>167</v>
      </c>
      <c r="T90" s="183">
        <f t="shared" si="17"/>
        <v>0</v>
      </c>
    </row>
    <row r="91" spans="1:20" ht="14.1" customHeight="1" thickBot="1" x14ac:dyDescent="0.35">
      <c r="A91" s="625"/>
      <c r="B91" s="557" t="s">
        <v>186</v>
      </c>
      <c r="C91" s="398"/>
      <c r="D91" s="397"/>
      <c r="E91" s="398"/>
      <c r="F91" s="415"/>
      <c r="G91" s="398"/>
      <c r="H91" s="404"/>
      <c r="I91" s="398"/>
      <c r="J91" s="404"/>
      <c r="K91" s="398"/>
      <c r="L91" s="408"/>
      <c r="M91" s="398"/>
      <c r="N91" s="406"/>
      <c r="O91" s="402"/>
      <c r="P91" s="401"/>
      <c r="Q91" s="6"/>
      <c r="R91" s="627"/>
      <c r="S91" s="327" t="s">
        <v>186</v>
      </c>
      <c r="T91" s="560">
        <f t="shared" si="17"/>
        <v>0</v>
      </c>
    </row>
    <row r="92" spans="1:20" ht="14.1" customHeight="1" x14ac:dyDescent="0.3">
      <c r="A92" s="628" t="s">
        <v>19</v>
      </c>
      <c r="B92" s="461" t="s">
        <v>193</v>
      </c>
      <c r="C92" s="392"/>
      <c r="D92" s="385"/>
      <c r="E92" s="392"/>
      <c r="F92" s="388"/>
      <c r="G92" s="392"/>
      <c r="H92" s="388"/>
      <c r="I92" s="392"/>
      <c r="J92" s="388"/>
      <c r="K92" s="392"/>
      <c r="L92" s="405"/>
      <c r="M92" s="386"/>
      <c r="N92" s="385"/>
      <c r="O92" s="396"/>
      <c r="P92" s="389"/>
      <c r="Q92" s="6"/>
      <c r="R92" s="630" t="s">
        <v>19</v>
      </c>
      <c r="S92" s="379" t="s">
        <v>51</v>
      </c>
      <c r="T92" s="182">
        <f t="shared" si="17"/>
        <v>0</v>
      </c>
    </row>
    <row r="93" spans="1:20" ht="14.1" customHeight="1" x14ac:dyDescent="0.3">
      <c r="A93" s="629"/>
      <c r="B93" s="462" t="s">
        <v>194</v>
      </c>
      <c r="C93" s="392"/>
      <c r="D93" s="406"/>
      <c r="E93" s="409"/>
      <c r="F93" s="404"/>
      <c r="G93" s="392"/>
      <c r="H93" s="404"/>
      <c r="I93" s="392"/>
      <c r="J93" s="404"/>
      <c r="K93" s="392"/>
      <c r="L93" s="408"/>
      <c r="M93" s="409"/>
      <c r="N93" s="406"/>
      <c r="O93" s="396"/>
      <c r="P93" s="410"/>
      <c r="Q93" s="6"/>
      <c r="R93" s="631"/>
      <c r="S93" s="380" t="s">
        <v>43</v>
      </c>
      <c r="T93" s="183">
        <f t="shared" si="17"/>
        <v>30000000</v>
      </c>
    </row>
    <row r="94" spans="1:20" ht="14.1" customHeight="1" thickBot="1" x14ac:dyDescent="0.35">
      <c r="A94" s="629"/>
      <c r="B94" s="463" t="s">
        <v>195</v>
      </c>
      <c r="C94" s="412"/>
      <c r="D94" s="416"/>
      <c r="E94" s="412"/>
      <c r="F94" s="417"/>
      <c r="G94" s="412"/>
      <c r="H94" s="417"/>
      <c r="I94" s="412"/>
      <c r="J94" s="417"/>
      <c r="K94" s="412"/>
      <c r="L94" s="418"/>
      <c r="M94" s="412"/>
      <c r="N94" s="416"/>
      <c r="O94" s="419"/>
      <c r="P94" s="414"/>
      <c r="Q94" s="6"/>
      <c r="R94" s="631"/>
      <c r="S94" s="381" t="s">
        <v>53</v>
      </c>
      <c r="T94" s="184">
        <f t="shared" si="17"/>
        <v>0</v>
      </c>
    </row>
    <row r="95" spans="1:20" ht="14.1" customHeight="1" x14ac:dyDescent="0.3">
      <c r="A95" s="629"/>
      <c r="B95" s="461" t="s">
        <v>196</v>
      </c>
      <c r="C95" s="386"/>
      <c r="D95" s="385"/>
      <c r="E95" s="386"/>
      <c r="F95" s="388"/>
      <c r="G95" s="386"/>
      <c r="H95" s="388"/>
      <c r="I95" s="386"/>
      <c r="J95" s="388"/>
      <c r="K95" s="386"/>
      <c r="L95" s="405"/>
      <c r="M95" s="386"/>
      <c r="N95" s="385"/>
      <c r="O95" s="390"/>
      <c r="P95" s="389"/>
      <c r="Q95" s="6"/>
      <c r="R95" s="631"/>
      <c r="S95" s="358" t="s">
        <v>65</v>
      </c>
      <c r="T95" s="563">
        <f t="shared" si="17"/>
        <v>0</v>
      </c>
    </row>
    <row r="96" spans="1:20" ht="14.1" customHeight="1" x14ac:dyDescent="0.3">
      <c r="A96" s="629"/>
      <c r="B96" s="488" t="s">
        <v>197</v>
      </c>
      <c r="C96" s="392"/>
      <c r="D96" s="406"/>
      <c r="E96" s="392"/>
      <c r="F96" s="404"/>
      <c r="G96" s="392"/>
      <c r="H96" s="404"/>
      <c r="I96" s="392"/>
      <c r="J96" s="404"/>
      <c r="K96" s="392"/>
      <c r="L96" s="408"/>
      <c r="M96" s="392"/>
      <c r="N96" s="406"/>
      <c r="O96" s="396"/>
      <c r="P96" s="410"/>
      <c r="Q96" s="6"/>
      <c r="R96" s="631"/>
      <c r="S96" s="359" t="s">
        <v>8</v>
      </c>
      <c r="T96" s="183">
        <f t="shared" si="17"/>
        <v>0</v>
      </c>
    </row>
    <row r="97" spans="1:20" ht="14.1" customHeight="1" thickBot="1" x14ac:dyDescent="0.35">
      <c r="A97" s="629"/>
      <c r="B97" s="489" t="s">
        <v>198</v>
      </c>
      <c r="C97" s="398"/>
      <c r="D97" s="397"/>
      <c r="E97" s="398"/>
      <c r="F97" s="400"/>
      <c r="G97" s="398"/>
      <c r="H97" s="400"/>
      <c r="I97" s="398"/>
      <c r="J97" s="400"/>
      <c r="K97" s="398"/>
      <c r="L97" s="420"/>
      <c r="M97" s="398"/>
      <c r="N97" s="397"/>
      <c r="O97" s="402"/>
      <c r="P97" s="421"/>
      <c r="Q97" s="6"/>
      <c r="R97" s="631"/>
      <c r="S97" s="360" t="s">
        <v>5</v>
      </c>
      <c r="T97" s="560">
        <f t="shared" si="17"/>
        <v>30000000</v>
      </c>
    </row>
    <row r="98" spans="1:20" ht="14.1" customHeight="1" x14ac:dyDescent="0.3">
      <c r="A98" s="629"/>
      <c r="B98" s="461" t="s">
        <v>210</v>
      </c>
      <c r="C98" s="386"/>
      <c r="D98" s="385"/>
      <c r="E98" s="386"/>
      <c r="F98" s="388"/>
      <c r="G98" s="386"/>
      <c r="H98" s="388"/>
      <c r="I98" s="386"/>
      <c r="J98" s="388"/>
      <c r="K98" s="386"/>
      <c r="L98" s="405"/>
      <c r="M98" s="386"/>
      <c r="N98" s="385"/>
      <c r="O98" s="390"/>
      <c r="P98" s="389"/>
      <c r="Q98" s="6"/>
      <c r="R98" s="631"/>
      <c r="S98" s="361" t="s">
        <v>199</v>
      </c>
      <c r="T98" s="182">
        <f t="shared" si="17"/>
        <v>0</v>
      </c>
    </row>
    <row r="99" spans="1:20" ht="14.1" customHeight="1" x14ac:dyDescent="0.3">
      <c r="A99" s="629"/>
      <c r="B99" s="488" t="s">
        <v>200</v>
      </c>
      <c r="C99" s="392"/>
      <c r="D99" s="406"/>
      <c r="E99" s="392"/>
      <c r="F99" s="404"/>
      <c r="G99" s="392"/>
      <c r="H99" s="404"/>
      <c r="I99" s="392"/>
      <c r="J99" s="404"/>
      <c r="K99" s="392"/>
      <c r="L99" s="408"/>
      <c r="M99" s="392"/>
      <c r="N99" s="406"/>
      <c r="O99" s="396"/>
      <c r="P99" s="410"/>
      <c r="Q99" s="6"/>
      <c r="R99" s="631"/>
      <c r="S99" s="362" t="s">
        <v>200</v>
      </c>
      <c r="T99" s="183">
        <f t="shared" si="17"/>
        <v>0</v>
      </c>
    </row>
    <row r="100" spans="1:20" ht="14.1" customHeight="1" thickBot="1" x14ac:dyDescent="0.35">
      <c r="A100" s="629"/>
      <c r="B100" s="489" t="s">
        <v>209</v>
      </c>
      <c r="C100" s="398"/>
      <c r="D100" s="397"/>
      <c r="E100" s="398"/>
      <c r="F100" s="400"/>
      <c r="G100" s="398"/>
      <c r="H100" s="400"/>
      <c r="I100" s="398"/>
      <c r="J100" s="400"/>
      <c r="K100" s="398"/>
      <c r="L100" s="420"/>
      <c r="M100" s="398"/>
      <c r="N100" s="397"/>
      <c r="O100" s="402"/>
      <c r="P100" s="421"/>
      <c r="Q100" s="6"/>
      <c r="R100" s="631"/>
      <c r="S100" s="363" t="s">
        <v>201</v>
      </c>
      <c r="T100" s="184">
        <f t="shared" si="17"/>
        <v>0</v>
      </c>
    </row>
    <row r="101" spans="1:20" ht="14.1" customHeight="1" x14ac:dyDescent="0.3">
      <c r="A101" s="611" t="s">
        <v>16</v>
      </c>
      <c r="B101" s="464" t="s">
        <v>36</v>
      </c>
      <c r="C101" s="386"/>
      <c r="D101" s="422"/>
      <c r="E101" s="386"/>
      <c r="F101" s="388"/>
      <c r="G101" s="386"/>
      <c r="H101" s="388"/>
      <c r="I101" s="386"/>
      <c r="J101" s="388"/>
      <c r="K101" s="386"/>
      <c r="L101" s="405"/>
      <c r="M101" s="386"/>
      <c r="N101" s="385"/>
      <c r="O101" s="390"/>
      <c r="P101" s="389"/>
      <c r="Q101" s="6"/>
      <c r="R101" s="611" t="s">
        <v>16</v>
      </c>
      <c r="S101" s="364" t="s">
        <v>36</v>
      </c>
      <c r="T101" s="563">
        <f t="shared" ref="T101:T117" si="18">T38+C101+E101+G101+I101+K101+M101+O101</f>
        <v>10000000</v>
      </c>
    </row>
    <row r="102" spans="1:20" ht="14.1" customHeight="1" x14ac:dyDescent="0.3">
      <c r="A102" s="612"/>
      <c r="B102" s="465" t="s">
        <v>81</v>
      </c>
      <c r="C102" s="392"/>
      <c r="D102" s="423"/>
      <c r="E102" s="392"/>
      <c r="F102" s="424"/>
      <c r="G102" s="392"/>
      <c r="H102" s="394"/>
      <c r="I102" s="392"/>
      <c r="J102" s="394"/>
      <c r="K102" s="392"/>
      <c r="L102" s="425"/>
      <c r="M102" s="392"/>
      <c r="N102" s="391"/>
      <c r="O102" s="396"/>
      <c r="P102" s="395"/>
      <c r="Q102" s="6"/>
      <c r="R102" s="612"/>
      <c r="S102" s="365" t="s">
        <v>81</v>
      </c>
      <c r="T102" s="183">
        <f t="shared" si="18"/>
        <v>0</v>
      </c>
    </row>
    <row r="103" spans="1:20" ht="14.1" customHeight="1" x14ac:dyDescent="0.3">
      <c r="A103" s="612"/>
      <c r="B103" s="465" t="s">
        <v>78</v>
      </c>
      <c r="C103" s="392"/>
      <c r="D103" s="426"/>
      <c r="E103" s="392"/>
      <c r="F103" s="426"/>
      <c r="G103" s="392"/>
      <c r="H103" s="391"/>
      <c r="I103" s="392"/>
      <c r="J103" s="391"/>
      <c r="K103" s="392"/>
      <c r="L103" s="425"/>
      <c r="M103" s="392"/>
      <c r="N103" s="391"/>
      <c r="O103" s="396"/>
      <c r="P103" s="395"/>
      <c r="Q103" s="6"/>
      <c r="R103" s="612"/>
      <c r="S103" s="365" t="s">
        <v>78</v>
      </c>
      <c r="T103" s="183">
        <f t="shared" si="18"/>
        <v>0</v>
      </c>
    </row>
    <row r="104" spans="1:20" ht="14.1" customHeight="1" thickBot="1" x14ac:dyDescent="0.35">
      <c r="A104" s="613"/>
      <c r="B104" s="466" t="s">
        <v>87</v>
      </c>
      <c r="C104" s="398"/>
      <c r="D104" s="427"/>
      <c r="E104" s="398"/>
      <c r="F104" s="427"/>
      <c r="G104" s="392"/>
      <c r="H104" s="397"/>
      <c r="I104" s="392"/>
      <c r="J104" s="397"/>
      <c r="K104" s="392"/>
      <c r="L104" s="420"/>
      <c r="M104" s="398"/>
      <c r="N104" s="397"/>
      <c r="O104" s="402"/>
      <c r="P104" s="401"/>
      <c r="Q104" s="6"/>
      <c r="R104" s="613"/>
      <c r="S104" s="366" t="s">
        <v>87</v>
      </c>
      <c r="T104" s="560">
        <f t="shared" si="18"/>
        <v>150000000</v>
      </c>
    </row>
    <row r="105" spans="1:20" ht="14.1" customHeight="1" x14ac:dyDescent="0.3">
      <c r="A105" s="614" t="s">
        <v>47</v>
      </c>
      <c r="B105" s="467" t="s">
        <v>48</v>
      </c>
      <c r="C105" s="409"/>
      <c r="D105" s="428"/>
      <c r="E105" s="386"/>
      <c r="F105" s="388"/>
      <c r="G105" s="386"/>
      <c r="H105" s="385"/>
      <c r="I105" s="386"/>
      <c r="J105" s="385"/>
      <c r="K105" s="386"/>
      <c r="L105" s="405"/>
      <c r="M105" s="386"/>
      <c r="N105" s="385"/>
      <c r="O105" s="390"/>
      <c r="P105" s="389"/>
      <c r="Q105" s="6"/>
      <c r="R105" s="614" t="s">
        <v>47</v>
      </c>
      <c r="S105" s="367" t="s">
        <v>48</v>
      </c>
      <c r="T105" s="182">
        <f t="shared" si="18"/>
        <v>0</v>
      </c>
    </row>
    <row r="106" spans="1:20" ht="14.1" customHeight="1" x14ac:dyDescent="0.3">
      <c r="A106" s="615"/>
      <c r="B106" s="468" t="s">
        <v>44</v>
      </c>
      <c r="C106" s="392"/>
      <c r="D106" s="424"/>
      <c r="E106" s="392"/>
      <c r="F106" s="394"/>
      <c r="G106" s="392"/>
      <c r="H106" s="391"/>
      <c r="I106" s="392"/>
      <c r="J106" s="391"/>
      <c r="K106" s="392"/>
      <c r="L106" s="425"/>
      <c r="M106" s="392"/>
      <c r="N106" s="391"/>
      <c r="O106" s="396"/>
      <c r="P106" s="395"/>
      <c r="Q106" s="6"/>
      <c r="R106" s="615"/>
      <c r="S106" s="368" t="s">
        <v>44</v>
      </c>
      <c r="T106" s="183">
        <f t="shared" si="18"/>
        <v>130000000</v>
      </c>
    </row>
    <row r="107" spans="1:20" ht="14.1" customHeight="1" thickBot="1" x14ac:dyDescent="0.35">
      <c r="A107" s="616"/>
      <c r="B107" s="469" t="s">
        <v>54</v>
      </c>
      <c r="C107" s="398"/>
      <c r="D107" s="429"/>
      <c r="E107" s="398"/>
      <c r="F107" s="400"/>
      <c r="G107" s="398"/>
      <c r="H107" s="397"/>
      <c r="I107" s="398"/>
      <c r="J107" s="397"/>
      <c r="K107" s="398"/>
      <c r="L107" s="420"/>
      <c r="M107" s="398"/>
      <c r="N107" s="397"/>
      <c r="O107" s="430"/>
      <c r="P107" s="410"/>
      <c r="Q107" s="6"/>
      <c r="R107" s="616"/>
      <c r="S107" s="369" t="s">
        <v>54</v>
      </c>
      <c r="T107" s="184">
        <f t="shared" si="18"/>
        <v>150000000</v>
      </c>
    </row>
    <row r="108" spans="1:20" ht="14.1" customHeight="1" x14ac:dyDescent="0.3">
      <c r="A108" s="617" t="s">
        <v>39</v>
      </c>
      <c r="B108" s="470" t="s">
        <v>44</v>
      </c>
      <c r="C108" s="386"/>
      <c r="D108" s="403"/>
      <c r="E108" s="386"/>
      <c r="F108" s="404"/>
      <c r="G108" s="386"/>
      <c r="H108" s="406"/>
      <c r="I108" s="386"/>
      <c r="J108" s="406"/>
      <c r="K108" s="386"/>
      <c r="L108" s="405"/>
      <c r="M108" s="409"/>
      <c r="N108" s="406"/>
      <c r="O108" s="390"/>
      <c r="P108" s="389"/>
      <c r="Q108" s="6"/>
      <c r="R108" s="617" t="s">
        <v>39</v>
      </c>
      <c r="S108" s="480" t="s">
        <v>44</v>
      </c>
      <c r="T108" s="563">
        <f t="shared" si="18"/>
        <v>30</v>
      </c>
    </row>
    <row r="109" spans="1:20" ht="14.1" customHeight="1" x14ac:dyDescent="0.3">
      <c r="A109" s="618"/>
      <c r="B109" s="470" t="s">
        <v>54</v>
      </c>
      <c r="C109" s="392"/>
      <c r="D109" s="426"/>
      <c r="E109" s="392"/>
      <c r="F109" s="394"/>
      <c r="G109" s="392"/>
      <c r="H109" s="391"/>
      <c r="I109" s="392"/>
      <c r="J109" s="391"/>
      <c r="K109" s="392"/>
      <c r="L109" s="425"/>
      <c r="M109" s="392"/>
      <c r="N109" s="406"/>
      <c r="O109" s="396"/>
      <c r="P109" s="395"/>
      <c r="Q109" s="6"/>
      <c r="R109" s="618"/>
      <c r="S109" s="480" t="s">
        <v>54</v>
      </c>
      <c r="T109" s="183">
        <f t="shared" si="18"/>
        <v>30</v>
      </c>
    </row>
    <row r="110" spans="1:20" ht="14.1" customHeight="1" x14ac:dyDescent="0.3">
      <c r="A110" s="618"/>
      <c r="B110" s="470" t="s">
        <v>204</v>
      </c>
      <c r="C110" s="392"/>
      <c r="D110" s="426"/>
      <c r="E110" s="392"/>
      <c r="F110" s="404"/>
      <c r="G110" s="392"/>
      <c r="H110" s="406"/>
      <c r="I110" s="392"/>
      <c r="J110" s="406"/>
      <c r="K110" s="392"/>
      <c r="L110" s="408"/>
      <c r="M110" s="392"/>
      <c r="N110" s="406"/>
      <c r="O110" s="396"/>
      <c r="P110" s="395"/>
      <c r="Q110" s="6"/>
      <c r="R110" s="618"/>
      <c r="S110" s="480" t="s">
        <v>204</v>
      </c>
      <c r="T110" s="183">
        <f t="shared" si="18"/>
        <v>0</v>
      </c>
    </row>
    <row r="111" spans="1:20" ht="14.1" customHeight="1" thickBot="1" x14ac:dyDescent="0.35">
      <c r="A111" s="618"/>
      <c r="B111" s="471" t="s">
        <v>113</v>
      </c>
      <c r="C111" s="411"/>
      <c r="D111" s="427"/>
      <c r="E111" s="411"/>
      <c r="F111" s="417"/>
      <c r="G111" s="411"/>
      <c r="H111" s="416"/>
      <c r="I111" s="411"/>
      <c r="J111" s="416"/>
      <c r="K111" s="411"/>
      <c r="L111" s="431"/>
      <c r="M111" s="411"/>
      <c r="N111" s="432"/>
      <c r="O111" s="433"/>
      <c r="P111" s="421"/>
      <c r="Q111" s="6"/>
      <c r="R111" s="618"/>
      <c r="S111" s="513" t="s">
        <v>113</v>
      </c>
      <c r="T111" s="560">
        <f t="shared" si="18"/>
        <v>0</v>
      </c>
    </row>
    <row r="112" spans="1:20" ht="14.1" customHeight="1" x14ac:dyDescent="0.3">
      <c r="A112" s="603" t="s">
        <v>215</v>
      </c>
      <c r="B112" s="472" t="s">
        <v>45</v>
      </c>
      <c r="C112" s="386"/>
      <c r="D112" s="403"/>
      <c r="E112" s="386"/>
      <c r="F112" s="388"/>
      <c r="G112" s="386"/>
      <c r="H112" s="385"/>
      <c r="I112" s="386"/>
      <c r="J112" s="385"/>
      <c r="K112" s="386"/>
      <c r="L112" s="405"/>
      <c r="M112" s="386"/>
      <c r="N112" s="385"/>
      <c r="O112" s="390"/>
      <c r="P112" s="389"/>
      <c r="Q112" s="6"/>
      <c r="R112" s="603" t="s">
        <v>215</v>
      </c>
      <c r="S112" s="483" t="s">
        <v>45</v>
      </c>
      <c r="T112" s="182">
        <f t="shared" si="18"/>
        <v>40</v>
      </c>
    </row>
    <row r="113" spans="1:20" ht="14.1" customHeight="1" thickBot="1" x14ac:dyDescent="0.35">
      <c r="A113" s="604"/>
      <c r="B113" s="482" t="s">
        <v>42</v>
      </c>
      <c r="C113" s="435"/>
      <c r="D113" s="434"/>
      <c r="E113" s="435"/>
      <c r="F113" s="400"/>
      <c r="G113" s="435"/>
      <c r="H113" s="397"/>
      <c r="I113" s="435"/>
      <c r="J113" s="397"/>
      <c r="K113" s="435"/>
      <c r="L113" s="436"/>
      <c r="M113" s="435"/>
      <c r="N113" s="437"/>
      <c r="O113" s="438"/>
      <c r="P113" s="401"/>
      <c r="Q113" s="6"/>
      <c r="R113" s="604"/>
      <c r="S113" s="503" t="s">
        <v>42</v>
      </c>
      <c r="T113" s="184">
        <f t="shared" si="18"/>
        <v>0</v>
      </c>
    </row>
    <row r="114" spans="1:20" ht="14.1" customHeight="1" x14ac:dyDescent="0.3">
      <c r="A114" s="605" t="s">
        <v>206</v>
      </c>
      <c r="B114" s="484" t="s">
        <v>207</v>
      </c>
      <c r="C114" s="412"/>
      <c r="D114" s="439"/>
      <c r="E114" s="412"/>
      <c r="F114" s="417"/>
      <c r="G114" s="412"/>
      <c r="H114" s="416"/>
      <c r="I114" s="412"/>
      <c r="J114" s="416"/>
      <c r="K114" s="412"/>
      <c r="L114" s="418"/>
      <c r="M114" s="412"/>
      <c r="N114" s="416"/>
      <c r="O114" s="419"/>
      <c r="P114" s="414"/>
      <c r="Q114" s="6"/>
      <c r="R114" s="605" t="s">
        <v>206</v>
      </c>
      <c r="S114" s="486" t="s">
        <v>207</v>
      </c>
      <c r="T114" s="183">
        <f t="shared" si="18"/>
        <v>6</v>
      </c>
    </row>
    <row r="115" spans="1:20" ht="14.1" customHeight="1" thickBot="1" x14ac:dyDescent="0.35">
      <c r="A115" s="606"/>
      <c r="B115" s="485" t="s">
        <v>208</v>
      </c>
      <c r="C115" s="412"/>
      <c r="D115" s="439"/>
      <c r="E115" s="412"/>
      <c r="F115" s="417"/>
      <c r="G115" s="412"/>
      <c r="H115" s="416"/>
      <c r="I115" s="412"/>
      <c r="J115" s="416"/>
      <c r="K115" s="412"/>
      <c r="L115" s="418"/>
      <c r="M115" s="412"/>
      <c r="N115" s="416"/>
      <c r="O115" s="419"/>
      <c r="P115" s="414"/>
      <c r="Q115" s="6"/>
      <c r="R115" s="607"/>
      <c r="S115" s="559" t="s">
        <v>208</v>
      </c>
      <c r="T115" s="184">
        <f t="shared" si="18"/>
        <v>6</v>
      </c>
    </row>
    <row r="116" spans="1:20" ht="14.1" customHeight="1" x14ac:dyDescent="0.3">
      <c r="A116" s="608" t="s">
        <v>125</v>
      </c>
      <c r="B116" s="473" t="s">
        <v>126</v>
      </c>
      <c r="C116" s="386"/>
      <c r="D116" s="422"/>
      <c r="E116" s="386"/>
      <c r="F116" s="388"/>
      <c r="G116" s="386"/>
      <c r="H116" s="405"/>
      <c r="I116" s="386"/>
      <c r="J116" s="385"/>
      <c r="K116" s="386"/>
      <c r="L116" s="405"/>
      <c r="M116" s="386"/>
      <c r="N116" s="385"/>
      <c r="O116" s="390"/>
      <c r="P116" s="389"/>
      <c r="Q116" s="561"/>
      <c r="R116" s="610" t="s">
        <v>125</v>
      </c>
      <c r="S116" s="562" t="s">
        <v>126</v>
      </c>
      <c r="T116" s="183">
        <f t="shared" si="18"/>
        <v>0</v>
      </c>
    </row>
    <row r="117" spans="1:20" ht="14.1" customHeight="1" x14ac:dyDescent="0.3">
      <c r="A117" s="608"/>
      <c r="B117" s="474" t="s">
        <v>127</v>
      </c>
      <c r="C117" s="412"/>
      <c r="D117" s="439"/>
      <c r="E117" s="412"/>
      <c r="F117" s="404"/>
      <c r="G117" s="412"/>
      <c r="H117" s="408"/>
      <c r="I117" s="412"/>
      <c r="J117" s="406"/>
      <c r="K117" s="412"/>
      <c r="L117" s="418"/>
      <c r="M117" s="412"/>
      <c r="N117" s="416"/>
      <c r="O117" s="419"/>
      <c r="P117" s="414"/>
      <c r="Q117" s="6"/>
      <c r="R117" s="608"/>
      <c r="S117" s="504" t="s">
        <v>127</v>
      </c>
      <c r="T117" s="183">
        <f t="shared" si="18"/>
        <v>0</v>
      </c>
    </row>
    <row r="118" spans="1:20" ht="14.1" customHeight="1" thickBot="1" x14ac:dyDescent="0.35">
      <c r="A118" s="609"/>
      <c r="B118" s="475" t="s">
        <v>128</v>
      </c>
      <c r="C118" s="398"/>
      <c r="D118" s="440"/>
      <c r="E118" s="398"/>
      <c r="F118" s="404"/>
      <c r="G118" s="398"/>
      <c r="H118" s="408"/>
      <c r="I118" s="398"/>
      <c r="J118" s="406"/>
      <c r="K118" s="398"/>
      <c r="L118" s="420"/>
      <c r="M118" s="398"/>
      <c r="N118" s="397"/>
      <c r="O118" s="402"/>
      <c r="P118" s="401"/>
      <c r="Q118" s="6"/>
      <c r="R118" s="609"/>
      <c r="S118" s="505" t="s">
        <v>128</v>
      </c>
      <c r="T118" s="183">
        <f>T53+C118+E118+G118+I118+K118+M118+O118</f>
        <v>0</v>
      </c>
    </row>
    <row r="119" spans="1:20" ht="14.1" customHeight="1" x14ac:dyDescent="0.3">
      <c r="A119" s="582" t="s">
        <v>52</v>
      </c>
      <c r="B119" s="476" t="s">
        <v>41</v>
      </c>
      <c r="C119" s="386"/>
      <c r="D119" s="441"/>
      <c r="E119" s="390"/>
      <c r="F119" s="388"/>
      <c r="G119" s="386"/>
      <c r="H119" s="405"/>
      <c r="I119" s="386"/>
      <c r="J119" s="385"/>
      <c r="K119" s="386"/>
      <c r="L119" s="405"/>
      <c r="M119" s="386"/>
      <c r="N119" s="385"/>
      <c r="O119" s="396"/>
      <c r="P119" s="389"/>
      <c r="Q119" s="6"/>
      <c r="R119" s="582" t="s">
        <v>52</v>
      </c>
      <c r="S119" s="377" t="s">
        <v>41</v>
      </c>
      <c r="T119" s="182">
        <f>T56+C119+E119+G119+I119+K119+M119+O119</f>
        <v>0</v>
      </c>
    </row>
    <row r="120" spans="1:20" ht="14.1" customHeight="1" x14ac:dyDescent="0.3">
      <c r="A120" s="583"/>
      <c r="B120" s="476" t="s">
        <v>11</v>
      </c>
      <c r="C120" s="392"/>
      <c r="D120" s="442"/>
      <c r="E120" s="396"/>
      <c r="F120" s="394"/>
      <c r="G120" s="392"/>
      <c r="H120" s="425"/>
      <c r="I120" s="392"/>
      <c r="J120" s="443"/>
      <c r="K120" s="392"/>
      <c r="L120" s="425"/>
      <c r="M120" s="392"/>
      <c r="N120" s="391"/>
      <c r="O120" s="396"/>
      <c r="P120" s="395"/>
      <c r="Q120" s="6"/>
      <c r="R120" s="583"/>
      <c r="S120" s="377" t="s">
        <v>11</v>
      </c>
      <c r="T120" s="183">
        <f>T57+C120+E120+G120+I120+K120+M120+O120</f>
        <v>0</v>
      </c>
    </row>
    <row r="121" spans="1:20" ht="14.1" customHeight="1" thickBot="1" x14ac:dyDescent="0.35">
      <c r="A121" s="584"/>
      <c r="B121" s="477" t="s">
        <v>27</v>
      </c>
      <c r="C121" s="409"/>
      <c r="D121" s="423"/>
      <c r="E121" s="430"/>
      <c r="F121" s="404"/>
      <c r="G121" s="409"/>
      <c r="H121" s="408"/>
      <c r="I121" s="409"/>
      <c r="J121" s="391"/>
      <c r="K121" s="409"/>
      <c r="L121" s="408"/>
      <c r="M121" s="409"/>
      <c r="N121" s="406"/>
      <c r="O121" s="396"/>
      <c r="P121" s="395"/>
      <c r="Q121" s="6"/>
      <c r="R121" s="584"/>
      <c r="S121" s="378" t="s">
        <v>27</v>
      </c>
      <c r="T121" s="560">
        <f>T58+C121+E121+G121+I121+K121+M121+O121</f>
        <v>0</v>
      </c>
    </row>
    <row r="122" spans="1:20" ht="14.1" customHeight="1" thickBot="1" x14ac:dyDescent="0.35">
      <c r="A122" s="585" t="s">
        <v>30</v>
      </c>
      <c r="B122" s="586"/>
      <c r="C122" s="445"/>
      <c r="D122" s="444"/>
      <c r="E122" s="445"/>
      <c r="F122" s="446"/>
      <c r="G122" s="445"/>
      <c r="H122" s="447"/>
      <c r="I122" s="445"/>
      <c r="J122" s="448"/>
      <c r="K122" s="445"/>
      <c r="L122" s="447"/>
      <c r="M122" s="445"/>
      <c r="N122" s="448"/>
      <c r="O122" s="449"/>
      <c r="P122" s="450"/>
      <c r="Q122" s="6"/>
      <c r="R122" s="585" t="s">
        <v>30</v>
      </c>
      <c r="S122" s="587"/>
      <c r="T122" s="560">
        <f>T59+C122+E122+G122+I122+K122+M122+O122</f>
        <v>100000000</v>
      </c>
    </row>
    <row r="123" spans="1:20" ht="14.1" customHeight="1" x14ac:dyDescent="0.3">
      <c r="A123" s="588" t="s">
        <v>38</v>
      </c>
      <c r="B123" s="589"/>
      <c r="C123" s="451"/>
      <c r="D123" s="385"/>
      <c r="E123" s="451"/>
      <c r="F123" s="391"/>
      <c r="G123" s="451"/>
      <c r="H123" s="405"/>
      <c r="I123" s="451"/>
      <c r="J123" s="452"/>
      <c r="K123" s="453"/>
      <c r="L123" s="405"/>
      <c r="M123" s="451"/>
      <c r="N123" s="408"/>
      <c r="O123" s="451"/>
      <c r="P123" s="389"/>
      <c r="Q123" s="6"/>
      <c r="R123" s="594" t="s">
        <v>38</v>
      </c>
      <c r="S123" s="597"/>
      <c r="T123" s="598"/>
    </row>
    <row r="124" spans="1:20" ht="14.1" customHeight="1" x14ac:dyDescent="0.3">
      <c r="A124" s="590"/>
      <c r="B124" s="591"/>
      <c r="C124" s="453"/>
      <c r="D124" s="391"/>
      <c r="E124" s="453"/>
      <c r="F124" s="406"/>
      <c r="G124" s="453"/>
      <c r="H124" s="425"/>
      <c r="I124" s="453"/>
      <c r="J124" s="391"/>
      <c r="K124" s="454"/>
      <c r="L124" s="425"/>
      <c r="M124" s="453"/>
      <c r="N124" s="425"/>
      <c r="O124" s="453"/>
      <c r="P124" s="395"/>
      <c r="Q124" s="6"/>
      <c r="R124" s="595"/>
      <c r="S124" s="599"/>
      <c r="T124" s="600"/>
    </row>
    <row r="125" spans="1:20" ht="14.1" customHeight="1" x14ac:dyDescent="0.3">
      <c r="A125" s="590"/>
      <c r="B125" s="591"/>
      <c r="C125" s="453"/>
      <c r="D125" s="391"/>
      <c r="E125" s="453"/>
      <c r="F125" s="406"/>
      <c r="G125" s="453"/>
      <c r="H125" s="425"/>
      <c r="I125" s="453"/>
      <c r="J125" s="406"/>
      <c r="K125" s="453"/>
      <c r="L125" s="391"/>
      <c r="M125" s="453"/>
      <c r="N125" s="408"/>
      <c r="O125" s="453"/>
      <c r="P125" s="395"/>
      <c r="Q125" s="6"/>
      <c r="R125" s="595"/>
      <c r="S125" s="599"/>
      <c r="T125" s="600"/>
    </row>
    <row r="126" spans="1:20" ht="14.1" customHeight="1" thickBot="1" x14ac:dyDescent="0.35">
      <c r="A126" s="592"/>
      <c r="B126" s="593"/>
      <c r="C126" s="455"/>
      <c r="D126" s="397"/>
      <c r="E126" s="455"/>
      <c r="F126" s="456"/>
      <c r="G126" s="455"/>
      <c r="H126" s="420"/>
      <c r="I126" s="455"/>
      <c r="J126" s="400"/>
      <c r="K126" s="455"/>
      <c r="L126" s="400"/>
      <c r="M126" s="455"/>
      <c r="N126" s="397"/>
      <c r="O126" s="455"/>
      <c r="P126" s="401"/>
      <c r="Q126" s="6"/>
      <c r="R126" s="596"/>
      <c r="S126" s="601"/>
      <c r="T126" s="602"/>
    </row>
    <row r="127" spans="1:20" ht="18.95" customHeight="1" x14ac:dyDescent="0.3">
      <c r="A127" s="652" t="str">
        <f>A64</f>
        <v>박관수님 보장분석</v>
      </c>
      <c r="B127" s="653"/>
      <c r="C127" s="649"/>
      <c r="D127" s="649"/>
      <c r="E127" s="649"/>
      <c r="F127" s="649"/>
      <c r="G127" s="649"/>
      <c r="H127" s="649"/>
      <c r="I127" s="649"/>
      <c r="J127" s="649"/>
      <c r="K127" s="649"/>
      <c r="L127" s="649"/>
      <c r="M127" s="649"/>
      <c r="N127" s="649"/>
      <c r="O127" s="649"/>
      <c r="P127" s="649"/>
      <c r="Q127" s="138"/>
      <c r="R127" s="650" t="s">
        <v>15</v>
      </c>
      <c r="S127" s="651"/>
      <c r="T127" s="137">
        <f ca="1">T64</f>
        <v>46140</v>
      </c>
    </row>
    <row r="128" spans="1:20" ht="14.1" customHeight="1" x14ac:dyDescent="0.3">
      <c r="A128" s="647" t="s">
        <v>49</v>
      </c>
      <c r="B128" s="648"/>
      <c r="C128" s="645"/>
      <c r="D128" s="645"/>
      <c r="E128" s="645"/>
      <c r="F128" s="645"/>
      <c r="G128" s="645"/>
      <c r="H128" s="645"/>
      <c r="I128" s="645"/>
      <c r="J128" s="645"/>
      <c r="K128" s="645"/>
      <c r="L128" s="645"/>
      <c r="M128" s="645"/>
      <c r="N128" s="645"/>
      <c r="O128" s="645"/>
      <c r="P128" s="645"/>
      <c r="Q128" s="25"/>
      <c r="R128" s="654"/>
      <c r="S128" s="655"/>
      <c r="T128" s="656"/>
    </row>
    <row r="129" spans="1:20" ht="14.1" customHeight="1" x14ac:dyDescent="0.3">
      <c r="A129" s="637" t="s">
        <v>28</v>
      </c>
      <c r="B129" s="638"/>
      <c r="C129" s="645"/>
      <c r="D129" s="645"/>
      <c r="E129" s="645"/>
      <c r="F129" s="645"/>
      <c r="G129" s="645"/>
      <c r="H129" s="645"/>
      <c r="I129" s="645"/>
      <c r="J129" s="645"/>
      <c r="K129" s="645"/>
      <c r="L129" s="645"/>
      <c r="M129" s="645"/>
      <c r="N129" s="645"/>
      <c r="O129" s="646"/>
      <c r="P129" s="646"/>
      <c r="Q129" s="25"/>
      <c r="R129" s="657"/>
      <c r="S129" s="658"/>
      <c r="T129" s="659"/>
    </row>
    <row r="130" spans="1:20" ht="14.1" customHeight="1" x14ac:dyDescent="0.3">
      <c r="A130" s="647" t="s">
        <v>17</v>
      </c>
      <c r="B130" s="648"/>
      <c r="C130" s="646"/>
      <c r="D130" s="645"/>
      <c r="E130" s="646"/>
      <c r="F130" s="646"/>
      <c r="G130" s="646"/>
      <c r="H130" s="646"/>
      <c r="I130" s="646"/>
      <c r="J130" s="645"/>
      <c r="K130" s="646"/>
      <c r="L130" s="645"/>
      <c r="M130" s="646"/>
      <c r="N130" s="645"/>
      <c r="O130" s="646"/>
      <c r="P130" s="646"/>
      <c r="Q130" s="25"/>
      <c r="R130" s="657"/>
      <c r="S130" s="658"/>
      <c r="T130" s="659"/>
    </row>
    <row r="131" spans="1:20" ht="14.1" customHeight="1" x14ac:dyDescent="0.3">
      <c r="A131" s="647" t="s">
        <v>23</v>
      </c>
      <c r="B131" s="648"/>
      <c r="C131" s="383"/>
      <c r="D131" s="382"/>
      <c r="E131" s="383"/>
      <c r="F131" s="382">
        <f ca="1">IF(DATEDIF(E130,$T$1,"m")&lt;E131*12,DATEDIF(E130,$T$1,"m"),E131*12)</f>
        <v>0</v>
      </c>
      <c r="G131" s="383"/>
      <c r="H131" s="382">
        <f ca="1">IF(DATEDIF(G130,$T$1,"m")&lt;G131*12,DATEDIF(G130,$T$1,"m"),G131*12)</f>
        <v>0</v>
      </c>
      <c r="I131" s="383"/>
      <c r="J131" s="382">
        <f ca="1">IF(DATEDIF(I130,$T$1,"m")&lt;I131*12,DATEDIF(I130,$T$1,"m"),I131*12)</f>
        <v>0</v>
      </c>
      <c r="K131" s="383"/>
      <c r="L131" s="382">
        <f ca="1">IF(DATEDIF(K130,$T$1,"m")&lt;K131*12,DATEDIF(K130,$T$1,"m"),K131*12)</f>
        <v>0</v>
      </c>
      <c r="M131" s="383"/>
      <c r="N131" s="384">
        <f ca="1">IF(DATEDIF(M130,$T$1,"m")&lt;M131*12,DATEDIF(M130,$T$1,"m"),M131*12)</f>
        <v>0</v>
      </c>
      <c r="O131" s="383"/>
      <c r="P131" s="382">
        <f ca="1">IF(DATEDIF(O130,$T$1,"m")&lt;O131*12,DATEDIF(O130,$T$1,"m"),O131*12)</f>
        <v>0</v>
      </c>
      <c r="Q131" s="25"/>
      <c r="R131" s="657"/>
      <c r="S131" s="658"/>
      <c r="T131" s="659"/>
    </row>
    <row r="132" spans="1:20" ht="14.1" customHeight="1" x14ac:dyDescent="0.3">
      <c r="A132" s="647" t="s">
        <v>2</v>
      </c>
      <c r="B132" s="648"/>
      <c r="C132" s="645"/>
      <c r="D132" s="645"/>
      <c r="E132" s="645"/>
      <c r="F132" s="645"/>
      <c r="G132" s="645"/>
      <c r="H132" s="645"/>
      <c r="I132" s="645"/>
      <c r="J132" s="645"/>
      <c r="K132" s="645"/>
      <c r="L132" s="645"/>
      <c r="M132" s="645"/>
      <c r="N132" s="645"/>
      <c r="O132" s="645"/>
      <c r="P132" s="645"/>
      <c r="Q132" s="25"/>
      <c r="R132" s="660"/>
      <c r="S132" s="661"/>
      <c r="T132" s="662"/>
    </row>
    <row r="133" spans="1:20" ht="14.1" customHeight="1" x14ac:dyDescent="0.3">
      <c r="A133" s="632" t="s">
        <v>37</v>
      </c>
      <c r="B133" s="633"/>
      <c r="C133" s="642"/>
      <c r="D133" s="642"/>
      <c r="E133" s="642"/>
      <c r="F133" s="642"/>
      <c r="G133" s="642"/>
      <c r="H133" s="642"/>
      <c r="I133" s="642"/>
      <c r="J133" s="642"/>
      <c r="K133" s="642"/>
      <c r="L133" s="642"/>
      <c r="M133" s="642"/>
      <c r="N133" s="642"/>
      <c r="O133" s="642"/>
      <c r="P133" s="642"/>
      <c r="Q133" s="25"/>
      <c r="R133" s="643"/>
      <c r="S133" s="644"/>
      <c r="T133" s="27" t="s">
        <v>91</v>
      </c>
    </row>
    <row r="134" spans="1:20" ht="14.1" customHeight="1" x14ac:dyDescent="0.3">
      <c r="A134" s="639" t="s">
        <v>12</v>
      </c>
      <c r="B134" s="640"/>
      <c r="C134" s="641"/>
      <c r="D134" s="641"/>
      <c r="E134" s="641"/>
      <c r="F134" s="641"/>
      <c r="G134" s="641"/>
      <c r="H134" s="641"/>
      <c r="I134" s="641"/>
      <c r="J134" s="641"/>
      <c r="K134" s="641"/>
      <c r="L134" s="641"/>
      <c r="M134" s="641"/>
      <c r="N134" s="641"/>
      <c r="O134" s="641"/>
      <c r="P134" s="641"/>
      <c r="Q134" s="26"/>
      <c r="R134" s="635" t="s">
        <v>34</v>
      </c>
      <c r="S134" s="636"/>
      <c r="T134" s="60">
        <f>T71+C134+E134+G134+I134+K134+O134</f>
        <v>183350</v>
      </c>
    </row>
    <row r="135" spans="1:20" ht="14.1" customHeight="1" x14ac:dyDescent="0.3">
      <c r="A135" s="637" t="s">
        <v>3</v>
      </c>
      <c r="B135" s="638"/>
      <c r="C135" s="634"/>
      <c r="D135" s="634"/>
      <c r="E135" s="634">
        <f>E134*E131*12</f>
        <v>0</v>
      </c>
      <c r="F135" s="634"/>
      <c r="G135" s="634">
        <f>G134*G131*12</f>
        <v>0</v>
      </c>
      <c r="H135" s="634"/>
      <c r="I135" s="634">
        <f>I134*I131*12</f>
        <v>0</v>
      </c>
      <c r="J135" s="634"/>
      <c r="K135" s="634">
        <f>K134*K131*12</f>
        <v>0</v>
      </c>
      <c r="L135" s="634"/>
      <c r="M135" s="634">
        <f>M134*M131*12</f>
        <v>0</v>
      </c>
      <c r="N135" s="634"/>
      <c r="O135" s="634">
        <f>O134*O131*12</f>
        <v>0</v>
      </c>
      <c r="P135" s="634"/>
      <c r="Q135" s="26"/>
      <c r="R135" s="635" t="s">
        <v>33</v>
      </c>
      <c r="S135" s="636"/>
      <c r="T135" s="51">
        <f>T72+C135+E135+G135+I135+K135+O135</f>
        <v>44893200</v>
      </c>
    </row>
    <row r="136" spans="1:20" ht="14.1" customHeight="1" x14ac:dyDescent="0.3">
      <c r="A136" s="637" t="s">
        <v>4</v>
      </c>
      <c r="B136" s="638"/>
      <c r="C136" s="634"/>
      <c r="D136" s="634"/>
      <c r="E136" s="634">
        <f ca="1">E134*F131</f>
        <v>0</v>
      </c>
      <c r="F136" s="634"/>
      <c r="G136" s="634">
        <f ca="1">G134*H131</f>
        <v>0</v>
      </c>
      <c r="H136" s="634"/>
      <c r="I136" s="634">
        <f ca="1">I134*J131</f>
        <v>0</v>
      </c>
      <c r="J136" s="634"/>
      <c r="K136" s="634">
        <f ca="1">K134*L131</f>
        <v>0</v>
      </c>
      <c r="L136" s="634"/>
      <c r="M136" s="634">
        <f ca="1">M134*N131</f>
        <v>0</v>
      </c>
      <c r="N136" s="634"/>
      <c r="O136" s="634">
        <f ca="1">O134*P131</f>
        <v>0</v>
      </c>
      <c r="P136" s="634"/>
      <c r="Q136" s="26"/>
      <c r="R136" s="635" t="s">
        <v>31</v>
      </c>
      <c r="S136" s="636"/>
      <c r="T136" s="51">
        <f ca="1">T73+C136+E136+G136+I136+K136+O136</f>
        <v>25530530</v>
      </c>
    </row>
    <row r="137" spans="1:20" ht="14.1" customHeight="1" thickBot="1" x14ac:dyDescent="0.35">
      <c r="A137" s="632" t="s">
        <v>18</v>
      </c>
      <c r="B137" s="633"/>
      <c r="C137" s="634"/>
      <c r="D137" s="634"/>
      <c r="E137" s="634">
        <f ca="1">E135-E136</f>
        <v>0</v>
      </c>
      <c r="F137" s="634"/>
      <c r="G137" s="634">
        <f ca="1">G135-G136</f>
        <v>0</v>
      </c>
      <c r="H137" s="634"/>
      <c r="I137" s="634">
        <f ca="1">I135-I136</f>
        <v>0</v>
      </c>
      <c r="J137" s="634"/>
      <c r="K137" s="634">
        <f ca="1">K135-K136</f>
        <v>0</v>
      </c>
      <c r="L137" s="634"/>
      <c r="M137" s="634">
        <f ca="1">M135-M136</f>
        <v>0</v>
      </c>
      <c r="N137" s="634"/>
      <c r="O137" s="634">
        <f ca="1">O135-O136</f>
        <v>0</v>
      </c>
      <c r="P137" s="634"/>
      <c r="Q137" s="26"/>
      <c r="R137" s="619" t="s">
        <v>35</v>
      </c>
      <c r="S137" s="620"/>
      <c r="T137" s="52">
        <f ca="1">T74+C137+E137+G137+I137+K137+O137</f>
        <v>19362670</v>
      </c>
    </row>
    <row r="138" spans="1:20" ht="14.1" customHeight="1" x14ac:dyDescent="0.3">
      <c r="A138" s="621" t="s">
        <v>202</v>
      </c>
      <c r="B138" s="457" t="s">
        <v>149</v>
      </c>
      <c r="C138" s="386"/>
      <c r="D138" s="385"/>
      <c r="E138" s="386"/>
      <c r="F138" s="387"/>
      <c r="G138" s="386"/>
      <c r="H138" s="388"/>
      <c r="I138" s="386"/>
      <c r="J138" s="388"/>
      <c r="K138" s="386"/>
      <c r="L138" s="385"/>
      <c r="M138" s="386"/>
      <c r="N138" s="389"/>
      <c r="O138" s="390"/>
      <c r="P138" s="389"/>
      <c r="Q138" s="6"/>
      <c r="R138" s="621" t="s">
        <v>202</v>
      </c>
      <c r="S138" s="352" t="s">
        <v>149</v>
      </c>
      <c r="T138" s="182">
        <f t="shared" ref="T138:T149" si="19">T75+C138+E138+G138+I138+K138+M138+O138</f>
        <v>50000000</v>
      </c>
    </row>
    <row r="139" spans="1:20" ht="14.1" customHeight="1" x14ac:dyDescent="0.3">
      <c r="A139" s="622"/>
      <c r="B139" s="458" t="s">
        <v>150</v>
      </c>
      <c r="C139" s="392"/>
      <c r="D139" s="391"/>
      <c r="E139" s="392"/>
      <c r="F139" s="393"/>
      <c r="G139" s="392"/>
      <c r="H139" s="394"/>
      <c r="I139" s="392"/>
      <c r="J139" s="394"/>
      <c r="K139" s="392"/>
      <c r="L139" s="391"/>
      <c r="M139" s="392"/>
      <c r="N139" s="395"/>
      <c r="O139" s="396"/>
      <c r="P139" s="395"/>
      <c r="Q139" s="6"/>
      <c r="R139" s="622"/>
      <c r="S139" s="353" t="s">
        <v>150</v>
      </c>
      <c r="T139" s="183">
        <f t="shared" si="19"/>
        <v>300000</v>
      </c>
    </row>
    <row r="140" spans="1:20" ht="14.1" customHeight="1" x14ac:dyDescent="0.3">
      <c r="A140" s="622"/>
      <c r="B140" s="458" t="s">
        <v>151</v>
      </c>
      <c r="C140" s="392"/>
      <c r="D140" s="391"/>
      <c r="E140" s="392"/>
      <c r="F140" s="393"/>
      <c r="G140" s="392"/>
      <c r="H140" s="394"/>
      <c r="I140" s="392"/>
      <c r="J140" s="394"/>
      <c r="K140" s="392"/>
      <c r="L140" s="391"/>
      <c r="M140" s="392"/>
      <c r="N140" s="395"/>
      <c r="O140" s="396"/>
      <c r="P140" s="395"/>
      <c r="Q140" s="6"/>
      <c r="R140" s="622"/>
      <c r="S140" s="353" t="s">
        <v>151</v>
      </c>
      <c r="T140" s="183">
        <f t="shared" si="19"/>
        <v>50000000</v>
      </c>
    </row>
    <row r="141" spans="1:20" ht="14.1" customHeight="1" x14ac:dyDescent="0.3">
      <c r="A141" s="622"/>
      <c r="B141" s="458" t="s">
        <v>148</v>
      </c>
      <c r="C141" s="392"/>
      <c r="D141" s="391"/>
      <c r="E141" s="392"/>
      <c r="F141" s="393"/>
      <c r="G141" s="392"/>
      <c r="H141" s="394"/>
      <c r="I141" s="392"/>
      <c r="J141" s="394"/>
      <c r="K141" s="392"/>
      <c r="L141" s="391"/>
      <c r="M141" s="392"/>
      <c r="N141" s="395"/>
      <c r="O141" s="396"/>
      <c r="P141" s="395"/>
      <c r="Q141" s="6"/>
      <c r="R141" s="622"/>
      <c r="S141" s="353" t="s">
        <v>148</v>
      </c>
      <c r="T141" s="183">
        <f t="shared" si="19"/>
        <v>300000</v>
      </c>
    </row>
    <row r="142" spans="1:20" ht="14.1" customHeight="1" thickBot="1" x14ac:dyDescent="0.35">
      <c r="A142" s="623"/>
      <c r="B142" s="459" t="s">
        <v>89</v>
      </c>
      <c r="C142" s="398"/>
      <c r="D142" s="397"/>
      <c r="E142" s="398"/>
      <c r="F142" s="399"/>
      <c r="G142" s="398"/>
      <c r="H142" s="400"/>
      <c r="I142" s="398"/>
      <c r="J142" s="400"/>
      <c r="K142" s="398"/>
      <c r="L142" s="397"/>
      <c r="M142" s="398"/>
      <c r="N142" s="401"/>
      <c r="O142" s="402"/>
      <c r="P142" s="401"/>
      <c r="Q142" s="6"/>
      <c r="R142" s="623"/>
      <c r="S142" s="354" t="s">
        <v>89</v>
      </c>
      <c r="T142" s="184">
        <f t="shared" si="19"/>
        <v>0</v>
      </c>
    </row>
    <row r="143" spans="1:20" ht="14.1" customHeight="1" x14ac:dyDescent="0.3">
      <c r="A143" s="624" t="s">
        <v>50</v>
      </c>
      <c r="B143" s="460" t="s">
        <v>203</v>
      </c>
      <c r="C143" s="386"/>
      <c r="D143" s="403"/>
      <c r="E143" s="386"/>
      <c r="F143" s="388"/>
      <c r="G143" s="386"/>
      <c r="H143" s="388"/>
      <c r="I143" s="386"/>
      <c r="J143" s="388"/>
      <c r="K143" s="386"/>
      <c r="L143" s="405"/>
      <c r="M143" s="386"/>
      <c r="N143" s="385"/>
      <c r="O143" s="386"/>
      <c r="P143" s="389"/>
      <c r="Q143" s="6"/>
      <c r="R143" s="626" t="s">
        <v>50</v>
      </c>
      <c r="S143" s="490" t="s">
        <v>168</v>
      </c>
      <c r="T143" s="182">
        <f t="shared" si="19"/>
        <v>30000000</v>
      </c>
    </row>
    <row r="144" spans="1:20" ht="14.1" customHeight="1" x14ac:dyDescent="0.3">
      <c r="A144" s="625"/>
      <c r="B144" s="481" t="s">
        <v>205</v>
      </c>
      <c r="C144" s="392"/>
      <c r="D144" s="407"/>
      <c r="E144" s="392"/>
      <c r="F144" s="404"/>
      <c r="G144" s="392"/>
      <c r="H144" s="404"/>
      <c r="I144" s="392"/>
      <c r="J144" s="404"/>
      <c r="K144" s="392"/>
      <c r="L144" s="408"/>
      <c r="M144" s="392"/>
      <c r="N144" s="406"/>
      <c r="O144" s="409"/>
      <c r="P144" s="410"/>
      <c r="Q144" s="6"/>
      <c r="R144" s="627"/>
      <c r="S144" s="491" t="s">
        <v>205</v>
      </c>
      <c r="T144" s="183">
        <f t="shared" si="19"/>
        <v>3000000</v>
      </c>
    </row>
    <row r="145" spans="1:20" ht="14.1" customHeight="1" thickBot="1" x14ac:dyDescent="0.35">
      <c r="A145" s="625"/>
      <c r="B145" s="553" t="s">
        <v>211</v>
      </c>
      <c r="C145" s="398"/>
      <c r="D145" s="564"/>
      <c r="E145" s="398"/>
      <c r="F145" s="534"/>
      <c r="G145" s="398"/>
      <c r="H145" s="534"/>
      <c r="I145" s="398"/>
      <c r="J145" s="534"/>
      <c r="K145" s="398"/>
      <c r="L145" s="436"/>
      <c r="M145" s="435"/>
      <c r="N145" s="437"/>
      <c r="O145" s="435"/>
      <c r="P145" s="565"/>
      <c r="Q145" s="6"/>
      <c r="R145" s="627"/>
      <c r="S145" s="566" t="s">
        <v>211</v>
      </c>
      <c r="T145" s="184">
        <f t="shared" si="19"/>
        <v>30000000</v>
      </c>
    </row>
    <row r="146" spans="1:20" ht="14.1" customHeight="1" x14ac:dyDescent="0.3">
      <c r="A146" s="625"/>
      <c r="B146" s="554" t="s">
        <v>163</v>
      </c>
      <c r="C146" s="409"/>
      <c r="D146" s="407"/>
      <c r="E146" s="409"/>
      <c r="F146" s="404"/>
      <c r="G146" s="409"/>
      <c r="H146" s="404"/>
      <c r="I146" s="409"/>
      <c r="J146" s="404"/>
      <c r="K146" s="409"/>
      <c r="L146" s="408"/>
      <c r="M146" s="409"/>
      <c r="N146" s="406"/>
      <c r="O146" s="409"/>
      <c r="P146" s="410"/>
      <c r="Q146" s="6"/>
      <c r="R146" s="627"/>
      <c r="S146" s="343" t="s">
        <v>163</v>
      </c>
      <c r="T146" s="182">
        <f t="shared" si="19"/>
        <v>4000000</v>
      </c>
    </row>
    <row r="147" spans="1:20" ht="14.1" customHeight="1" x14ac:dyDescent="0.3">
      <c r="A147" s="625"/>
      <c r="B147" s="555" t="s">
        <v>162</v>
      </c>
      <c r="C147" s="392"/>
      <c r="D147" s="407"/>
      <c r="E147" s="392"/>
      <c r="F147" s="404"/>
      <c r="G147" s="392"/>
      <c r="H147" s="404"/>
      <c r="I147" s="392"/>
      <c r="J147" s="404"/>
      <c r="K147" s="392"/>
      <c r="L147" s="408"/>
      <c r="M147" s="409"/>
      <c r="N147" s="406"/>
      <c r="O147" s="409"/>
      <c r="P147" s="410"/>
      <c r="Q147" s="6"/>
      <c r="R147" s="627"/>
      <c r="S147" s="326" t="s">
        <v>162</v>
      </c>
      <c r="T147" s="183">
        <f t="shared" si="19"/>
        <v>0</v>
      </c>
    </row>
    <row r="148" spans="1:20" ht="14.1" customHeight="1" x14ac:dyDescent="0.3">
      <c r="A148" s="625"/>
      <c r="B148" s="556" t="s">
        <v>164</v>
      </c>
      <c r="C148" s="392"/>
      <c r="D148" s="407"/>
      <c r="E148" s="392"/>
      <c r="F148" s="404"/>
      <c r="G148" s="392"/>
      <c r="H148" s="404"/>
      <c r="I148" s="392"/>
      <c r="J148" s="404"/>
      <c r="K148" s="392"/>
      <c r="L148" s="408"/>
      <c r="M148" s="409"/>
      <c r="N148" s="406"/>
      <c r="O148" s="409"/>
      <c r="P148" s="410"/>
      <c r="Q148" s="6"/>
      <c r="R148" s="627"/>
      <c r="S148" s="343" t="s">
        <v>164</v>
      </c>
      <c r="T148" s="183">
        <f t="shared" si="19"/>
        <v>0</v>
      </c>
    </row>
    <row r="149" spans="1:20" ht="14.1" customHeight="1" x14ac:dyDescent="0.3">
      <c r="A149" s="625"/>
      <c r="B149" s="555" t="s">
        <v>165</v>
      </c>
      <c r="C149" s="392"/>
      <c r="D149" s="407"/>
      <c r="E149" s="392"/>
      <c r="F149" s="404"/>
      <c r="G149" s="392"/>
      <c r="H149" s="404"/>
      <c r="I149" s="392"/>
      <c r="J149" s="404"/>
      <c r="K149" s="392"/>
      <c r="L149" s="408"/>
      <c r="M149" s="409"/>
      <c r="N149" s="406"/>
      <c r="O149" s="409"/>
      <c r="P149" s="410"/>
      <c r="Q149" s="6"/>
      <c r="R149" s="627"/>
      <c r="S149" s="326" t="s">
        <v>165</v>
      </c>
      <c r="T149" s="183">
        <f t="shared" si="19"/>
        <v>0</v>
      </c>
    </row>
    <row r="150" spans="1:20" ht="14.1" customHeight="1" x14ac:dyDescent="0.3">
      <c r="A150" s="625"/>
      <c r="B150" s="555" t="s">
        <v>184</v>
      </c>
      <c r="C150" s="392"/>
      <c r="D150" s="407"/>
      <c r="E150" s="392"/>
      <c r="F150" s="404"/>
      <c r="G150" s="392"/>
      <c r="H150" s="404"/>
      <c r="I150" s="392"/>
      <c r="J150" s="404"/>
      <c r="K150" s="392"/>
      <c r="L150" s="408"/>
      <c r="M150" s="409"/>
      <c r="N150" s="406"/>
      <c r="O150" s="409"/>
      <c r="P150" s="410"/>
      <c r="Q150" s="6"/>
      <c r="R150" s="627"/>
      <c r="S150" s="326" t="s">
        <v>184</v>
      </c>
      <c r="T150" s="183">
        <f>T88+C150+E150+G150+I150+K150+O150</f>
        <v>0</v>
      </c>
    </row>
    <row r="151" spans="1:20" ht="14.1" customHeight="1" x14ac:dyDescent="0.3">
      <c r="A151" s="625"/>
      <c r="B151" s="555" t="s">
        <v>185</v>
      </c>
      <c r="C151" s="392"/>
      <c r="D151" s="407"/>
      <c r="E151" s="392"/>
      <c r="F151" s="404"/>
      <c r="G151" s="392"/>
      <c r="H151" s="404"/>
      <c r="I151" s="392"/>
      <c r="J151" s="404"/>
      <c r="K151" s="392"/>
      <c r="L151" s="408"/>
      <c r="M151" s="409"/>
      <c r="N151" s="406"/>
      <c r="O151" s="409"/>
      <c r="P151" s="410"/>
      <c r="Q151" s="6"/>
      <c r="R151" s="627"/>
      <c r="S151" s="326" t="s">
        <v>185</v>
      </c>
      <c r="T151" s="183">
        <f t="shared" ref="T151:T185" si="20">T88+C151+E151+G151+I151+K151+M151+O151</f>
        <v>0</v>
      </c>
    </row>
    <row r="152" spans="1:20" ht="14.1" customHeight="1" x14ac:dyDescent="0.3">
      <c r="A152" s="625"/>
      <c r="B152" s="556" t="s">
        <v>166</v>
      </c>
      <c r="C152" s="392"/>
      <c r="D152" s="407"/>
      <c r="E152" s="411"/>
      <c r="F152" s="406"/>
      <c r="G152" s="411"/>
      <c r="H152" s="404"/>
      <c r="I152" s="411"/>
      <c r="J152" s="404"/>
      <c r="K152" s="411"/>
      <c r="L152" s="408"/>
      <c r="M152" s="412"/>
      <c r="N152" s="406"/>
      <c r="O152" s="409"/>
      <c r="P152" s="410"/>
      <c r="Q152" s="6"/>
      <c r="R152" s="627"/>
      <c r="S152" s="343" t="s">
        <v>166</v>
      </c>
      <c r="T152" s="183">
        <f t="shared" si="20"/>
        <v>0</v>
      </c>
    </row>
    <row r="153" spans="1:20" ht="14.1" customHeight="1" x14ac:dyDescent="0.3">
      <c r="A153" s="625"/>
      <c r="B153" s="555" t="s">
        <v>167</v>
      </c>
      <c r="C153" s="411"/>
      <c r="D153" s="413"/>
      <c r="E153" s="411"/>
      <c r="F153" s="406"/>
      <c r="G153" s="411"/>
      <c r="H153" s="404"/>
      <c r="I153" s="411"/>
      <c r="J153" s="404"/>
      <c r="K153" s="411"/>
      <c r="L153" s="408"/>
      <c r="M153" s="412"/>
      <c r="N153" s="406"/>
      <c r="O153" s="412"/>
      <c r="P153" s="414"/>
      <c r="Q153" s="6"/>
      <c r="R153" s="627"/>
      <c r="S153" s="326" t="s">
        <v>167</v>
      </c>
      <c r="T153" s="183">
        <f t="shared" si="20"/>
        <v>0</v>
      </c>
    </row>
    <row r="154" spans="1:20" ht="14.1" customHeight="1" thickBot="1" x14ac:dyDescent="0.35">
      <c r="A154" s="625"/>
      <c r="B154" s="557" t="s">
        <v>186</v>
      </c>
      <c r="C154" s="398"/>
      <c r="D154" s="397"/>
      <c r="E154" s="398"/>
      <c r="F154" s="415"/>
      <c r="G154" s="398"/>
      <c r="H154" s="404"/>
      <c r="I154" s="398"/>
      <c r="J154" s="404"/>
      <c r="K154" s="398"/>
      <c r="L154" s="408"/>
      <c r="M154" s="398"/>
      <c r="N154" s="406"/>
      <c r="O154" s="402"/>
      <c r="P154" s="401"/>
      <c r="Q154" s="6"/>
      <c r="R154" s="627"/>
      <c r="S154" s="327" t="s">
        <v>186</v>
      </c>
      <c r="T154" s="184">
        <f t="shared" si="20"/>
        <v>0</v>
      </c>
    </row>
    <row r="155" spans="1:20" ht="14.1" customHeight="1" x14ac:dyDescent="0.3">
      <c r="A155" s="628" t="s">
        <v>19</v>
      </c>
      <c r="B155" s="461" t="s">
        <v>193</v>
      </c>
      <c r="C155" s="392"/>
      <c r="D155" s="385"/>
      <c r="E155" s="392"/>
      <c r="F155" s="388"/>
      <c r="G155" s="392"/>
      <c r="H155" s="388"/>
      <c r="I155" s="392"/>
      <c r="J155" s="388"/>
      <c r="K155" s="392"/>
      <c r="L155" s="405"/>
      <c r="M155" s="386"/>
      <c r="N155" s="385"/>
      <c r="O155" s="396"/>
      <c r="P155" s="389"/>
      <c r="Q155" s="6"/>
      <c r="R155" s="630" t="s">
        <v>19</v>
      </c>
      <c r="S155" s="379" t="s">
        <v>51</v>
      </c>
      <c r="T155" s="182">
        <f t="shared" si="20"/>
        <v>0</v>
      </c>
    </row>
    <row r="156" spans="1:20" ht="14.1" customHeight="1" x14ac:dyDescent="0.3">
      <c r="A156" s="629"/>
      <c r="B156" s="462" t="s">
        <v>194</v>
      </c>
      <c r="C156" s="392"/>
      <c r="D156" s="406"/>
      <c r="E156" s="409"/>
      <c r="F156" s="404"/>
      <c r="G156" s="392"/>
      <c r="H156" s="404"/>
      <c r="I156" s="392"/>
      <c r="J156" s="404"/>
      <c r="K156" s="392"/>
      <c r="L156" s="408"/>
      <c r="M156" s="409"/>
      <c r="N156" s="406"/>
      <c r="O156" s="396"/>
      <c r="P156" s="410"/>
      <c r="Q156" s="6"/>
      <c r="R156" s="631"/>
      <c r="S156" s="380" t="s">
        <v>43</v>
      </c>
      <c r="T156" s="183">
        <f t="shared" si="20"/>
        <v>30000000</v>
      </c>
    </row>
    <row r="157" spans="1:20" ht="14.1" customHeight="1" thickBot="1" x14ac:dyDescent="0.35">
      <c r="A157" s="629"/>
      <c r="B157" s="463" t="s">
        <v>195</v>
      </c>
      <c r="C157" s="412"/>
      <c r="D157" s="416"/>
      <c r="E157" s="412"/>
      <c r="F157" s="417"/>
      <c r="G157" s="412"/>
      <c r="H157" s="417"/>
      <c r="I157" s="412"/>
      <c r="J157" s="417"/>
      <c r="K157" s="412"/>
      <c r="L157" s="418"/>
      <c r="M157" s="412"/>
      <c r="N157" s="416"/>
      <c r="O157" s="419"/>
      <c r="P157" s="414"/>
      <c r="Q157" s="6"/>
      <c r="R157" s="631"/>
      <c r="S157" s="381" t="s">
        <v>53</v>
      </c>
      <c r="T157" s="184">
        <f t="shared" si="20"/>
        <v>0</v>
      </c>
    </row>
    <row r="158" spans="1:20" ht="14.1" customHeight="1" x14ac:dyDescent="0.3">
      <c r="A158" s="629"/>
      <c r="B158" s="461" t="s">
        <v>196</v>
      </c>
      <c r="C158" s="386"/>
      <c r="D158" s="385"/>
      <c r="E158" s="386"/>
      <c r="F158" s="388"/>
      <c r="G158" s="386"/>
      <c r="H158" s="388"/>
      <c r="I158" s="386"/>
      <c r="J158" s="388"/>
      <c r="K158" s="386"/>
      <c r="L158" s="405"/>
      <c r="M158" s="386"/>
      <c r="N158" s="385"/>
      <c r="O158" s="390"/>
      <c r="P158" s="389"/>
      <c r="Q158" s="6"/>
      <c r="R158" s="631"/>
      <c r="S158" s="358" t="s">
        <v>65</v>
      </c>
      <c r="T158" s="182">
        <f t="shared" si="20"/>
        <v>0</v>
      </c>
    </row>
    <row r="159" spans="1:20" ht="14.1" customHeight="1" x14ac:dyDescent="0.3">
      <c r="A159" s="629"/>
      <c r="B159" s="488" t="s">
        <v>197</v>
      </c>
      <c r="C159" s="392"/>
      <c r="D159" s="406"/>
      <c r="E159" s="392"/>
      <c r="F159" s="404"/>
      <c r="G159" s="392"/>
      <c r="H159" s="404"/>
      <c r="I159" s="392"/>
      <c r="J159" s="404"/>
      <c r="K159" s="392"/>
      <c r="L159" s="408"/>
      <c r="M159" s="392"/>
      <c r="N159" s="406"/>
      <c r="O159" s="396"/>
      <c r="P159" s="410"/>
      <c r="Q159" s="6"/>
      <c r="R159" s="631"/>
      <c r="S159" s="359" t="s">
        <v>8</v>
      </c>
      <c r="T159" s="183">
        <f t="shared" si="20"/>
        <v>0</v>
      </c>
    </row>
    <row r="160" spans="1:20" ht="14.1" customHeight="1" thickBot="1" x14ac:dyDescent="0.35">
      <c r="A160" s="629"/>
      <c r="B160" s="489" t="s">
        <v>198</v>
      </c>
      <c r="C160" s="398"/>
      <c r="D160" s="397"/>
      <c r="E160" s="398"/>
      <c r="F160" s="400"/>
      <c r="G160" s="398"/>
      <c r="H160" s="400"/>
      <c r="I160" s="398"/>
      <c r="J160" s="400"/>
      <c r="K160" s="398"/>
      <c r="L160" s="420"/>
      <c r="M160" s="398"/>
      <c r="N160" s="397"/>
      <c r="O160" s="402"/>
      <c r="P160" s="421"/>
      <c r="Q160" s="6"/>
      <c r="R160" s="631"/>
      <c r="S160" s="360" t="s">
        <v>5</v>
      </c>
      <c r="T160" s="184">
        <f t="shared" si="20"/>
        <v>30000000</v>
      </c>
    </row>
    <row r="161" spans="1:20" ht="14.1" customHeight="1" x14ac:dyDescent="0.3">
      <c r="A161" s="629"/>
      <c r="B161" s="461" t="s">
        <v>210</v>
      </c>
      <c r="C161" s="386"/>
      <c r="D161" s="385"/>
      <c r="E161" s="386"/>
      <c r="F161" s="388"/>
      <c r="G161" s="386"/>
      <c r="H161" s="388"/>
      <c r="I161" s="386"/>
      <c r="J161" s="388"/>
      <c r="K161" s="386"/>
      <c r="L161" s="405"/>
      <c r="M161" s="386"/>
      <c r="N161" s="385"/>
      <c r="O161" s="390"/>
      <c r="P161" s="389"/>
      <c r="Q161" s="6"/>
      <c r="R161" s="631"/>
      <c r="S161" s="361" t="s">
        <v>199</v>
      </c>
      <c r="T161" s="182">
        <f t="shared" si="20"/>
        <v>0</v>
      </c>
    </row>
    <row r="162" spans="1:20" ht="14.1" customHeight="1" x14ac:dyDescent="0.3">
      <c r="A162" s="629"/>
      <c r="B162" s="488" t="s">
        <v>200</v>
      </c>
      <c r="C162" s="392"/>
      <c r="D162" s="406"/>
      <c r="E162" s="392"/>
      <c r="F162" s="404"/>
      <c r="G162" s="392"/>
      <c r="H162" s="404"/>
      <c r="I162" s="392"/>
      <c r="J162" s="404"/>
      <c r="K162" s="392"/>
      <c r="L162" s="408"/>
      <c r="M162" s="392"/>
      <c r="N162" s="406"/>
      <c r="O162" s="396"/>
      <c r="P162" s="410"/>
      <c r="Q162" s="6"/>
      <c r="R162" s="631"/>
      <c r="S162" s="362" t="s">
        <v>200</v>
      </c>
      <c r="T162" s="183">
        <f t="shared" si="20"/>
        <v>0</v>
      </c>
    </row>
    <row r="163" spans="1:20" ht="14.1" customHeight="1" thickBot="1" x14ac:dyDescent="0.35">
      <c r="A163" s="629"/>
      <c r="B163" s="489" t="s">
        <v>209</v>
      </c>
      <c r="C163" s="398"/>
      <c r="D163" s="397"/>
      <c r="E163" s="398"/>
      <c r="F163" s="400"/>
      <c r="G163" s="398"/>
      <c r="H163" s="400"/>
      <c r="I163" s="398"/>
      <c r="J163" s="400"/>
      <c r="K163" s="398"/>
      <c r="L163" s="420"/>
      <c r="M163" s="398"/>
      <c r="N163" s="397"/>
      <c r="O163" s="402"/>
      <c r="P163" s="421"/>
      <c r="Q163" s="6"/>
      <c r="R163" s="631"/>
      <c r="S163" s="363" t="s">
        <v>201</v>
      </c>
      <c r="T163" s="184">
        <f t="shared" si="20"/>
        <v>0</v>
      </c>
    </row>
    <row r="164" spans="1:20" ht="14.1" customHeight="1" x14ac:dyDescent="0.3">
      <c r="A164" s="611" t="s">
        <v>16</v>
      </c>
      <c r="B164" s="464" t="s">
        <v>36</v>
      </c>
      <c r="C164" s="386"/>
      <c r="D164" s="422"/>
      <c r="E164" s="386"/>
      <c r="F164" s="388"/>
      <c r="G164" s="386"/>
      <c r="H164" s="388"/>
      <c r="I164" s="386"/>
      <c r="J164" s="388"/>
      <c r="K164" s="386"/>
      <c r="L164" s="405"/>
      <c r="M164" s="386"/>
      <c r="N164" s="385"/>
      <c r="O164" s="390"/>
      <c r="P164" s="389"/>
      <c r="Q164" s="6"/>
      <c r="R164" s="611" t="s">
        <v>16</v>
      </c>
      <c r="S164" s="364" t="s">
        <v>36</v>
      </c>
      <c r="T164" s="182">
        <f t="shared" si="20"/>
        <v>10000000</v>
      </c>
    </row>
    <row r="165" spans="1:20" ht="14.1" customHeight="1" x14ac:dyDescent="0.3">
      <c r="A165" s="612"/>
      <c r="B165" s="465" t="s">
        <v>81</v>
      </c>
      <c r="C165" s="392"/>
      <c r="D165" s="423"/>
      <c r="E165" s="392"/>
      <c r="F165" s="424"/>
      <c r="G165" s="392"/>
      <c r="H165" s="394"/>
      <c r="I165" s="392"/>
      <c r="J165" s="394"/>
      <c r="K165" s="392"/>
      <c r="L165" s="425"/>
      <c r="M165" s="392"/>
      <c r="N165" s="391"/>
      <c r="O165" s="396"/>
      <c r="P165" s="395"/>
      <c r="Q165" s="6"/>
      <c r="R165" s="612"/>
      <c r="S165" s="365" t="s">
        <v>81</v>
      </c>
      <c r="T165" s="183">
        <f t="shared" si="20"/>
        <v>0</v>
      </c>
    </row>
    <row r="166" spans="1:20" ht="14.1" customHeight="1" x14ac:dyDescent="0.3">
      <c r="A166" s="612"/>
      <c r="B166" s="465" t="s">
        <v>78</v>
      </c>
      <c r="C166" s="392"/>
      <c r="D166" s="426"/>
      <c r="E166" s="392"/>
      <c r="F166" s="426"/>
      <c r="G166" s="392"/>
      <c r="H166" s="391"/>
      <c r="I166" s="392"/>
      <c r="J166" s="391"/>
      <c r="K166" s="392"/>
      <c r="L166" s="425"/>
      <c r="M166" s="392"/>
      <c r="N166" s="391"/>
      <c r="O166" s="396"/>
      <c r="P166" s="395"/>
      <c r="Q166" s="6"/>
      <c r="R166" s="612"/>
      <c r="S166" s="365" t="s">
        <v>78</v>
      </c>
      <c r="T166" s="183">
        <f t="shared" si="20"/>
        <v>0</v>
      </c>
    </row>
    <row r="167" spans="1:20" ht="14.1" customHeight="1" thickBot="1" x14ac:dyDescent="0.35">
      <c r="A167" s="613"/>
      <c r="B167" s="466" t="s">
        <v>87</v>
      </c>
      <c r="C167" s="398"/>
      <c r="D167" s="427"/>
      <c r="E167" s="398"/>
      <c r="F167" s="427"/>
      <c r="G167" s="392"/>
      <c r="H167" s="397"/>
      <c r="I167" s="392"/>
      <c r="J167" s="397"/>
      <c r="K167" s="392"/>
      <c r="L167" s="420"/>
      <c r="M167" s="398"/>
      <c r="N167" s="397"/>
      <c r="O167" s="402"/>
      <c r="P167" s="401"/>
      <c r="Q167" s="6"/>
      <c r="R167" s="613"/>
      <c r="S167" s="366" t="s">
        <v>87</v>
      </c>
      <c r="T167" s="184">
        <f t="shared" si="20"/>
        <v>150000000</v>
      </c>
    </row>
    <row r="168" spans="1:20" ht="14.1" customHeight="1" x14ac:dyDescent="0.3">
      <c r="A168" s="614" t="s">
        <v>47</v>
      </c>
      <c r="B168" s="467" t="s">
        <v>48</v>
      </c>
      <c r="C168" s="409"/>
      <c r="D168" s="428"/>
      <c r="E168" s="386"/>
      <c r="F168" s="388"/>
      <c r="G168" s="386"/>
      <c r="H168" s="385"/>
      <c r="I168" s="386"/>
      <c r="J168" s="385"/>
      <c r="K168" s="386"/>
      <c r="L168" s="405"/>
      <c r="M168" s="386"/>
      <c r="N168" s="385"/>
      <c r="O168" s="390"/>
      <c r="P168" s="389"/>
      <c r="Q168" s="6"/>
      <c r="R168" s="614" t="s">
        <v>47</v>
      </c>
      <c r="S168" s="367" t="s">
        <v>48</v>
      </c>
      <c r="T168" s="182">
        <f t="shared" si="20"/>
        <v>0</v>
      </c>
    </row>
    <row r="169" spans="1:20" ht="14.1" customHeight="1" x14ac:dyDescent="0.3">
      <c r="A169" s="615"/>
      <c r="B169" s="468" t="s">
        <v>44</v>
      </c>
      <c r="C169" s="392"/>
      <c r="D169" s="424"/>
      <c r="E169" s="392"/>
      <c r="F169" s="394"/>
      <c r="G169" s="392"/>
      <c r="H169" s="391"/>
      <c r="I169" s="392"/>
      <c r="J169" s="391"/>
      <c r="K169" s="392"/>
      <c r="L169" s="425"/>
      <c r="M169" s="392"/>
      <c r="N169" s="391"/>
      <c r="O169" s="396"/>
      <c r="P169" s="395"/>
      <c r="Q169" s="6"/>
      <c r="R169" s="615"/>
      <c r="S169" s="368" t="s">
        <v>44</v>
      </c>
      <c r="T169" s="183">
        <f t="shared" si="20"/>
        <v>130000000</v>
      </c>
    </row>
    <row r="170" spans="1:20" ht="14.1" customHeight="1" thickBot="1" x14ac:dyDescent="0.35">
      <c r="A170" s="616"/>
      <c r="B170" s="469" t="s">
        <v>54</v>
      </c>
      <c r="C170" s="398"/>
      <c r="D170" s="429"/>
      <c r="E170" s="398"/>
      <c r="F170" s="400"/>
      <c r="G170" s="398"/>
      <c r="H170" s="397"/>
      <c r="I170" s="398"/>
      <c r="J170" s="397"/>
      <c r="K170" s="398"/>
      <c r="L170" s="420"/>
      <c r="M170" s="398"/>
      <c r="N170" s="397"/>
      <c r="O170" s="430"/>
      <c r="P170" s="410"/>
      <c r="Q170" s="6"/>
      <c r="R170" s="616"/>
      <c r="S170" s="369" t="s">
        <v>54</v>
      </c>
      <c r="T170" s="184">
        <f t="shared" si="20"/>
        <v>150000000</v>
      </c>
    </row>
    <row r="171" spans="1:20" ht="14.1" customHeight="1" x14ac:dyDescent="0.3">
      <c r="A171" s="617" t="s">
        <v>39</v>
      </c>
      <c r="B171" s="470" t="s">
        <v>44</v>
      </c>
      <c r="C171" s="386"/>
      <c r="D171" s="403"/>
      <c r="E171" s="386"/>
      <c r="F171" s="404"/>
      <c r="G171" s="386"/>
      <c r="H171" s="406"/>
      <c r="I171" s="386"/>
      <c r="J171" s="406"/>
      <c r="K171" s="386"/>
      <c r="L171" s="405"/>
      <c r="M171" s="409"/>
      <c r="N171" s="406"/>
      <c r="O171" s="390"/>
      <c r="P171" s="389"/>
      <c r="Q171" s="6"/>
      <c r="R171" s="617" t="s">
        <v>39</v>
      </c>
      <c r="S171" s="480" t="s">
        <v>44</v>
      </c>
      <c r="T171" s="182">
        <f t="shared" si="20"/>
        <v>30</v>
      </c>
    </row>
    <row r="172" spans="1:20" ht="14.1" customHeight="1" x14ac:dyDescent="0.3">
      <c r="A172" s="618"/>
      <c r="B172" s="470" t="s">
        <v>54</v>
      </c>
      <c r="C172" s="392"/>
      <c r="D172" s="426"/>
      <c r="E172" s="392"/>
      <c r="F172" s="394"/>
      <c r="G172" s="392"/>
      <c r="H172" s="391"/>
      <c r="I172" s="392"/>
      <c r="J172" s="391"/>
      <c r="K172" s="392"/>
      <c r="L172" s="425"/>
      <c r="M172" s="392"/>
      <c r="N172" s="406"/>
      <c r="O172" s="396"/>
      <c r="P172" s="395"/>
      <c r="Q172" s="6"/>
      <c r="R172" s="618"/>
      <c r="S172" s="480" t="s">
        <v>54</v>
      </c>
      <c r="T172" s="183">
        <f t="shared" si="20"/>
        <v>30</v>
      </c>
    </row>
    <row r="173" spans="1:20" ht="14.1" customHeight="1" x14ac:dyDescent="0.3">
      <c r="A173" s="618"/>
      <c r="B173" s="470" t="s">
        <v>204</v>
      </c>
      <c r="C173" s="392"/>
      <c r="D173" s="426"/>
      <c r="E173" s="392"/>
      <c r="F173" s="404"/>
      <c r="G173" s="392"/>
      <c r="H173" s="406"/>
      <c r="I173" s="392"/>
      <c r="J173" s="406"/>
      <c r="K173" s="392"/>
      <c r="L173" s="408"/>
      <c r="M173" s="392"/>
      <c r="N173" s="406"/>
      <c r="O173" s="396"/>
      <c r="P173" s="395"/>
      <c r="Q173" s="6"/>
      <c r="R173" s="618"/>
      <c r="S173" s="480" t="s">
        <v>204</v>
      </c>
      <c r="T173" s="183">
        <f t="shared" si="20"/>
        <v>0</v>
      </c>
    </row>
    <row r="174" spans="1:20" ht="14.1" customHeight="1" thickBot="1" x14ac:dyDescent="0.35">
      <c r="A174" s="618"/>
      <c r="B174" s="471" t="s">
        <v>113</v>
      </c>
      <c r="C174" s="411"/>
      <c r="D174" s="427"/>
      <c r="E174" s="411"/>
      <c r="F174" s="417"/>
      <c r="G174" s="411"/>
      <c r="H174" s="416"/>
      <c r="I174" s="411"/>
      <c r="J174" s="416"/>
      <c r="K174" s="411"/>
      <c r="L174" s="431"/>
      <c r="M174" s="411"/>
      <c r="N174" s="432"/>
      <c r="O174" s="433"/>
      <c r="P174" s="421"/>
      <c r="Q174" s="6"/>
      <c r="R174" s="618"/>
      <c r="S174" s="513" t="s">
        <v>113</v>
      </c>
      <c r="T174" s="184">
        <f t="shared" si="20"/>
        <v>0</v>
      </c>
    </row>
    <row r="175" spans="1:20" ht="14.1" customHeight="1" x14ac:dyDescent="0.3">
      <c r="A175" s="603" t="s">
        <v>215</v>
      </c>
      <c r="B175" s="472" t="s">
        <v>45</v>
      </c>
      <c r="C175" s="386"/>
      <c r="D175" s="403"/>
      <c r="E175" s="386"/>
      <c r="F175" s="388"/>
      <c r="G175" s="386"/>
      <c r="H175" s="385"/>
      <c r="I175" s="386"/>
      <c r="J175" s="385"/>
      <c r="K175" s="386"/>
      <c r="L175" s="405"/>
      <c r="M175" s="386"/>
      <c r="N175" s="385"/>
      <c r="O175" s="390"/>
      <c r="P175" s="389"/>
      <c r="Q175" s="6"/>
      <c r="R175" s="603" t="s">
        <v>215</v>
      </c>
      <c r="S175" s="483" t="s">
        <v>45</v>
      </c>
      <c r="T175" s="182">
        <f t="shared" si="20"/>
        <v>40</v>
      </c>
    </row>
    <row r="176" spans="1:20" ht="14.1" customHeight="1" thickBot="1" x14ac:dyDescent="0.35">
      <c r="A176" s="604"/>
      <c r="B176" s="482" t="s">
        <v>42</v>
      </c>
      <c r="C176" s="435"/>
      <c r="D176" s="434"/>
      <c r="E176" s="435"/>
      <c r="F176" s="400"/>
      <c r="G176" s="435"/>
      <c r="H176" s="397"/>
      <c r="I176" s="435"/>
      <c r="J176" s="397"/>
      <c r="K176" s="435"/>
      <c r="L176" s="436"/>
      <c r="M176" s="435"/>
      <c r="N176" s="437"/>
      <c r="O176" s="438"/>
      <c r="P176" s="401"/>
      <c r="Q176" s="6"/>
      <c r="R176" s="604"/>
      <c r="S176" s="503" t="s">
        <v>42</v>
      </c>
      <c r="T176" s="184">
        <f t="shared" si="20"/>
        <v>0</v>
      </c>
    </row>
    <row r="177" spans="1:20" ht="14.1" customHeight="1" x14ac:dyDescent="0.3">
      <c r="A177" s="605" t="s">
        <v>206</v>
      </c>
      <c r="B177" s="484" t="s">
        <v>207</v>
      </c>
      <c r="C177" s="412"/>
      <c r="D177" s="439"/>
      <c r="E177" s="412"/>
      <c r="F177" s="417"/>
      <c r="G177" s="412"/>
      <c r="H177" s="416"/>
      <c r="I177" s="412"/>
      <c r="J177" s="416"/>
      <c r="K177" s="412"/>
      <c r="L177" s="418"/>
      <c r="M177" s="412"/>
      <c r="N177" s="416"/>
      <c r="O177" s="419"/>
      <c r="P177" s="414"/>
      <c r="Q177" s="6"/>
      <c r="R177" s="605" t="s">
        <v>206</v>
      </c>
      <c r="S177" s="486" t="s">
        <v>207</v>
      </c>
      <c r="T177" s="182">
        <f t="shared" si="20"/>
        <v>6</v>
      </c>
    </row>
    <row r="178" spans="1:20" ht="14.1" customHeight="1" thickBot="1" x14ac:dyDescent="0.35">
      <c r="A178" s="606"/>
      <c r="B178" s="485" t="s">
        <v>208</v>
      </c>
      <c r="C178" s="412"/>
      <c r="D178" s="439"/>
      <c r="E178" s="412"/>
      <c r="F178" s="417"/>
      <c r="G178" s="412"/>
      <c r="H178" s="416"/>
      <c r="I178" s="412"/>
      <c r="J178" s="416"/>
      <c r="K178" s="412"/>
      <c r="L178" s="418"/>
      <c r="M178" s="412"/>
      <c r="N178" s="416"/>
      <c r="O178" s="419"/>
      <c r="P178" s="414"/>
      <c r="Q178" s="6"/>
      <c r="R178" s="607"/>
      <c r="S178" s="559" t="s">
        <v>208</v>
      </c>
      <c r="T178" s="184">
        <f t="shared" si="20"/>
        <v>6</v>
      </c>
    </row>
    <row r="179" spans="1:20" ht="14.1" customHeight="1" x14ac:dyDescent="0.3">
      <c r="A179" s="608" t="s">
        <v>125</v>
      </c>
      <c r="B179" s="473" t="s">
        <v>126</v>
      </c>
      <c r="C179" s="386"/>
      <c r="D179" s="422"/>
      <c r="E179" s="386"/>
      <c r="F179" s="388"/>
      <c r="G179" s="386"/>
      <c r="H179" s="405"/>
      <c r="I179" s="386"/>
      <c r="J179" s="385"/>
      <c r="K179" s="386"/>
      <c r="L179" s="405"/>
      <c r="M179" s="386"/>
      <c r="N179" s="385"/>
      <c r="O179" s="390"/>
      <c r="P179" s="389"/>
      <c r="Q179" s="6"/>
      <c r="R179" s="610" t="s">
        <v>125</v>
      </c>
      <c r="S179" s="562" t="s">
        <v>126</v>
      </c>
      <c r="T179" s="182">
        <f t="shared" si="20"/>
        <v>0</v>
      </c>
    </row>
    <row r="180" spans="1:20" ht="14.1" customHeight="1" x14ac:dyDescent="0.3">
      <c r="A180" s="608"/>
      <c r="B180" s="474" t="s">
        <v>127</v>
      </c>
      <c r="C180" s="412"/>
      <c r="D180" s="439"/>
      <c r="E180" s="412"/>
      <c r="F180" s="404"/>
      <c r="G180" s="412"/>
      <c r="H180" s="408"/>
      <c r="I180" s="412"/>
      <c r="J180" s="406"/>
      <c r="K180" s="412"/>
      <c r="L180" s="418"/>
      <c r="M180" s="412"/>
      <c r="N180" s="416"/>
      <c r="O180" s="419"/>
      <c r="P180" s="414"/>
      <c r="Q180" s="6"/>
      <c r="R180" s="608"/>
      <c r="S180" s="504" t="s">
        <v>127</v>
      </c>
      <c r="T180" s="183">
        <f t="shared" si="20"/>
        <v>0</v>
      </c>
    </row>
    <row r="181" spans="1:20" ht="14.1" customHeight="1" thickBot="1" x14ac:dyDescent="0.35">
      <c r="A181" s="609"/>
      <c r="B181" s="475" t="s">
        <v>128</v>
      </c>
      <c r="C181" s="398"/>
      <c r="D181" s="440"/>
      <c r="E181" s="398"/>
      <c r="F181" s="404"/>
      <c r="G181" s="398"/>
      <c r="H181" s="408"/>
      <c r="I181" s="398"/>
      <c r="J181" s="406"/>
      <c r="K181" s="398"/>
      <c r="L181" s="420"/>
      <c r="M181" s="398"/>
      <c r="N181" s="397"/>
      <c r="O181" s="402"/>
      <c r="P181" s="401"/>
      <c r="Q181" s="6"/>
      <c r="R181" s="609"/>
      <c r="S181" s="505" t="s">
        <v>128</v>
      </c>
      <c r="T181" s="184">
        <f t="shared" si="20"/>
        <v>0</v>
      </c>
    </row>
    <row r="182" spans="1:20" ht="14.1" customHeight="1" x14ac:dyDescent="0.3">
      <c r="A182" s="582" t="s">
        <v>52</v>
      </c>
      <c r="B182" s="476" t="s">
        <v>41</v>
      </c>
      <c r="C182" s="386"/>
      <c r="D182" s="441"/>
      <c r="E182" s="390"/>
      <c r="F182" s="388"/>
      <c r="G182" s="386"/>
      <c r="H182" s="405"/>
      <c r="I182" s="386"/>
      <c r="J182" s="385"/>
      <c r="K182" s="386"/>
      <c r="L182" s="405"/>
      <c r="M182" s="386"/>
      <c r="N182" s="385"/>
      <c r="O182" s="396"/>
      <c r="P182" s="389"/>
      <c r="Q182" s="6"/>
      <c r="R182" s="582" t="s">
        <v>52</v>
      </c>
      <c r="S182" s="377" t="s">
        <v>41</v>
      </c>
      <c r="T182" s="182">
        <f t="shared" si="20"/>
        <v>0</v>
      </c>
    </row>
    <row r="183" spans="1:20" ht="14.1" customHeight="1" x14ac:dyDescent="0.3">
      <c r="A183" s="583"/>
      <c r="B183" s="476" t="s">
        <v>11</v>
      </c>
      <c r="C183" s="392"/>
      <c r="D183" s="442"/>
      <c r="E183" s="396"/>
      <c r="F183" s="394"/>
      <c r="G183" s="392"/>
      <c r="H183" s="425"/>
      <c r="I183" s="392"/>
      <c r="J183" s="443"/>
      <c r="K183" s="392"/>
      <c r="L183" s="425"/>
      <c r="M183" s="392"/>
      <c r="N183" s="391"/>
      <c r="O183" s="396"/>
      <c r="P183" s="395"/>
      <c r="Q183" s="6"/>
      <c r="R183" s="583"/>
      <c r="S183" s="377" t="s">
        <v>11</v>
      </c>
      <c r="T183" s="183">
        <f t="shared" si="20"/>
        <v>0</v>
      </c>
    </row>
    <row r="184" spans="1:20" ht="14.1" customHeight="1" thickBot="1" x14ac:dyDescent="0.35">
      <c r="A184" s="584"/>
      <c r="B184" s="477" t="s">
        <v>27</v>
      </c>
      <c r="C184" s="409"/>
      <c r="D184" s="423"/>
      <c r="E184" s="430"/>
      <c r="F184" s="404"/>
      <c r="G184" s="409"/>
      <c r="H184" s="408"/>
      <c r="I184" s="409"/>
      <c r="J184" s="391"/>
      <c r="K184" s="409"/>
      <c r="L184" s="408"/>
      <c r="M184" s="409"/>
      <c r="N184" s="406"/>
      <c r="O184" s="396"/>
      <c r="P184" s="395"/>
      <c r="Q184" s="6"/>
      <c r="R184" s="584"/>
      <c r="S184" s="378" t="s">
        <v>27</v>
      </c>
      <c r="T184" s="184">
        <f t="shared" si="20"/>
        <v>0</v>
      </c>
    </row>
    <row r="185" spans="1:20" ht="14.1" customHeight="1" thickBot="1" x14ac:dyDescent="0.35">
      <c r="A185" s="585" t="s">
        <v>30</v>
      </c>
      <c r="B185" s="586"/>
      <c r="C185" s="445"/>
      <c r="D185" s="444"/>
      <c r="E185" s="445"/>
      <c r="F185" s="446"/>
      <c r="G185" s="445"/>
      <c r="H185" s="447"/>
      <c r="I185" s="445"/>
      <c r="J185" s="448"/>
      <c r="K185" s="445"/>
      <c r="L185" s="447"/>
      <c r="M185" s="445"/>
      <c r="N185" s="448"/>
      <c r="O185" s="449"/>
      <c r="P185" s="450"/>
      <c r="Q185" s="6"/>
      <c r="R185" s="585" t="s">
        <v>30</v>
      </c>
      <c r="S185" s="587"/>
      <c r="T185" s="184">
        <f t="shared" si="20"/>
        <v>100000000</v>
      </c>
    </row>
    <row r="186" spans="1:20" ht="14.1" customHeight="1" x14ac:dyDescent="0.3">
      <c r="A186" s="588" t="s">
        <v>38</v>
      </c>
      <c r="B186" s="589"/>
      <c r="C186" s="451"/>
      <c r="D186" s="385"/>
      <c r="E186" s="451"/>
      <c r="F186" s="391"/>
      <c r="G186" s="451"/>
      <c r="H186" s="405"/>
      <c r="I186" s="451"/>
      <c r="J186" s="452"/>
      <c r="K186" s="453"/>
      <c r="L186" s="405"/>
      <c r="M186" s="451"/>
      <c r="N186" s="408"/>
      <c r="O186" s="451"/>
      <c r="P186" s="389"/>
      <c r="Q186" s="6"/>
      <c r="R186" s="594" t="s">
        <v>38</v>
      </c>
      <c r="S186" s="597"/>
      <c r="T186" s="598"/>
    </row>
    <row r="187" spans="1:20" ht="14.1" customHeight="1" x14ac:dyDescent="0.3">
      <c r="A187" s="590"/>
      <c r="B187" s="591"/>
      <c r="C187" s="453"/>
      <c r="D187" s="391"/>
      <c r="E187" s="453"/>
      <c r="F187" s="406"/>
      <c r="G187" s="453"/>
      <c r="H187" s="425"/>
      <c r="I187" s="453"/>
      <c r="J187" s="391"/>
      <c r="K187" s="454"/>
      <c r="L187" s="425"/>
      <c r="M187" s="453"/>
      <c r="N187" s="425"/>
      <c r="O187" s="453"/>
      <c r="P187" s="395"/>
      <c r="Q187" s="6"/>
      <c r="R187" s="595"/>
      <c r="S187" s="599"/>
      <c r="T187" s="600"/>
    </row>
    <row r="188" spans="1:20" ht="14.1" customHeight="1" x14ac:dyDescent="0.3">
      <c r="A188" s="590"/>
      <c r="B188" s="591"/>
      <c r="C188" s="453"/>
      <c r="D188" s="391"/>
      <c r="E188" s="453"/>
      <c r="F188" s="406"/>
      <c r="G188" s="453"/>
      <c r="H188" s="425"/>
      <c r="I188" s="453"/>
      <c r="J188" s="406"/>
      <c r="K188" s="453"/>
      <c r="L188" s="391"/>
      <c r="M188" s="453"/>
      <c r="N188" s="408"/>
      <c r="O188" s="453"/>
      <c r="P188" s="395"/>
      <c r="Q188" s="6"/>
      <c r="R188" s="595"/>
      <c r="S188" s="599"/>
      <c r="T188" s="600"/>
    </row>
    <row r="189" spans="1:20" ht="14.1" customHeight="1" thickBot="1" x14ac:dyDescent="0.35">
      <c r="A189" s="592"/>
      <c r="B189" s="593"/>
      <c r="C189" s="455"/>
      <c r="D189" s="397"/>
      <c r="E189" s="455"/>
      <c r="F189" s="456"/>
      <c r="G189" s="455"/>
      <c r="H189" s="420"/>
      <c r="I189" s="455"/>
      <c r="J189" s="400"/>
      <c r="K189" s="455"/>
      <c r="L189" s="400"/>
      <c r="M189" s="455"/>
      <c r="N189" s="397"/>
      <c r="O189" s="455"/>
      <c r="P189" s="401"/>
      <c r="Q189" s="6"/>
      <c r="R189" s="596"/>
      <c r="S189" s="601"/>
      <c r="T189" s="602"/>
    </row>
    <row r="190" spans="1:20" ht="21" customHeight="1" x14ac:dyDescent="0.3">
      <c r="A190" s="652" t="str">
        <f>A127</f>
        <v>박관수님 보장분석</v>
      </c>
      <c r="B190" s="653"/>
      <c r="C190" s="649"/>
      <c r="D190" s="649"/>
      <c r="E190" s="649"/>
      <c r="F190" s="649"/>
      <c r="G190" s="649"/>
      <c r="H190" s="649"/>
      <c r="I190" s="649"/>
      <c r="J190" s="649"/>
      <c r="K190" s="649"/>
      <c r="L190" s="649"/>
      <c r="M190" s="649"/>
      <c r="N190" s="649"/>
      <c r="O190" s="649"/>
      <c r="P190" s="649"/>
      <c r="Q190" s="138"/>
      <c r="R190" s="650" t="s">
        <v>15</v>
      </c>
      <c r="S190" s="651"/>
      <c r="T190" s="137">
        <f ca="1">T127</f>
        <v>46140</v>
      </c>
    </row>
    <row r="191" spans="1:20" ht="14.1" customHeight="1" x14ac:dyDescent="0.3">
      <c r="A191" s="647" t="s">
        <v>49</v>
      </c>
      <c r="B191" s="648"/>
      <c r="C191" s="645"/>
      <c r="D191" s="645"/>
      <c r="E191" s="645"/>
      <c r="F191" s="645"/>
      <c r="G191" s="645"/>
      <c r="H191" s="645"/>
      <c r="I191" s="645"/>
      <c r="J191" s="645"/>
      <c r="K191" s="645"/>
      <c r="L191" s="645"/>
      <c r="M191" s="645"/>
      <c r="N191" s="645"/>
      <c r="O191" s="645"/>
      <c r="P191" s="645"/>
      <c r="Q191" s="25"/>
      <c r="R191" s="654"/>
      <c r="S191" s="655"/>
      <c r="T191" s="656"/>
    </row>
    <row r="192" spans="1:20" ht="14.1" customHeight="1" x14ac:dyDescent="0.3">
      <c r="A192" s="637" t="s">
        <v>28</v>
      </c>
      <c r="B192" s="638"/>
      <c r="C192" s="645"/>
      <c r="D192" s="645"/>
      <c r="E192" s="645"/>
      <c r="F192" s="645"/>
      <c r="G192" s="645"/>
      <c r="H192" s="645"/>
      <c r="I192" s="645"/>
      <c r="J192" s="645"/>
      <c r="K192" s="645"/>
      <c r="L192" s="645"/>
      <c r="M192" s="645"/>
      <c r="N192" s="645"/>
      <c r="O192" s="646"/>
      <c r="P192" s="646"/>
      <c r="Q192" s="25"/>
      <c r="R192" s="657"/>
      <c r="S192" s="658"/>
      <c r="T192" s="659"/>
    </row>
    <row r="193" spans="1:20" ht="14.1" customHeight="1" x14ac:dyDescent="0.3">
      <c r="A193" s="647" t="s">
        <v>17</v>
      </c>
      <c r="B193" s="648"/>
      <c r="C193" s="646"/>
      <c r="D193" s="645"/>
      <c r="E193" s="646"/>
      <c r="F193" s="646"/>
      <c r="G193" s="646"/>
      <c r="H193" s="646"/>
      <c r="I193" s="646"/>
      <c r="J193" s="645"/>
      <c r="K193" s="646"/>
      <c r="L193" s="645"/>
      <c r="M193" s="646"/>
      <c r="N193" s="645"/>
      <c r="O193" s="646"/>
      <c r="P193" s="646"/>
      <c r="Q193" s="25"/>
      <c r="R193" s="657"/>
      <c r="S193" s="658"/>
      <c r="T193" s="659"/>
    </row>
    <row r="194" spans="1:20" ht="14.1" customHeight="1" x14ac:dyDescent="0.3">
      <c r="A194" s="647" t="s">
        <v>23</v>
      </c>
      <c r="B194" s="648"/>
      <c r="C194" s="383"/>
      <c r="D194" s="382"/>
      <c r="E194" s="383"/>
      <c r="F194" s="382">
        <f ca="1">IF(DATEDIF(E193,$T$1,"m")&lt;E194*12,DATEDIF(E193,$T$1,"m"),E194*12)</f>
        <v>0</v>
      </c>
      <c r="G194" s="383"/>
      <c r="H194" s="382">
        <f ca="1">IF(DATEDIF(G193,$T$1,"m")&lt;G194*12,DATEDIF(G193,$T$1,"m"),G194*12)</f>
        <v>0</v>
      </c>
      <c r="I194" s="383"/>
      <c r="J194" s="382">
        <f ca="1">IF(DATEDIF(I193,$T$1,"m")&lt;I194*12,DATEDIF(I193,$T$1,"m"),I194*12)</f>
        <v>0</v>
      </c>
      <c r="K194" s="383"/>
      <c r="L194" s="382">
        <f ca="1">IF(DATEDIF(K193,$T$1,"m")&lt;K194*12,DATEDIF(K193,$T$1,"m"),K194*12)</f>
        <v>0</v>
      </c>
      <c r="M194" s="383"/>
      <c r="N194" s="384">
        <f ca="1">IF(DATEDIF(M193,$T$1,"m")&lt;M194*12,DATEDIF(M193,$T$1,"m"),M194*12)</f>
        <v>0</v>
      </c>
      <c r="O194" s="383"/>
      <c r="P194" s="382">
        <f ca="1">IF(DATEDIF(O193,$T$1,"m")&lt;O194*12,DATEDIF(O193,$T$1,"m"),O194*12)</f>
        <v>0</v>
      </c>
      <c r="Q194" s="25"/>
      <c r="R194" s="657"/>
      <c r="S194" s="658"/>
      <c r="T194" s="659"/>
    </row>
    <row r="195" spans="1:20" ht="14.1" customHeight="1" x14ac:dyDescent="0.3">
      <c r="A195" s="647" t="s">
        <v>2</v>
      </c>
      <c r="B195" s="648"/>
      <c r="C195" s="645"/>
      <c r="D195" s="645"/>
      <c r="E195" s="645"/>
      <c r="F195" s="645"/>
      <c r="G195" s="645"/>
      <c r="H195" s="645"/>
      <c r="I195" s="645"/>
      <c r="J195" s="645"/>
      <c r="K195" s="645"/>
      <c r="L195" s="645"/>
      <c r="M195" s="645"/>
      <c r="N195" s="645"/>
      <c r="O195" s="645"/>
      <c r="P195" s="645"/>
      <c r="Q195" s="25"/>
      <c r="R195" s="660"/>
      <c r="S195" s="661"/>
      <c r="T195" s="662"/>
    </row>
    <row r="196" spans="1:20" ht="14.1" customHeight="1" x14ac:dyDescent="0.3">
      <c r="A196" s="632" t="s">
        <v>37</v>
      </c>
      <c r="B196" s="633"/>
      <c r="C196" s="642"/>
      <c r="D196" s="642"/>
      <c r="E196" s="642"/>
      <c r="F196" s="642"/>
      <c r="G196" s="642"/>
      <c r="H196" s="642"/>
      <c r="I196" s="642"/>
      <c r="J196" s="642"/>
      <c r="K196" s="642"/>
      <c r="L196" s="642"/>
      <c r="M196" s="642"/>
      <c r="N196" s="642"/>
      <c r="O196" s="642"/>
      <c r="P196" s="642"/>
      <c r="Q196" s="25"/>
      <c r="R196" s="643"/>
      <c r="S196" s="644"/>
      <c r="T196" s="27" t="s">
        <v>91</v>
      </c>
    </row>
    <row r="197" spans="1:20" ht="14.1" customHeight="1" x14ac:dyDescent="0.3">
      <c r="A197" s="639" t="s">
        <v>12</v>
      </c>
      <c r="B197" s="640"/>
      <c r="C197" s="641"/>
      <c r="D197" s="641"/>
      <c r="E197" s="641"/>
      <c r="F197" s="641"/>
      <c r="G197" s="641"/>
      <c r="H197" s="641"/>
      <c r="I197" s="641"/>
      <c r="J197" s="641"/>
      <c r="K197" s="641"/>
      <c r="L197" s="641"/>
      <c r="M197" s="641"/>
      <c r="N197" s="641"/>
      <c r="O197" s="641"/>
      <c r="P197" s="641"/>
      <c r="Q197" s="26"/>
      <c r="R197" s="635" t="s">
        <v>34</v>
      </c>
      <c r="S197" s="636"/>
      <c r="T197" s="60">
        <f>T134+C197+E197+G197+I197+K197+O197</f>
        <v>183350</v>
      </c>
    </row>
    <row r="198" spans="1:20" ht="14.1" customHeight="1" x14ac:dyDescent="0.3">
      <c r="A198" s="637" t="s">
        <v>3</v>
      </c>
      <c r="B198" s="638"/>
      <c r="C198" s="634"/>
      <c r="D198" s="634"/>
      <c r="E198" s="634">
        <f>E197*E194*12</f>
        <v>0</v>
      </c>
      <c r="F198" s="634"/>
      <c r="G198" s="634">
        <f>G197*G194*12</f>
        <v>0</v>
      </c>
      <c r="H198" s="634"/>
      <c r="I198" s="634">
        <f>I197*I194*12</f>
        <v>0</v>
      </c>
      <c r="J198" s="634"/>
      <c r="K198" s="634">
        <f>K197*K194*12</f>
        <v>0</v>
      </c>
      <c r="L198" s="634"/>
      <c r="M198" s="634">
        <f>M197*M194*12</f>
        <v>0</v>
      </c>
      <c r="N198" s="634"/>
      <c r="O198" s="634">
        <f>O197*O194*12</f>
        <v>0</v>
      </c>
      <c r="P198" s="634"/>
      <c r="Q198" s="26"/>
      <c r="R198" s="635" t="s">
        <v>33</v>
      </c>
      <c r="S198" s="636"/>
      <c r="T198" s="51">
        <f>T135+C198+E198+G198+I198+K198+O198</f>
        <v>44893200</v>
      </c>
    </row>
    <row r="199" spans="1:20" ht="14.1" customHeight="1" x14ac:dyDescent="0.3">
      <c r="A199" s="637" t="s">
        <v>4</v>
      </c>
      <c r="B199" s="638"/>
      <c r="C199" s="634"/>
      <c r="D199" s="634"/>
      <c r="E199" s="634">
        <f ca="1">E197*F194</f>
        <v>0</v>
      </c>
      <c r="F199" s="634"/>
      <c r="G199" s="634">
        <f ca="1">G197*H194</f>
        <v>0</v>
      </c>
      <c r="H199" s="634"/>
      <c r="I199" s="634">
        <f ca="1">I197*J194</f>
        <v>0</v>
      </c>
      <c r="J199" s="634"/>
      <c r="K199" s="634">
        <f ca="1">K197*L194</f>
        <v>0</v>
      </c>
      <c r="L199" s="634"/>
      <c r="M199" s="634">
        <f ca="1">M197*N194</f>
        <v>0</v>
      </c>
      <c r="N199" s="634"/>
      <c r="O199" s="634">
        <f ca="1">O197*P194</f>
        <v>0</v>
      </c>
      <c r="P199" s="634"/>
      <c r="Q199" s="26"/>
      <c r="R199" s="635" t="s">
        <v>31</v>
      </c>
      <c r="S199" s="636"/>
      <c r="T199" s="51">
        <f ca="1">T136+C199+E199+G199+I199+K199+O199</f>
        <v>25530530</v>
      </c>
    </row>
    <row r="200" spans="1:20" ht="14.1" customHeight="1" thickBot="1" x14ac:dyDescent="0.35">
      <c r="A200" s="632" t="s">
        <v>18</v>
      </c>
      <c r="B200" s="633"/>
      <c r="C200" s="634"/>
      <c r="D200" s="634"/>
      <c r="E200" s="634">
        <f ca="1">E198-E199</f>
        <v>0</v>
      </c>
      <c r="F200" s="634"/>
      <c r="G200" s="634">
        <f ca="1">G198-G199</f>
        <v>0</v>
      </c>
      <c r="H200" s="634"/>
      <c r="I200" s="634">
        <f ca="1">I198-I199</f>
        <v>0</v>
      </c>
      <c r="J200" s="634"/>
      <c r="K200" s="634">
        <f ca="1">K198-K199</f>
        <v>0</v>
      </c>
      <c r="L200" s="634"/>
      <c r="M200" s="634">
        <f ca="1">M198-M199</f>
        <v>0</v>
      </c>
      <c r="N200" s="634"/>
      <c r="O200" s="634">
        <f ca="1">O198-O199</f>
        <v>0</v>
      </c>
      <c r="P200" s="634"/>
      <c r="Q200" s="26"/>
      <c r="R200" s="619" t="s">
        <v>35</v>
      </c>
      <c r="S200" s="620"/>
      <c r="T200" s="52">
        <f ca="1">T137+C200+E200+G200+I200+K200+O200</f>
        <v>19362670</v>
      </c>
    </row>
    <row r="201" spans="1:20" ht="14.1" customHeight="1" x14ac:dyDescent="0.3">
      <c r="A201" s="621" t="s">
        <v>202</v>
      </c>
      <c r="B201" s="457" t="s">
        <v>149</v>
      </c>
      <c r="C201" s="386"/>
      <c r="D201" s="385"/>
      <c r="E201" s="386"/>
      <c r="F201" s="387"/>
      <c r="G201" s="386"/>
      <c r="H201" s="388"/>
      <c r="I201" s="386"/>
      <c r="J201" s="388"/>
      <c r="K201" s="386"/>
      <c r="L201" s="385"/>
      <c r="M201" s="386"/>
      <c r="N201" s="389"/>
      <c r="O201" s="390"/>
      <c r="P201" s="389"/>
      <c r="Q201" s="6"/>
      <c r="R201" s="621" t="s">
        <v>202</v>
      </c>
      <c r="S201" s="352" t="s">
        <v>149</v>
      </c>
      <c r="T201" s="182">
        <f t="shared" ref="T201:T248" si="21">T138+C201+E201+G201+I201+K201+M201+O201</f>
        <v>50000000</v>
      </c>
    </row>
    <row r="202" spans="1:20" ht="14.1" customHeight="1" x14ac:dyDescent="0.3">
      <c r="A202" s="622"/>
      <c r="B202" s="458" t="s">
        <v>150</v>
      </c>
      <c r="C202" s="392"/>
      <c r="D202" s="391"/>
      <c r="E202" s="392"/>
      <c r="F202" s="393"/>
      <c r="G202" s="392"/>
      <c r="H202" s="394"/>
      <c r="I202" s="392"/>
      <c r="J202" s="394"/>
      <c r="K202" s="392"/>
      <c r="L202" s="391"/>
      <c r="M202" s="392"/>
      <c r="N202" s="395"/>
      <c r="O202" s="396"/>
      <c r="P202" s="395"/>
      <c r="Q202" s="6"/>
      <c r="R202" s="622"/>
      <c r="S202" s="353" t="s">
        <v>150</v>
      </c>
      <c r="T202" s="183">
        <f t="shared" si="21"/>
        <v>300000</v>
      </c>
    </row>
    <row r="203" spans="1:20" ht="14.1" customHeight="1" x14ac:dyDescent="0.3">
      <c r="A203" s="622"/>
      <c r="B203" s="458" t="s">
        <v>151</v>
      </c>
      <c r="C203" s="392"/>
      <c r="D203" s="391"/>
      <c r="E203" s="392"/>
      <c r="F203" s="393"/>
      <c r="G203" s="392"/>
      <c r="H203" s="394"/>
      <c r="I203" s="392"/>
      <c r="J203" s="394"/>
      <c r="K203" s="392"/>
      <c r="L203" s="391"/>
      <c r="M203" s="392"/>
      <c r="N203" s="395"/>
      <c r="O203" s="396"/>
      <c r="P203" s="395"/>
      <c r="Q203" s="6"/>
      <c r="R203" s="622"/>
      <c r="S203" s="353" t="s">
        <v>151</v>
      </c>
      <c r="T203" s="183">
        <f t="shared" si="21"/>
        <v>50000000</v>
      </c>
    </row>
    <row r="204" spans="1:20" ht="14.1" customHeight="1" x14ac:dyDescent="0.3">
      <c r="A204" s="622"/>
      <c r="B204" s="458" t="s">
        <v>148</v>
      </c>
      <c r="C204" s="392"/>
      <c r="D204" s="391"/>
      <c r="E204" s="392"/>
      <c r="F204" s="393"/>
      <c r="G204" s="392"/>
      <c r="H204" s="394"/>
      <c r="I204" s="392"/>
      <c r="J204" s="394"/>
      <c r="K204" s="392"/>
      <c r="L204" s="391"/>
      <c r="M204" s="392"/>
      <c r="N204" s="395"/>
      <c r="O204" s="396"/>
      <c r="P204" s="395"/>
      <c r="Q204" s="6"/>
      <c r="R204" s="622"/>
      <c r="S204" s="353" t="s">
        <v>148</v>
      </c>
      <c r="T204" s="183">
        <f t="shared" si="21"/>
        <v>300000</v>
      </c>
    </row>
    <row r="205" spans="1:20" ht="14.1" customHeight="1" thickBot="1" x14ac:dyDescent="0.35">
      <c r="A205" s="623"/>
      <c r="B205" s="459" t="s">
        <v>89</v>
      </c>
      <c r="C205" s="398"/>
      <c r="D205" s="397"/>
      <c r="E205" s="398"/>
      <c r="F205" s="399"/>
      <c r="G205" s="398"/>
      <c r="H205" s="400"/>
      <c r="I205" s="398"/>
      <c r="J205" s="400"/>
      <c r="K205" s="398"/>
      <c r="L205" s="397"/>
      <c r="M205" s="398"/>
      <c r="N205" s="401"/>
      <c r="O205" s="402"/>
      <c r="P205" s="401"/>
      <c r="Q205" s="6"/>
      <c r="R205" s="623"/>
      <c r="S205" s="354" t="s">
        <v>89</v>
      </c>
      <c r="T205" s="184">
        <f t="shared" si="21"/>
        <v>0</v>
      </c>
    </row>
    <row r="206" spans="1:20" ht="14.1" customHeight="1" x14ac:dyDescent="0.3">
      <c r="A206" s="624" t="s">
        <v>50</v>
      </c>
      <c r="B206" s="460" t="s">
        <v>203</v>
      </c>
      <c r="C206" s="386"/>
      <c r="D206" s="403"/>
      <c r="E206" s="386"/>
      <c r="F206" s="388"/>
      <c r="G206" s="386"/>
      <c r="H206" s="388"/>
      <c r="I206" s="386"/>
      <c r="J206" s="388"/>
      <c r="K206" s="386"/>
      <c r="L206" s="405"/>
      <c r="M206" s="386"/>
      <c r="N206" s="385"/>
      <c r="O206" s="386"/>
      <c r="P206" s="389"/>
      <c r="Q206" s="6"/>
      <c r="R206" s="626" t="s">
        <v>50</v>
      </c>
      <c r="S206" s="490" t="s">
        <v>168</v>
      </c>
      <c r="T206" s="182">
        <f t="shared" si="21"/>
        <v>30000000</v>
      </c>
    </row>
    <row r="207" spans="1:20" ht="14.1" customHeight="1" x14ac:dyDescent="0.3">
      <c r="A207" s="625"/>
      <c r="B207" s="481" t="s">
        <v>205</v>
      </c>
      <c r="C207" s="392"/>
      <c r="D207" s="407"/>
      <c r="E207" s="392"/>
      <c r="F207" s="404"/>
      <c r="G207" s="392"/>
      <c r="H207" s="404"/>
      <c r="I207" s="392"/>
      <c r="J207" s="404"/>
      <c r="K207" s="392"/>
      <c r="L207" s="408"/>
      <c r="M207" s="392"/>
      <c r="N207" s="406"/>
      <c r="O207" s="409"/>
      <c r="P207" s="410"/>
      <c r="Q207" s="6"/>
      <c r="R207" s="627"/>
      <c r="S207" s="491" t="s">
        <v>205</v>
      </c>
      <c r="T207" s="183">
        <f t="shared" si="21"/>
        <v>3000000</v>
      </c>
    </row>
    <row r="208" spans="1:20" ht="14.1" customHeight="1" thickBot="1" x14ac:dyDescent="0.35">
      <c r="A208" s="625"/>
      <c r="B208" s="553" t="s">
        <v>211</v>
      </c>
      <c r="C208" s="398"/>
      <c r="D208" s="564"/>
      <c r="E208" s="398"/>
      <c r="F208" s="534"/>
      <c r="G208" s="398"/>
      <c r="H208" s="534"/>
      <c r="I208" s="398"/>
      <c r="J208" s="534"/>
      <c r="K208" s="398"/>
      <c r="L208" s="436"/>
      <c r="M208" s="435"/>
      <c r="N208" s="437"/>
      <c r="O208" s="435"/>
      <c r="P208" s="565"/>
      <c r="Q208" s="6"/>
      <c r="R208" s="627"/>
      <c r="S208" s="566" t="s">
        <v>211</v>
      </c>
      <c r="T208" s="183">
        <f t="shared" si="21"/>
        <v>30000000</v>
      </c>
    </row>
    <row r="209" spans="1:20" ht="14.1" customHeight="1" x14ac:dyDescent="0.3">
      <c r="A209" s="625"/>
      <c r="B209" s="554" t="s">
        <v>163</v>
      </c>
      <c r="C209" s="409"/>
      <c r="D209" s="407"/>
      <c r="E209" s="409"/>
      <c r="F209" s="404"/>
      <c r="G209" s="409"/>
      <c r="H209" s="404"/>
      <c r="I209" s="409"/>
      <c r="J209" s="404"/>
      <c r="K209" s="409"/>
      <c r="L209" s="408"/>
      <c r="M209" s="409"/>
      <c r="N209" s="406"/>
      <c r="O209" s="409"/>
      <c r="P209" s="410"/>
      <c r="Q209" s="6"/>
      <c r="R209" s="627"/>
      <c r="S209" s="343" t="s">
        <v>163</v>
      </c>
      <c r="T209" s="182">
        <f t="shared" si="21"/>
        <v>4000000</v>
      </c>
    </row>
    <row r="210" spans="1:20" ht="14.1" customHeight="1" x14ac:dyDescent="0.3">
      <c r="A210" s="625"/>
      <c r="B210" s="555" t="s">
        <v>162</v>
      </c>
      <c r="C210" s="392"/>
      <c r="D210" s="407"/>
      <c r="E210" s="392"/>
      <c r="F210" s="404"/>
      <c r="G210" s="392"/>
      <c r="H210" s="404"/>
      <c r="I210" s="392"/>
      <c r="J210" s="404"/>
      <c r="K210" s="392"/>
      <c r="L210" s="408"/>
      <c r="M210" s="409"/>
      <c r="N210" s="406"/>
      <c r="O210" s="409"/>
      <c r="P210" s="410"/>
      <c r="Q210" s="6"/>
      <c r="R210" s="627"/>
      <c r="S210" s="326" t="s">
        <v>162</v>
      </c>
      <c r="T210" s="183">
        <f t="shared" si="21"/>
        <v>0</v>
      </c>
    </row>
    <row r="211" spans="1:20" ht="14.1" customHeight="1" x14ac:dyDescent="0.3">
      <c r="A211" s="625"/>
      <c r="B211" s="556" t="s">
        <v>164</v>
      </c>
      <c r="C211" s="392"/>
      <c r="D211" s="407"/>
      <c r="E211" s="392"/>
      <c r="F211" s="404"/>
      <c r="G211" s="392"/>
      <c r="H211" s="404"/>
      <c r="I211" s="392"/>
      <c r="J211" s="404"/>
      <c r="K211" s="392"/>
      <c r="L211" s="408"/>
      <c r="M211" s="409"/>
      <c r="N211" s="406"/>
      <c r="O211" s="409"/>
      <c r="P211" s="410"/>
      <c r="Q211" s="6"/>
      <c r="R211" s="627"/>
      <c r="S211" s="343" t="s">
        <v>164</v>
      </c>
      <c r="T211" s="183">
        <f t="shared" si="21"/>
        <v>0</v>
      </c>
    </row>
    <row r="212" spans="1:20" ht="14.1" customHeight="1" x14ac:dyDescent="0.3">
      <c r="A212" s="625"/>
      <c r="B212" s="555" t="s">
        <v>165</v>
      </c>
      <c r="C212" s="392"/>
      <c r="D212" s="407"/>
      <c r="E212" s="392"/>
      <c r="F212" s="404"/>
      <c r="G212" s="392"/>
      <c r="H212" s="404"/>
      <c r="I212" s="392"/>
      <c r="J212" s="404"/>
      <c r="K212" s="392"/>
      <c r="L212" s="408"/>
      <c r="M212" s="409"/>
      <c r="N212" s="406"/>
      <c r="O212" s="409"/>
      <c r="P212" s="410"/>
      <c r="Q212" s="6"/>
      <c r="R212" s="627"/>
      <c r="S212" s="326" t="s">
        <v>165</v>
      </c>
      <c r="T212" s="183">
        <f t="shared" si="21"/>
        <v>0</v>
      </c>
    </row>
    <row r="213" spans="1:20" ht="14.1" customHeight="1" x14ac:dyDescent="0.3">
      <c r="A213" s="625"/>
      <c r="B213" s="555" t="s">
        <v>184</v>
      </c>
      <c r="C213" s="392"/>
      <c r="D213" s="407"/>
      <c r="E213" s="392"/>
      <c r="F213" s="404"/>
      <c r="G213" s="392"/>
      <c r="H213" s="404"/>
      <c r="I213" s="392"/>
      <c r="J213" s="404"/>
      <c r="K213" s="392"/>
      <c r="L213" s="408"/>
      <c r="M213" s="409"/>
      <c r="N213" s="406"/>
      <c r="O213" s="409"/>
      <c r="P213" s="410"/>
      <c r="Q213" s="6"/>
      <c r="R213" s="627"/>
      <c r="S213" s="326" t="s">
        <v>184</v>
      </c>
      <c r="T213" s="183">
        <f t="shared" si="21"/>
        <v>0</v>
      </c>
    </row>
    <row r="214" spans="1:20" ht="14.1" customHeight="1" x14ac:dyDescent="0.3">
      <c r="A214" s="625"/>
      <c r="B214" s="555" t="s">
        <v>185</v>
      </c>
      <c r="C214" s="392"/>
      <c r="D214" s="407"/>
      <c r="E214" s="392"/>
      <c r="F214" s="404"/>
      <c r="G214" s="392"/>
      <c r="H214" s="404"/>
      <c r="I214" s="392"/>
      <c r="J214" s="404"/>
      <c r="K214" s="392"/>
      <c r="L214" s="408"/>
      <c r="M214" s="409"/>
      <c r="N214" s="406"/>
      <c r="O214" s="409"/>
      <c r="P214" s="410"/>
      <c r="Q214" s="6"/>
      <c r="R214" s="627"/>
      <c r="S214" s="326" t="s">
        <v>185</v>
      </c>
      <c r="T214" s="183">
        <f t="shared" si="21"/>
        <v>0</v>
      </c>
    </row>
    <row r="215" spans="1:20" ht="14.1" customHeight="1" x14ac:dyDescent="0.3">
      <c r="A215" s="625"/>
      <c r="B215" s="556" t="s">
        <v>166</v>
      </c>
      <c r="C215" s="392"/>
      <c r="D215" s="407"/>
      <c r="E215" s="411"/>
      <c r="F215" s="406"/>
      <c r="G215" s="411"/>
      <c r="H215" s="404"/>
      <c r="I215" s="411"/>
      <c r="J215" s="404"/>
      <c r="K215" s="411"/>
      <c r="L215" s="408"/>
      <c r="M215" s="412"/>
      <c r="N215" s="406"/>
      <c r="O215" s="409"/>
      <c r="P215" s="410"/>
      <c r="Q215" s="6"/>
      <c r="R215" s="627"/>
      <c r="S215" s="343" t="s">
        <v>166</v>
      </c>
      <c r="T215" s="183">
        <f t="shared" si="21"/>
        <v>0</v>
      </c>
    </row>
    <row r="216" spans="1:20" ht="14.1" customHeight="1" x14ac:dyDescent="0.3">
      <c r="A216" s="625"/>
      <c r="B216" s="555" t="s">
        <v>167</v>
      </c>
      <c r="C216" s="411"/>
      <c r="D216" s="413"/>
      <c r="E216" s="411"/>
      <c r="F216" s="406"/>
      <c r="G216" s="411"/>
      <c r="H216" s="404"/>
      <c r="I216" s="411"/>
      <c r="J216" s="404"/>
      <c r="K216" s="411"/>
      <c r="L216" s="408"/>
      <c r="M216" s="412"/>
      <c r="N216" s="406"/>
      <c r="O216" s="412"/>
      <c r="P216" s="414"/>
      <c r="Q216" s="6"/>
      <c r="R216" s="627"/>
      <c r="S216" s="326" t="s">
        <v>167</v>
      </c>
      <c r="T216" s="183">
        <f t="shared" si="21"/>
        <v>0</v>
      </c>
    </row>
    <row r="217" spans="1:20" ht="14.1" customHeight="1" thickBot="1" x14ac:dyDescent="0.35">
      <c r="A217" s="625"/>
      <c r="B217" s="557" t="s">
        <v>186</v>
      </c>
      <c r="C217" s="398"/>
      <c r="D217" s="397"/>
      <c r="E217" s="398"/>
      <c r="F217" s="415"/>
      <c r="G217" s="398"/>
      <c r="H217" s="404"/>
      <c r="I217" s="398"/>
      <c r="J217" s="404"/>
      <c r="K217" s="398"/>
      <c r="L217" s="408"/>
      <c r="M217" s="398"/>
      <c r="N217" s="406"/>
      <c r="O217" s="402"/>
      <c r="P217" s="401"/>
      <c r="Q217" s="6"/>
      <c r="R217" s="627"/>
      <c r="S217" s="327" t="s">
        <v>186</v>
      </c>
      <c r="T217" s="184">
        <f t="shared" si="21"/>
        <v>0</v>
      </c>
    </row>
    <row r="218" spans="1:20" ht="14.1" customHeight="1" x14ac:dyDescent="0.3">
      <c r="A218" s="628" t="s">
        <v>19</v>
      </c>
      <c r="B218" s="461" t="s">
        <v>193</v>
      </c>
      <c r="C218" s="392"/>
      <c r="D218" s="385"/>
      <c r="E218" s="392"/>
      <c r="F218" s="388"/>
      <c r="G218" s="392"/>
      <c r="H218" s="388"/>
      <c r="I218" s="392"/>
      <c r="J218" s="388"/>
      <c r="K218" s="392"/>
      <c r="L218" s="405"/>
      <c r="M218" s="386"/>
      <c r="N218" s="385"/>
      <c r="O218" s="396"/>
      <c r="P218" s="389"/>
      <c r="Q218" s="6"/>
      <c r="R218" s="630" t="s">
        <v>19</v>
      </c>
      <c r="S218" s="379" t="s">
        <v>51</v>
      </c>
      <c r="T218" s="182">
        <f t="shared" si="21"/>
        <v>0</v>
      </c>
    </row>
    <row r="219" spans="1:20" ht="14.1" customHeight="1" x14ac:dyDescent="0.3">
      <c r="A219" s="629"/>
      <c r="B219" s="462" t="s">
        <v>194</v>
      </c>
      <c r="C219" s="392"/>
      <c r="D219" s="406"/>
      <c r="E219" s="409"/>
      <c r="F219" s="404"/>
      <c r="G219" s="392"/>
      <c r="H219" s="404"/>
      <c r="I219" s="392"/>
      <c r="J219" s="404"/>
      <c r="K219" s="392"/>
      <c r="L219" s="408"/>
      <c r="M219" s="409"/>
      <c r="N219" s="406"/>
      <c r="O219" s="396"/>
      <c r="P219" s="410"/>
      <c r="Q219" s="6"/>
      <c r="R219" s="631"/>
      <c r="S219" s="380" t="s">
        <v>43</v>
      </c>
      <c r="T219" s="183">
        <f t="shared" si="21"/>
        <v>30000000</v>
      </c>
    </row>
    <row r="220" spans="1:20" ht="14.1" customHeight="1" thickBot="1" x14ac:dyDescent="0.35">
      <c r="A220" s="629"/>
      <c r="B220" s="463" t="s">
        <v>195</v>
      </c>
      <c r="C220" s="412"/>
      <c r="D220" s="416"/>
      <c r="E220" s="412"/>
      <c r="F220" s="417"/>
      <c r="G220" s="412"/>
      <c r="H220" s="417"/>
      <c r="I220" s="412"/>
      <c r="J220" s="417"/>
      <c r="K220" s="412"/>
      <c r="L220" s="418"/>
      <c r="M220" s="412"/>
      <c r="N220" s="416"/>
      <c r="O220" s="419"/>
      <c r="P220" s="414"/>
      <c r="Q220" s="6"/>
      <c r="R220" s="631"/>
      <c r="S220" s="381" t="s">
        <v>53</v>
      </c>
      <c r="T220" s="183">
        <f t="shared" si="21"/>
        <v>0</v>
      </c>
    </row>
    <row r="221" spans="1:20" ht="14.1" customHeight="1" x14ac:dyDescent="0.3">
      <c r="A221" s="629"/>
      <c r="B221" s="461" t="s">
        <v>196</v>
      </c>
      <c r="C221" s="386"/>
      <c r="D221" s="385"/>
      <c r="E221" s="386"/>
      <c r="F221" s="388"/>
      <c r="G221" s="386"/>
      <c r="H221" s="388"/>
      <c r="I221" s="386"/>
      <c r="J221" s="388"/>
      <c r="K221" s="386"/>
      <c r="L221" s="405"/>
      <c r="M221" s="386"/>
      <c r="N221" s="385"/>
      <c r="O221" s="390"/>
      <c r="P221" s="389"/>
      <c r="Q221" s="6"/>
      <c r="R221" s="631"/>
      <c r="S221" s="358" t="s">
        <v>65</v>
      </c>
      <c r="T221" s="182">
        <f t="shared" si="21"/>
        <v>0</v>
      </c>
    </row>
    <row r="222" spans="1:20" ht="14.1" customHeight="1" x14ac:dyDescent="0.3">
      <c r="A222" s="629"/>
      <c r="B222" s="488" t="s">
        <v>197</v>
      </c>
      <c r="C222" s="392"/>
      <c r="D222" s="406"/>
      <c r="E222" s="392"/>
      <c r="F222" s="404"/>
      <c r="G222" s="392"/>
      <c r="H222" s="404"/>
      <c r="I222" s="392"/>
      <c r="J222" s="404"/>
      <c r="K222" s="392"/>
      <c r="L222" s="408"/>
      <c r="M222" s="392"/>
      <c r="N222" s="406"/>
      <c r="O222" s="396"/>
      <c r="P222" s="410"/>
      <c r="Q222" s="6"/>
      <c r="R222" s="631"/>
      <c r="S222" s="359" t="s">
        <v>8</v>
      </c>
      <c r="T222" s="183">
        <f t="shared" si="21"/>
        <v>0</v>
      </c>
    </row>
    <row r="223" spans="1:20" ht="14.1" customHeight="1" thickBot="1" x14ac:dyDescent="0.35">
      <c r="A223" s="629"/>
      <c r="B223" s="489" t="s">
        <v>198</v>
      </c>
      <c r="C223" s="398"/>
      <c r="D223" s="397"/>
      <c r="E223" s="398"/>
      <c r="F223" s="400"/>
      <c r="G223" s="398"/>
      <c r="H223" s="400"/>
      <c r="I223" s="398"/>
      <c r="J223" s="400"/>
      <c r="K223" s="398"/>
      <c r="L223" s="420"/>
      <c r="M223" s="398"/>
      <c r="N223" s="397"/>
      <c r="O223" s="402"/>
      <c r="P223" s="421"/>
      <c r="Q223" s="6"/>
      <c r="R223" s="631"/>
      <c r="S223" s="360" t="s">
        <v>5</v>
      </c>
      <c r="T223" s="183">
        <f t="shared" si="21"/>
        <v>30000000</v>
      </c>
    </row>
    <row r="224" spans="1:20" ht="14.1" customHeight="1" x14ac:dyDescent="0.3">
      <c r="A224" s="629"/>
      <c r="B224" s="461" t="s">
        <v>210</v>
      </c>
      <c r="C224" s="386"/>
      <c r="D224" s="385"/>
      <c r="E224" s="386"/>
      <c r="F224" s="388"/>
      <c r="G224" s="386"/>
      <c r="H224" s="388"/>
      <c r="I224" s="386"/>
      <c r="J224" s="388"/>
      <c r="K224" s="386"/>
      <c r="L224" s="405"/>
      <c r="M224" s="386"/>
      <c r="N224" s="385"/>
      <c r="O224" s="390"/>
      <c r="P224" s="389"/>
      <c r="Q224" s="6"/>
      <c r="R224" s="631"/>
      <c r="S224" s="361" t="s">
        <v>199</v>
      </c>
      <c r="T224" s="182">
        <f t="shared" si="21"/>
        <v>0</v>
      </c>
    </row>
    <row r="225" spans="1:20" ht="14.1" customHeight="1" x14ac:dyDescent="0.3">
      <c r="A225" s="629"/>
      <c r="B225" s="488" t="s">
        <v>200</v>
      </c>
      <c r="C225" s="392"/>
      <c r="D225" s="406"/>
      <c r="E225" s="392"/>
      <c r="F225" s="404"/>
      <c r="G225" s="392"/>
      <c r="H225" s="404"/>
      <c r="I225" s="392"/>
      <c r="J225" s="404"/>
      <c r="K225" s="392"/>
      <c r="L225" s="408"/>
      <c r="M225" s="392"/>
      <c r="N225" s="406"/>
      <c r="O225" s="396"/>
      <c r="P225" s="410"/>
      <c r="Q225" s="6"/>
      <c r="R225" s="631"/>
      <c r="S225" s="362" t="s">
        <v>200</v>
      </c>
      <c r="T225" s="183">
        <f t="shared" si="21"/>
        <v>0</v>
      </c>
    </row>
    <row r="226" spans="1:20" ht="14.1" customHeight="1" thickBot="1" x14ac:dyDescent="0.35">
      <c r="A226" s="629"/>
      <c r="B226" s="489" t="s">
        <v>209</v>
      </c>
      <c r="C226" s="398"/>
      <c r="D226" s="397"/>
      <c r="E226" s="398"/>
      <c r="F226" s="400"/>
      <c r="G226" s="398"/>
      <c r="H226" s="400"/>
      <c r="I226" s="398"/>
      <c r="J226" s="400"/>
      <c r="K226" s="398"/>
      <c r="L226" s="420"/>
      <c r="M226" s="398"/>
      <c r="N226" s="397"/>
      <c r="O226" s="402"/>
      <c r="P226" s="421"/>
      <c r="Q226" s="6"/>
      <c r="R226" s="631"/>
      <c r="S226" s="363" t="s">
        <v>201</v>
      </c>
      <c r="T226" s="183">
        <f t="shared" si="21"/>
        <v>0</v>
      </c>
    </row>
    <row r="227" spans="1:20" ht="14.1" customHeight="1" x14ac:dyDescent="0.3">
      <c r="A227" s="611" t="s">
        <v>16</v>
      </c>
      <c r="B227" s="464" t="s">
        <v>36</v>
      </c>
      <c r="C227" s="386"/>
      <c r="D227" s="422"/>
      <c r="E227" s="386"/>
      <c r="F227" s="388"/>
      <c r="G227" s="386"/>
      <c r="H227" s="388"/>
      <c r="I227" s="386"/>
      <c r="J227" s="388"/>
      <c r="K227" s="386"/>
      <c r="L227" s="405"/>
      <c r="M227" s="386"/>
      <c r="N227" s="385"/>
      <c r="O227" s="390"/>
      <c r="P227" s="389"/>
      <c r="Q227" s="6"/>
      <c r="R227" s="611" t="s">
        <v>16</v>
      </c>
      <c r="S227" s="364" t="s">
        <v>36</v>
      </c>
      <c r="T227" s="182">
        <f t="shared" si="21"/>
        <v>10000000</v>
      </c>
    </row>
    <row r="228" spans="1:20" ht="14.1" customHeight="1" x14ac:dyDescent="0.3">
      <c r="A228" s="612"/>
      <c r="B228" s="465" t="s">
        <v>81</v>
      </c>
      <c r="C228" s="392"/>
      <c r="D228" s="423"/>
      <c r="E228" s="392"/>
      <c r="F228" s="424"/>
      <c r="G228" s="392"/>
      <c r="H228" s="394"/>
      <c r="I228" s="392"/>
      <c r="J228" s="394"/>
      <c r="K228" s="392"/>
      <c r="L228" s="425"/>
      <c r="M228" s="392"/>
      <c r="N228" s="391"/>
      <c r="O228" s="396"/>
      <c r="P228" s="395"/>
      <c r="Q228" s="6"/>
      <c r="R228" s="612"/>
      <c r="S228" s="365" t="s">
        <v>81</v>
      </c>
      <c r="T228" s="183">
        <f t="shared" si="21"/>
        <v>0</v>
      </c>
    </row>
    <row r="229" spans="1:20" ht="14.1" customHeight="1" x14ac:dyDescent="0.3">
      <c r="A229" s="612"/>
      <c r="B229" s="465" t="s">
        <v>78</v>
      </c>
      <c r="C229" s="392"/>
      <c r="D229" s="426"/>
      <c r="E229" s="392"/>
      <c r="F229" s="426"/>
      <c r="G229" s="392"/>
      <c r="H229" s="391"/>
      <c r="I229" s="392"/>
      <c r="J229" s="391"/>
      <c r="K229" s="392"/>
      <c r="L229" s="425"/>
      <c r="M229" s="392"/>
      <c r="N229" s="391"/>
      <c r="O229" s="396"/>
      <c r="P229" s="395"/>
      <c r="Q229" s="6"/>
      <c r="R229" s="612"/>
      <c r="S229" s="365" t="s">
        <v>78</v>
      </c>
      <c r="T229" s="183">
        <f t="shared" si="21"/>
        <v>0</v>
      </c>
    </row>
    <row r="230" spans="1:20" ht="14.1" customHeight="1" thickBot="1" x14ac:dyDescent="0.35">
      <c r="A230" s="613"/>
      <c r="B230" s="466" t="s">
        <v>87</v>
      </c>
      <c r="C230" s="398"/>
      <c r="D230" s="427"/>
      <c r="E230" s="398"/>
      <c r="F230" s="427"/>
      <c r="G230" s="392"/>
      <c r="H230" s="397"/>
      <c r="I230" s="392"/>
      <c r="J230" s="397"/>
      <c r="K230" s="392"/>
      <c r="L230" s="420"/>
      <c r="M230" s="398"/>
      <c r="N230" s="397"/>
      <c r="O230" s="402"/>
      <c r="P230" s="401"/>
      <c r="Q230" s="6"/>
      <c r="R230" s="613"/>
      <c r="S230" s="366" t="s">
        <v>87</v>
      </c>
      <c r="T230" s="183">
        <f t="shared" si="21"/>
        <v>150000000</v>
      </c>
    </row>
    <row r="231" spans="1:20" ht="14.1" customHeight="1" x14ac:dyDescent="0.3">
      <c r="A231" s="614" t="s">
        <v>47</v>
      </c>
      <c r="B231" s="467" t="s">
        <v>48</v>
      </c>
      <c r="C231" s="409"/>
      <c r="D231" s="428"/>
      <c r="E231" s="386"/>
      <c r="F231" s="388"/>
      <c r="G231" s="386"/>
      <c r="H231" s="385"/>
      <c r="I231" s="386"/>
      <c r="J231" s="385"/>
      <c r="K231" s="386"/>
      <c r="L231" s="405"/>
      <c r="M231" s="386"/>
      <c r="N231" s="385"/>
      <c r="O231" s="390"/>
      <c r="P231" s="389"/>
      <c r="Q231" s="6"/>
      <c r="R231" s="614" t="s">
        <v>47</v>
      </c>
      <c r="S231" s="367" t="s">
        <v>48</v>
      </c>
      <c r="T231" s="182">
        <f t="shared" si="21"/>
        <v>0</v>
      </c>
    </row>
    <row r="232" spans="1:20" ht="14.1" customHeight="1" x14ac:dyDescent="0.3">
      <c r="A232" s="615"/>
      <c r="B232" s="468" t="s">
        <v>44</v>
      </c>
      <c r="C232" s="392"/>
      <c r="D232" s="424"/>
      <c r="E232" s="392"/>
      <c r="F232" s="394"/>
      <c r="G232" s="392"/>
      <c r="H232" s="391"/>
      <c r="I232" s="392"/>
      <c r="J232" s="391"/>
      <c r="K232" s="392"/>
      <c r="L232" s="425"/>
      <c r="M232" s="392"/>
      <c r="N232" s="391"/>
      <c r="O232" s="396"/>
      <c r="P232" s="395"/>
      <c r="Q232" s="6"/>
      <c r="R232" s="615"/>
      <c r="S232" s="368" t="s">
        <v>44</v>
      </c>
      <c r="T232" s="183">
        <f t="shared" si="21"/>
        <v>130000000</v>
      </c>
    </row>
    <row r="233" spans="1:20" ht="14.1" customHeight="1" thickBot="1" x14ac:dyDescent="0.35">
      <c r="A233" s="616"/>
      <c r="B233" s="469" t="s">
        <v>54</v>
      </c>
      <c r="C233" s="398"/>
      <c r="D233" s="429"/>
      <c r="E233" s="398"/>
      <c r="F233" s="400"/>
      <c r="G233" s="398"/>
      <c r="H233" s="397"/>
      <c r="I233" s="398"/>
      <c r="J233" s="397"/>
      <c r="K233" s="398"/>
      <c r="L233" s="420"/>
      <c r="M233" s="398"/>
      <c r="N233" s="397"/>
      <c r="O233" s="430"/>
      <c r="P233" s="410"/>
      <c r="Q233" s="6"/>
      <c r="R233" s="616"/>
      <c r="S233" s="369" t="s">
        <v>54</v>
      </c>
      <c r="T233" s="183">
        <f t="shared" si="21"/>
        <v>150000000</v>
      </c>
    </row>
    <row r="234" spans="1:20" ht="14.1" customHeight="1" x14ac:dyDescent="0.3">
      <c r="A234" s="617" t="s">
        <v>39</v>
      </c>
      <c r="B234" s="470" t="s">
        <v>44</v>
      </c>
      <c r="C234" s="386"/>
      <c r="D234" s="403"/>
      <c r="E234" s="386"/>
      <c r="F234" s="404"/>
      <c r="G234" s="386"/>
      <c r="H234" s="406"/>
      <c r="I234" s="386"/>
      <c r="J234" s="406"/>
      <c r="K234" s="386"/>
      <c r="L234" s="405"/>
      <c r="M234" s="409"/>
      <c r="N234" s="406"/>
      <c r="O234" s="390"/>
      <c r="P234" s="389"/>
      <c r="Q234" s="6"/>
      <c r="R234" s="617" t="s">
        <v>39</v>
      </c>
      <c r="S234" s="480" t="s">
        <v>44</v>
      </c>
      <c r="T234" s="182">
        <f t="shared" si="21"/>
        <v>30</v>
      </c>
    </row>
    <row r="235" spans="1:20" ht="14.1" customHeight="1" x14ac:dyDescent="0.3">
      <c r="A235" s="618"/>
      <c r="B235" s="470" t="s">
        <v>54</v>
      </c>
      <c r="C235" s="392"/>
      <c r="D235" s="426"/>
      <c r="E235" s="392"/>
      <c r="F235" s="394"/>
      <c r="G235" s="392"/>
      <c r="H235" s="391"/>
      <c r="I235" s="392"/>
      <c r="J235" s="391"/>
      <c r="K235" s="392"/>
      <c r="L235" s="425"/>
      <c r="M235" s="392"/>
      <c r="N235" s="406"/>
      <c r="O235" s="396"/>
      <c r="P235" s="395"/>
      <c r="Q235" s="6"/>
      <c r="R235" s="618"/>
      <c r="S235" s="480" t="s">
        <v>54</v>
      </c>
      <c r="T235" s="183">
        <f t="shared" si="21"/>
        <v>30</v>
      </c>
    </row>
    <row r="236" spans="1:20" ht="14.1" customHeight="1" x14ac:dyDescent="0.3">
      <c r="A236" s="618"/>
      <c r="B236" s="470" t="s">
        <v>204</v>
      </c>
      <c r="C236" s="392"/>
      <c r="D236" s="426"/>
      <c r="E236" s="392"/>
      <c r="F236" s="404"/>
      <c r="G236" s="392"/>
      <c r="H236" s="406"/>
      <c r="I236" s="392"/>
      <c r="J236" s="406"/>
      <c r="K236" s="392"/>
      <c r="L236" s="408"/>
      <c r="M236" s="392"/>
      <c r="N236" s="406"/>
      <c r="O236" s="396"/>
      <c r="P236" s="395"/>
      <c r="Q236" s="6"/>
      <c r="R236" s="618"/>
      <c r="S236" s="480" t="s">
        <v>204</v>
      </c>
      <c r="T236" s="183">
        <f t="shared" si="21"/>
        <v>0</v>
      </c>
    </row>
    <row r="237" spans="1:20" ht="14.1" customHeight="1" thickBot="1" x14ac:dyDescent="0.35">
      <c r="A237" s="618"/>
      <c r="B237" s="471" t="s">
        <v>113</v>
      </c>
      <c r="C237" s="411"/>
      <c r="D237" s="427"/>
      <c r="E237" s="411"/>
      <c r="F237" s="417"/>
      <c r="G237" s="411"/>
      <c r="H237" s="416"/>
      <c r="I237" s="411"/>
      <c r="J237" s="416"/>
      <c r="K237" s="411"/>
      <c r="L237" s="431"/>
      <c r="M237" s="411"/>
      <c r="N237" s="432"/>
      <c r="O237" s="433"/>
      <c r="P237" s="421"/>
      <c r="Q237" s="6"/>
      <c r="R237" s="618"/>
      <c r="S237" s="513" t="s">
        <v>113</v>
      </c>
      <c r="T237" s="183">
        <f t="shared" si="21"/>
        <v>0</v>
      </c>
    </row>
    <row r="238" spans="1:20" ht="14.1" customHeight="1" x14ac:dyDescent="0.3">
      <c r="A238" s="603" t="s">
        <v>215</v>
      </c>
      <c r="B238" s="472" t="s">
        <v>45</v>
      </c>
      <c r="C238" s="386"/>
      <c r="D238" s="403"/>
      <c r="E238" s="386"/>
      <c r="F238" s="388"/>
      <c r="G238" s="386"/>
      <c r="H238" s="385"/>
      <c r="I238" s="386"/>
      <c r="J238" s="385"/>
      <c r="K238" s="386"/>
      <c r="L238" s="405"/>
      <c r="M238" s="386"/>
      <c r="N238" s="385"/>
      <c r="O238" s="390"/>
      <c r="P238" s="389"/>
      <c r="Q238" s="6"/>
      <c r="R238" s="603" t="s">
        <v>215</v>
      </c>
      <c r="S238" s="483" t="s">
        <v>45</v>
      </c>
      <c r="T238" s="182">
        <f t="shared" si="21"/>
        <v>40</v>
      </c>
    </row>
    <row r="239" spans="1:20" ht="14.1" customHeight="1" thickBot="1" x14ac:dyDescent="0.35">
      <c r="A239" s="604"/>
      <c r="B239" s="482" t="s">
        <v>42</v>
      </c>
      <c r="C239" s="435"/>
      <c r="D239" s="434"/>
      <c r="E239" s="435"/>
      <c r="F239" s="400"/>
      <c r="G239" s="435"/>
      <c r="H239" s="397"/>
      <c r="I239" s="435"/>
      <c r="J239" s="397"/>
      <c r="K239" s="435"/>
      <c r="L239" s="436"/>
      <c r="M239" s="435"/>
      <c r="N239" s="437"/>
      <c r="O239" s="438"/>
      <c r="P239" s="401"/>
      <c r="Q239" s="6"/>
      <c r="R239" s="604"/>
      <c r="S239" s="503" t="s">
        <v>42</v>
      </c>
      <c r="T239" s="183">
        <f t="shared" si="21"/>
        <v>0</v>
      </c>
    </row>
    <row r="240" spans="1:20" ht="14.1" customHeight="1" x14ac:dyDescent="0.3">
      <c r="A240" s="605" t="s">
        <v>206</v>
      </c>
      <c r="B240" s="484" t="s">
        <v>207</v>
      </c>
      <c r="C240" s="412"/>
      <c r="D240" s="439"/>
      <c r="E240" s="412"/>
      <c r="F240" s="417"/>
      <c r="G240" s="412"/>
      <c r="H240" s="416"/>
      <c r="I240" s="412"/>
      <c r="J240" s="416"/>
      <c r="K240" s="412"/>
      <c r="L240" s="418"/>
      <c r="M240" s="412"/>
      <c r="N240" s="416"/>
      <c r="O240" s="419"/>
      <c r="P240" s="414"/>
      <c r="Q240" s="6"/>
      <c r="R240" s="605" t="s">
        <v>206</v>
      </c>
      <c r="S240" s="486" t="s">
        <v>207</v>
      </c>
      <c r="T240" s="182">
        <f t="shared" si="21"/>
        <v>6</v>
      </c>
    </row>
    <row r="241" spans="1:20" ht="14.1" customHeight="1" thickBot="1" x14ac:dyDescent="0.35">
      <c r="A241" s="606"/>
      <c r="B241" s="485" t="s">
        <v>208</v>
      </c>
      <c r="C241" s="412"/>
      <c r="D241" s="439"/>
      <c r="E241" s="412"/>
      <c r="F241" s="417"/>
      <c r="G241" s="412"/>
      <c r="H241" s="416"/>
      <c r="I241" s="412"/>
      <c r="J241" s="416"/>
      <c r="K241" s="412"/>
      <c r="L241" s="418"/>
      <c r="M241" s="412"/>
      <c r="N241" s="416"/>
      <c r="O241" s="419"/>
      <c r="P241" s="414"/>
      <c r="Q241" s="6"/>
      <c r="R241" s="607"/>
      <c r="S241" s="559" t="s">
        <v>208</v>
      </c>
      <c r="T241" s="183">
        <f t="shared" si="21"/>
        <v>6</v>
      </c>
    </row>
    <row r="242" spans="1:20" ht="14.1" customHeight="1" x14ac:dyDescent="0.3">
      <c r="A242" s="608" t="s">
        <v>125</v>
      </c>
      <c r="B242" s="473" t="s">
        <v>126</v>
      </c>
      <c r="C242" s="386"/>
      <c r="D242" s="422"/>
      <c r="E242" s="386"/>
      <c r="F242" s="388"/>
      <c r="G242" s="386"/>
      <c r="H242" s="405"/>
      <c r="I242" s="386"/>
      <c r="J242" s="385"/>
      <c r="K242" s="386"/>
      <c r="L242" s="405"/>
      <c r="M242" s="386"/>
      <c r="N242" s="385"/>
      <c r="O242" s="390"/>
      <c r="P242" s="389"/>
      <c r="Q242" s="6"/>
      <c r="R242" s="610" t="s">
        <v>125</v>
      </c>
      <c r="S242" s="562" t="s">
        <v>126</v>
      </c>
      <c r="T242" s="182">
        <f t="shared" si="21"/>
        <v>0</v>
      </c>
    </row>
    <row r="243" spans="1:20" ht="14.1" customHeight="1" x14ac:dyDescent="0.3">
      <c r="A243" s="608"/>
      <c r="B243" s="474" t="s">
        <v>127</v>
      </c>
      <c r="C243" s="412"/>
      <c r="D243" s="439"/>
      <c r="E243" s="412"/>
      <c r="F243" s="404"/>
      <c r="G243" s="412"/>
      <c r="H243" s="408"/>
      <c r="I243" s="412"/>
      <c r="J243" s="406"/>
      <c r="K243" s="412"/>
      <c r="L243" s="418"/>
      <c r="M243" s="412"/>
      <c r="N243" s="416"/>
      <c r="O243" s="419"/>
      <c r="P243" s="414"/>
      <c r="Q243" s="6"/>
      <c r="R243" s="608"/>
      <c r="S243" s="504" t="s">
        <v>127</v>
      </c>
      <c r="T243" s="183">
        <f t="shared" si="21"/>
        <v>0</v>
      </c>
    </row>
    <row r="244" spans="1:20" ht="14.1" customHeight="1" thickBot="1" x14ac:dyDescent="0.35">
      <c r="A244" s="609"/>
      <c r="B244" s="475" t="s">
        <v>128</v>
      </c>
      <c r="C244" s="398"/>
      <c r="D244" s="440"/>
      <c r="E244" s="398"/>
      <c r="F244" s="404"/>
      <c r="G244" s="398"/>
      <c r="H244" s="408"/>
      <c r="I244" s="398"/>
      <c r="J244" s="406"/>
      <c r="K244" s="398"/>
      <c r="L244" s="420"/>
      <c r="M244" s="398"/>
      <c r="N244" s="397"/>
      <c r="O244" s="402"/>
      <c r="P244" s="401"/>
      <c r="Q244" s="6"/>
      <c r="R244" s="609"/>
      <c r="S244" s="505" t="s">
        <v>128</v>
      </c>
      <c r="T244" s="183">
        <f t="shared" si="21"/>
        <v>0</v>
      </c>
    </row>
    <row r="245" spans="1:20" ht="14.1" customHeight="1" x14ac:dyDescent="0.3">
      <c r="A245" s="582" t="s">
        <v>52</v>
      </c>
      <c r="B245" s="476" t="s">
        <v>41</v>
      </c>
      <c r="C245" s="386"/>
      <c r="D245" s="441"/>
      <c r="E245" s="390"/>
      <c r="F245" s="388"/>
      <c r="G245" s="386"/>
      <c r="H245" s="405"/>
      <c r="I245" s="386"/>
      <c r="J245" s="385"/>
      <c r="K245" s="386"/>
      <c r="L245" s="405"/>
      <c r="M245" s="386"/>
      <c r="N245" s="385"/>
      <c r="O245" s="396"/>
      <c r="P245" s="389"/>
      <c r="Q245" s="6"/>
      <c r="R245" s="582" t="s">
        <v>52</v>
      </c>
      <c r="S245" s="377" t="s">
        <v>41</v>
      </c>
      <c r="T245" s="182">
        <f t="shared" si="21"/>
        <v>0</v>
      </c>
    </row>
    <row r="246" spans="1:20" ht="14.1" customHeight="1" x14ac:dyDescent="0.3">
      <c r="A246" s="583"/>
      <c r="B246" s="476" t="s">
        <v>11</v>
      </c>
      <c r="C246" s="392"/>
      <c r="D246" s="442"/>
      <c r="E246" s="396"/>
      <c r="F246" s="394"/>
      <c r="G246" s="392"/>
      <c r="H246" s="425"/>
      <c r="I246" s="392"/>
      <c r="J246" s="443"/>
      <c r="K246" s="392"/>
      <c r="L246" s="425"/>
      <c r="M246" s="392"/>
      <c r="N246" s="391"/>
      <c r="O246" s="396"/>
      <c r="P246" s="395"/>
      <c r="Q246" s="6"/>
      <c r="R246" s="583"/>
      <c r="S246" s="377" t="s">
        <v>11</v>
      </c>
      <c r="T246" s="183">
        <f t="shared" si="21"/>
        <v>0</v>
      </c>
    </row>
    <row r="247" spans="1:20" ht="14.1" customHeight="1" thickBot="1" x14ac:dyDescent="0.35">
      <c r="A247" s="584"/>
      <c r="B247" s="477" t="s">
        <v>27</v>
      </c>
      <c r="C247" s="409"/>
      <c r="D247" s="423"/>
      <c r="E247" s="430"/>
      <c r="F247" s="404"/>
      <c r="G247" s="409"/>
      <c r="H247" s="408"/>
      <c r="I247" s="409"/>
      <c r="J247" s="391"/>
      <c r="K247" s="409"/>
      <c r="L247" s="408"/>
      <c r="M247" s="409"/>
      <c r="N247" s="406"/>
      <c r="O247" s="396"/>
      <c r="P247" s="395"/>
      <c r="Q247" s="6"/>
      <c r="R247" s="584"/>
      <c r="S247" s="378" t="s">
        <v>27</v>
      </c>
      <c r="T247" s="183">
        <f t="shared" si="21"/>
        <v>0</v>
      </c>
    </row>
    <row r="248" spans="1:20" ht="14.1" customHeight="1" thickBot="1" x14ac:dyDescent="0.35">
      <c r="A248" s="585" t="s">
        <v>30</v>
      </c>
      <c r="B248" s="586"/>
      <c r="C248" s="445"/>
      <c r="D248" s="444"/>
      <c r="E248" s="445"/>
      <c r="F248" s="446"/>
      <c r="G248" s="445"/>
      <c r="H248" s="447"/>
      <c r="I248" s="445"/>
      <c r="J248" s="448"/>
      <c r="K248" s="445"/>
      <c r="L248" s="447"/>
      <c r="M248" s="445"/>
      <c r="N248" s="448"/>
      <c r="O248" s="449"/>
      <c r="P248" s="450"/>
      <c r="Q248" s="6"/>
      <c r="R248" s="585" t="s">
        <v>30</v>
      </c>
      <c r="S248" s="587"/>
      <c r="T248" s="182">
        <f t="shared" si="21"/>
        <v>100000000</v>
      </c>
    </row>
    <row r="249" spans="1:20" ht="14.1" customHeight="1" x14ac:dyDescent="0.3">
      <c r="A249" s="588" t="s">
        <v>38</v>
      </c>
      <c r="B249" s="589"/>
      <c r="C249" s="451"/>
      <c r="D249" s="385"/>
      <c r="E249" s="451"/>
      <c r="F249" s="391"/>
      <c r="G249" s="451"/>
      <c r="H249" s="405"/>
      <c r="I249" s="451"/>
      <c r="J249" s="452"/>
      <c r="K249" s="453"/>
      <c r="L249" s="405"/>
      <c r="M249" s="451"/>
      <c r="N249" s="408"/>
      <c r="O249" s="451"/>
      <c r="P249" s="389"/>
      <c r="Q249" s="6"/>
      <c r="R249" s="594" t="s">
        <v>38</v>
      </c>
      <c r="S249" s="597"/>
      <c r="T249" s="598"/>
    </row>
    <row r="250" spans="1:20" ht="14.1" customHeight="1" x14ac:dyDescent="0.3">
      <c r="A250" s="590"/>
      <c r="B250" s="591"/>
      <c r="C250" s="453"/>
      <c r="D250" s="391"/>
      <c r="E250" s="453"/>
      <c r="F250" s="406"/>
      <c r="G250" s="453"/>
      <c r="H250" s="425"/>
      <c r="I250" s="453"/>
      <c r="J250" s="391"/>
      <c r="K250" s="454"/>
      <c r="L250" s="425"/>
      <c r="M250" s="453"/>
      <c r="N250" s="425"/>
      <c r="O250" s="453"/>
      <c r="P250" s="395"/>
      <c r="Q250" s="6"/>
      <c r="R250" s="595"/>
      <c r="S250" s="599"/>
      <c r="T250" s="600"/>
    </row>
    <row r="251" spans="1:20" ht="14.1" customHeight="1" x14ac:dyDescent="0.3">
      <c r="A251" s="590"/>
      <c r="B251" s="591"/>
      <c r="C251" s="453"/>
      <c r="D251" s="391"/>
      <c r="E251" s="453"/>
      <c r="F251" s="406"/>
      <c r="G251" s="453"/>
      <c r="H251" s="425"/>
      <c r="I251" s="453"/>
      <c r="J251" s="406"/>
      <c r="K251" s="453"/>
      <c r="L251" s="391"/>
      <c r="M251" s="453"/>
      <c r="N251" s="408"/>
      <c r="O251" s="453"/>
      <c r="P251" s="395"/>
      <c r="Q251" s="6"/>
      <c r="R251" s="595"/>
      <c r="S251" s="599"/>
      <c r="T251" s="600"/>
    </row>
    <row r="252" spans="1:20" ht="14.1" customHeight="1" thickBot="1" x14ac:dyDescent="0.35">
      <c r="A252" s="592"/>
      <c r="B252" s="593"/>
      <c r="C252" s="455"/>
      <c r="D252" s="397"/>
      <c r="E252" s="455"/>
      <c r="F252" s="456"/>
      <c r="G252" s="455"/>
      <c r="H252" s="420"/>
      <c r="I252" s="455"/>
      <c r="J252" s="400"/>
      <c r="K252" s="455"/>
      <c r="L252" s="400"/>
      <c r="M252" s="455"/>
      <c r="N252" s="397"/>
      <c r="O252" s="455"/>
      <c r="P252" s="401"/>
      <c r="Q252" s="6"/>
      <c r="R252" s="596"/>
      <c r="S252" s="601"/>
      <c r="T252" s="602"/>
    </row>
    <row r="253" spans="1:20" ht="18.95" customHeight="1" x14ac:dyDescent="0.3">
      <c r="A253" s="652" t="str">
        <f>A190</f>
        <v>박관수님 보장분석</v>
      </c>
      <c r="B253" s="653"/>
      <c r="C253" s="649"/>
      <c r="D253" s="649"/>
      <c r="E253" s="649"/>
      <c r="F253" s="649"/>
      <c r="G253" s="649"/>
      <c r="H253" s="649"/>
      <c r="I253" s="649"/>
      <c r="J253" s="649"/>
      <c r="K253" s="649"/>
      <c r="L253" s="649"/>
      <c r="M253" s="649"/>
      <c r="N253" s="649"/>
      <c r="O253" s="649"/>
      <c r="P253" s="649"/>
      <c r="Q253" s="138"/>
      <c r="R253" s="650" t="s">
        <v>15</v>
      </c>
      <c r="S253" s="651"/>
      <c r="T253" s="137">
        <f ca="1">T190</f>
        <v>46140</v>
      </c>
    </row>
    <row r="254" spans="1:20" ht="14.1" customHeight="1" x14ac:dyDescent="0.3">
      <c r="A254" s="647" t="s">
        <v>49</v>
      </c>
      <c r="B254" s="648"/>
      <c r="C254" s="645"/>
      <c r="D254" s="645"/>
      <c r="E254" s="645"/>
      <c r="F254" s="645"/>
      <c r="G254" s="645"/>
      <c r="H254" s="645"/>
      <c r="I254" s="645"/>
      <c r="J254" s="645"/>
      <c r="K254" s="645"/>
      <c r="L254" s="645"/>
      <c r="M254" s="645"/>
      <c r="N254" s="645"/>
      <c r="O254" s="645"/>
      <c r="P254" s="645"/>
      <c r="Q254" s="25"/>
      <c r="R254" s="654"/>
      <c r="S254" s="655"/>
      <c r="T254" s="656"/>
    </row>
    <row r="255" spans="1:20" ht="14.1" customHeight="1" x14ac:dyDescent="0.3">
      <c r="A255" s="637" t="s">
        <v>28</v>
      </c>
      <c r="B255" s="638"/>
      <c r="C255" s="645"/>
      <c r="D255" s="645"/>
      <c r="E255" s="645"/>
      <c r="F255" s="645"/>
      <c r="G255" s="645"/>
      <c r="H255" s="645"/>
      <c r="I255" s="645"/>
      <c r="J255" s="645"/>
      <c r="K255" s="645"/>
      <c r="L255" s="645"/>
      <c r="M255" s="645"/>
      <c r="N255" s="645"/>
      <c r="O255" s="646"/>
      <c r="P255" s="646"/>
      <c r="Q255" s="25"/>
      <c r="R255" s="657"/>
      <c r="S255" s="658"/>
      <c r="T255" s="659"/>
    </row>
    <row r="256" spans="1:20" ht="14.1" customHeight="1" x14ac:dyDescent="0.3">
      <c r="A256" s="647" t="s">
        <v>17</v>
      </c>
      <c r="B256" s="648"/>
      <c r="C256" s="646"/>
      <c r="D256" s="645"/>
      <c r="E256" s="646"/>
      <c r="F256" s="646"/>
      <c r="G256" s="646"/>
      <c r="H256" s="646"/>
      <c r="I256" s="646"/>
      <c r="J256" s="645"/>
      <c r="K256" s="646"/>
      <c r="L256" s="645"/>
      <c r="M256" s="646"/>
      <c r="N256" s="645"/>
      <c r="O256" s="646"/>
      <c r="P256" s="646"/>
      <c r="Q256" s="25"/>
      <c r="R256" s="657"/>
      <c r="S256" s="658"/>
      <c r="T256" s="659"/>
    </row>
    <row r="257" spans="1:20" ht="14.1" customHeight="1" x14ac:dyDescent="0.3">
      <c r="A257" s="647" t="s">
        <v>23</v>
      </c>
      <c r="B257" s="648"/>
      <c r="C257" s="383"/>
      <c r="D257" s="382"/>
      <c r="E257" s="383"/>
      <c r="F257" s="382">
        <f ca="1">IF(DATEDIF(E256,$T$1,"m")&lt;E257*12,DATEDIF(E256,$T$1,"m"),E257*12)</f>
        <v>0</v>
      </c>
      <c r="G257" s="383"/>
      <c r="H257" s="382">
        <f ca="1">IF(DATEDIF(G256,$T$1,"m")&lt;G257*12,DATEDIF(G256,$T$1,"m"),G257*12)</f>
        <v>0</v>
      </c>
      <c r="I257" s="383"/>
      <c r="J257" s="382">
        <f ca="1">IF(DATEDIF(I256,$T$1,"m")&lt;I257*12,DATEDIF(I256,$T$1,"m"),I257*12)</f>
        <v>0</v>
      </c>
      <c r="K257" s="383"/>
      <c r="L257" s="382">
        <f ca="1">IF(DATEDIF(K256,$T$1,"m")&lt;K257*12,DATEDIF(K256,$T$1,"m"),K257*12)</f>
        <v>0</v>
      </c>
      <c r="M257" s="383"/>
      <c r="N257" s="384">
        <f ca="1">IF(DATEDIF(M256,$T$1,"m")&lt;M257*12,DATEDIF(M256,$T$1,"m"),M257*12)</f>
        <v>0</v>
      </c>
      <c r="O257" s="383"/>
      <c r="P257" s="382">
        <f ca="1">IF(DATEDIF(O256,$T$1,"m")&lt;O257*12,DATEDIF(O256,$T$1,"m"),O257*12)</f>
        <v>0</v>
      </c>
      <c r="Q257" s="25"/>
      <c r="R257" s="657"/>
      <c r="S257" s="658"/>
      <c r="T257" s="659"/>
    </row>
    <row r="258" spans="1:20" ht="14.1" customHeight="1" x14ac:dyDescent="0.3">
      <c r="A258" s="647" t="s">
        <v>2</v>
      </c>
      <c r="B258" s="648"/>
      <c r="C258" s="645"/>
      <c r="D258" s="645"/>
      <c r="E258" s="645"/>
      <c r="F258" s="645"/>
      <c r="G258" s="645"/>
      <c r="H258" s="645"/>
      <c r="I258" s="645"/>
      <c r="J258" s="645"/>
      <c r="K258" s="645"/>
      <c r="L258" s="645"/>
      <c r="M258" s="645"/>
      <c r="N258" s="645"/>
      <c r="O258" s="645"/>
      <c r="P258" s="645"/>
      <c r="Q258" s="25"/>
      <c r="R258" s="660"/>
      <c r="S258" s="661"/>
      <c r="T258" s="662"/>
    </row>
    <row r="259" spans="1:20" ht="14.1" customHeight="1" x14ac:dyDescent="0.3">
      <c r="A259" s="632" t="s">
        <v>37</v>
      </c>
      <c r="B259" s="633"/>
      <c r="C259" s="642"/>
      <c r="D259" s="642"/>
      <c r="E259" s="642"/>
      <c r="F259" s="642"/>
      <c r="G259" s="642"/>
      <c r="H259" s="642"/>
      <c r="I259" s="642"/>
      <c r="J259" s="642"/>
      <c r="K259" s="642"/>
      <c r="L259" s="642"/>
      <c r="M259" s="642"/>
      <c r="N259" s="642"/>
      <c r="O259" s="642"/>
      <c r="P259" s="642"/>
      <c r="Q259" s="25"/>
      <c r="R259" s="643"/>
      <c r="S259" s="644"/>
      <c r="T259" s="27" t="s">
        <v>91</v>
      </c>
    </row>
    <row r="260" spans="1:20" ht="14.1" customHeight="1" x14ac:dyDescent="0.3">
      <c r="A260" s="639" t="s">
        <v>12</v>
      </c>
      <c r="B260" s="640"/>
      <c r="C260" s="641"/>
      <c r="D260" s="641"/>
      <c r="E260" s="641"/>
      <c r="F260" s="641"/>
      <c r="G260" s="641"/>
      <c r="H260" s="641"/>
      <c r="I260" s="641"/>
      <c r="J260" s="641"/>
      <c r="K260" s="641"/>
      <c r="L260" s="641"/>
      <c r="M260" s="641"/>
      <c r="N260" s="641"/>
      <c r="O260" s="641"/>
      <c r="P260" s="641"/>
      <c r="Q260" s="26"/>
      <c r="R260" s="635" t="s">
        <v>34</v>
      </c>
      <c r="S260" s="636"/>
      <c r="T260" s="60">
        <f>T197+C260+E260+G260+I260+K260+O260</f>
        <v>183350</v>
      </c>
    </row>
    <row r="261" spans="1:20" ht="14.1" customHeight="1" x14ac:dyDescent="0.3">
      <c r="A261" s="637" t="s">
        <v>3</v>
      </c>
      <c r="B261" s="638"/>
      <c r="C261" s="634"/>
      <c r="D261" s="634"/>
      <c r="E261" s="634">
        <f>E260*E257*12</f>
        <v>0</v>
      </c>
      <c r="F261" s="634"/>
      <c r="G261" s="634">
        <f>G260*G257*12</f>
        <v>0</v>
      </c>
      <c r="H261" s="634"/>
      <c r="I261" s="634">
        <f>I260*I257*12</f>
        <v>0</v>
      </c>
      <c r="J261" s="634"/>
      <c r="K261" s="634">
        <f>K260*K257*12</f>
        <v>0</v>
      </c>
      <c r="L261" s="634"/>
      <c r="M261" s="634">
        <f>M260*M257*12</f>
        <v>0</v>
      </c>
      <c r="N261" s="634"/>
      <c r="O261" s="634">
        <f>O260*O257*12</f>
        <v>0</v>
      </c>
      <c r="P261" s="634"/>
      <c r="Q261" s="26"/>
      <c r="R261" s="635" t="s">
        <v>33</v>
      </c>
      <c r="S261" s="636"/>
      <c r="T261" s="51">
        <f>T198+C261+E261+G261+I261+K261+O261</f>
        <v>44893200</v>
      </c>
    </row>
    <row r="262" spans="1:20" ht="14.1" customHeight="1" x14ac:dyDescent="0.3">
      <c r="A262" s="637" t="s">
        <v>4</v>
      </c>
      <c r="B262" s="638"/>
      <c r="C262" s="634"/>
      <c r="D262" s="634"/>
      <c r="E262" s="634">
        <f ca="1">E260*F257</f>
        <v>0</v>
      </c>
      <c r="F262" s="634"/>
      <c r="G262" s="634">
        <f ca="1">G260*H257</f>
        <v>0</v>
      </c>
      <c r="H262" s="634"/>
      <c r="I262" s="634">
        <f ca="1">I260*J257</f>
        <v>0</v>
      </c>
      <c r="J262" s="634"/>
      <c r="K262" s="634">
        <f ca="1">K260*L257</f>
        <v>0</v>
      </c>
      <c r="L262" s="634"/>
      <c r="M262" s="634">
        <f ca="1">M260*N257</f>
        <v>0</v>
      </c>
      <c r="N262" s="634"/>
      <c r="O262" s="634">
        <f ca="1">O260*P257</f>
        <v>0</v>
      </c>
      <c r="P262" s="634"/>
      <c r="Q262" s="26"/>
      <c r="R262" s="635" t="s">
        <v>31</v>
      </c>
      <c r="S262" s="636"/>
      <c r="T262" s="51">
        <f ca="1">T199+C262+E262+G262+I262+K262+O262</f>
        <v>25530530</v>
      </c>
    </row>
    <row r="263" spans="1:20" ht="14.1" customHeight="1" thickBot="1" x14ac:dyDescent="0.35">
      <c r="A263" s="632" t="s">
        <v>18</v>
      </c>
      <c r="B263" s="633"/>
      <c r="C263" s="634"/>
      <c r="D263" s="634"/>
      <c r="E263" s="634">
        <f ca="1">E261-E262</f>
        <v>0</v>
      </c>
      <c r="F263" s="634"/>
      <c r="G263" s="634">
        <f ca="1">G261-G262</f>
        <v>0</v>
      </c>
      <c r="H263" s="634"/>
      <c r="I263" s="634">
        <f ca="1">I261-I262</f>
        <v>0</v>
      </c>
      <c r="J263" s="634"/>
      <c r="K263" s="634">
        <f ca="1">K261-K262</f>
        <v>0</v>
      </c>
      <c r="L263" s="634"/>
      <c r="M263" s="634">
        <f ca="1">M261-M262</f>
        <v>0</v>
      </c>
      <c r="N263" s="634"/>
      <c r="O263" s="634">
        <f ca="1">O261-O262</f>
        <v>0</v>
      </c>
      <c r="P263" s="634"/>
      <c r="Q263" s="26"/>
      <c r="R263" s="619" t="s">
        <v>35</v>
      </c>
      <c r="S263" s="620"/>
      <c r="T263" s="52">
        <f ca="1">T200+C263+E263+G263+I263+K263+O263</f>
        <v>19362670</v>
      </c>
    </row>
    <row r="264" spans="1:20" ht="14.1" customHeight="1" x14ac:dyDescent="0.3">
      <c r="A264" s="621" t="s">
        <v>202</v>
      </c>
      <c r="B264" s="457" t="s">
        <v>149</v>
      </c>
      <c r="C264" s="386"/>
      <c r="D264" s="385"/>
      <c r="E264" s="386"/>
      <c r="F264" s="387"/>
      <c r="G264" s="386"/>
      <c r="H264" s="388"/>
      <c r="I264" s="386"/>
      <c r="J264" s="388"/>
      <c r="K264" s="386"/>
      <c r="L264" s="385"/>
      <c r="M264" s="386"/>
      <c r="N264" s="389"/>
      <c r="O264" s="390"/>
      <c r="P264" s="389"/>
      <c r="Q264" s="6"/>
      <c r="R264" s="621" t="s">
        <v>202</v>
      </c>
      <c r="S264" s="352" t="s">
        <v>149</v>
      </c>
      <c r="T264" s="182">
        <f t="shared" ref="T264:T311" si="22">T201+C264+E264+G264+I264+K264+M264+O264</f>
        <v>50000000</v>
      </c>
    </row>
    <row r="265" spans="1:20" ht="14.1" customHeight="1" x14ac:dyDescent="0.3">
      <c r="A265" s="622"/>
      <c r="B265" s="458" t="s">
        <v>150</v>
      </c>
      <c r="C265" s="392"/>
      <c r="D265" s="391"/>
      <c r="E265" s="392"/>
      <c r="F265" s="393"/>
      <c r="G265" s="392"/>
      <c r="H265" s="394"/>
      <c r="I265" s="392"/>
      <c r="J265" s="394"/>
      <c r="K265" s="392"/>
      <c r="L265" s="391"/>
      <c r="M265" s="392"/>
      <c r="N265" s="395"/>
      <c r="O265" s="396"/>
      <c r="P265" s="395"/>
      <c r="Q265" s="6"/>
      <c r="R265" s="622"/>
      <c r="S265" s="353" t="s">
        <v>150</v>
      </c>
      <c r="T265" s="183">
        <f t="shared" si="22"/>
        <v>300000</v>
      </c>
    </row>
    <row r="266" spans="1:20" ht="14.1" customHeight="1" x14ac:dyDescent="0.3">
      <c r="A266" s="622"/>
      <c r="B266" s="458" t="s">
        <v>151</v>
      </c>
      <c r="C266" s="392"/>
      <c r="D266" s="391"/>
      <c r="E266" s="392"/>
      <c r="F266" s="393"/>
      <c r="G266" s="392"/>
      <c r="H266" s="394"/>
      <c r="I266" s="392"/>
      <c r="J266" s="394"/>
      <c r="K266" s="392"/>
      <c r="L266" s="391"/>
      <c r="M266" s="392"/>
      <c r="N266" s="395"/>
      <c r="O266" s="396"/>
      <c r="P266" s="395"/>
      <c r="Q266" s="6"/>
      <c r="R266" s="622"/>
      <c r="S266" s="353" t="s">
        <v>151</v>
      </c>
      <c r="T266" s="183">
        <f t="shared" si="22"/>
        <v>50000000</v>
      </c>
    </row>
    <row r="267" spans="1:20" ht="14.1" customHeight="1" x14ac:dyDescent="0.3">
      <c r="A267" s="622"/>
      <c r="B267" s="458" t="s">
        <v>148</v>
      </c>
      <c r="C267" s="392"/>
      <c r="D267" s="391"/>
      <c r="E267" s="392"/>
      <c r="F267" s="393"/>
      <c r="G267" s="392"/>
      <c r="H267" s="394"/>
      <c r="I267" s="392"/>
      <c r="J267" s="394"/>
      <c r="K267" s="392"/>
      <c r="L267" s="391"/>
      <c r="M267" s="392"/>
      <c r="N267" s="395"/>
      <c r="O267" s="396"/>
      <c r="P267" s="395"/>
      <c r="Q267" s="6"/>
      <c r="R267" s="622"/>
      <c r="S267" s="353" t="s">
        <v>148</v>
      </c>
      <c r="T267" s="183">
        <f t="shared" si="22"/>
        <v>300000</v>
      </c>
    </row>
    <row r="268" spans="1:20" ht="14.1" customHeight="1" thickBot="1" x14ac:dyDescent="0.35">
      <c r="A268" s="623"/>
      <c r="B268" s="459" t="s">
        <v>89</v>
      </c>
      <c r="C268" s="398"/>
      <c r="D268" s="397"/>
      <c r="E268" s="398"/>
      <c r="F268" s="399"/>
      <c r="G268" s="398"/>
      <c r="H268" s="400"/>
      <c r="I268" s="398"/>
      <c r="J268" s="400"/>
      <c r="K268" s="398"/>
      <c r="L268" s="397"/>
      <c r="M268" s="398"/>
      <c r="N268" s="401"/>
      <c r="O268" s="402"/>
      <c r="P268" s="401"/>
      <c r="Q268" s="6"/>
      <c r="R268" s="623"/>
      <c r="S268" s="354" t="s">
        <v>89</v>
      </c>
      <c r="T268" s="184">
        <f t="shared" si="22"/>
        <v>0</v>
      </c>
    </row>
    <row r="269" spans="1:20" ht="14.1" customHeight="1" x14ac:dyDescent="0.3">
      <c r="A269" s="624" t="s">
        <v>50</v>
      </c>
      <c r="B269" s="460" t="s">
        <v>203</v>
      </c>
      <c r="C269" s="386"/>
      <c r="D269" s="403"/>
      <c r="E269" s="386"/>
      <c r="F269" s="388"/>
      <c r="G269" s="386"/>
      <c r="H269" s="388"/>
      <c r="I269" s="386"/>
      <c r="J269" s="388"/>
      <c r="K269" s="386"/>
      <c r="L269" s="405"/>
      <c r="M269" s="386"/>
      <c r="N269" s="385"/>
      <c r="O269" s="386"/>
      <c r="P269" s="389"/>
      <c r="Q269" s="6"/>
      <c r="R269" s="626" t="s">
        <v>50</v>
      </c>
      <c r="S269" s="490" t="s">
        <v>168</v>
      </c>
      <c r="T269" s="182">
        <f t="shared" si="22"/>
        <v>30000000</v>
      </c>
    </row>
    <row r="270" spans="1:20" ht="14.1" customHeight="1" x14ac:dyDescent="0.3">
      <c r="A270" s="625"/>
      <c r="B270" s="481" t="s">
        <v>205</v>
      </c>
      <c r="C270" s="392"/>
      <c r="D270" s="407"/>
      <c r="E270" s="392"/>
      <c r="F270" s="404"/>
      <c r="G270" s="392"/>
      <c r="H270" s="404"/>
      <c r="I270" s="392"/>
      <c r="J270" s="404"/>
      <c r="K270" s="392"/>
      <c r="L270" s="408"/>
      <c r="M270" s="392"/>
      <c r="N270" s="406"/>
      <c r="O270" s="409"/>
      <c r="P270" s="410"/>
      <c r="Q270" s="6"/>
      <c r="R270" s="627"/>
      <c r="S270" s="491" t="s">
        <v>205</v>
      </c>
      <c r="T270" s="183">
        <f t="shared" si="22"/>
        <v>3000000</v>
      </c>
    </row>
    <row r="271" spans="1:20" ht="14.1" customHeight="1" thickBot="1" x14ac:dyDescent="0.35">
      <c r="A271" s="625"/>
      <c r="B271" s="553" t="s">
        <v>211</v>
      </c>
      <c r="C271" s="398"/>
      <c r="D271" s="564"/>
      <c r="E271" s="398"/>
      <c r="F271" s="534"/>
      <c r="G271" s="398"/>
      <c r="H271" s="534"/>
      <c r="I271" s="398"/>
      <c r="J271" s="534"/>
      <c r="K271" s="398"/>
      <c r="L271" s="436"/>
      <c r="M271" s="435"/>
      <c r="N271" s="437"/>
      <c r="O271" s="435"/>
      <c r="P271" s="565"/>
      <c r="Q271" s="6"/>
      <c r="R271" s="627"/>
      <c r="S271" s="566" t="s">
        <v>211</v>
      </c>
      <c r="T271" s="183">
        <f t="shared" si="22"/>
        <v>30000000</v>
      </c>
    </row>
    <row r="272" spans="1:20" ht="14.1" customHeight="1" x14ac:dyDescent="0.3">
      <c r="A272" s="625"/>
      <c r="B272" s="554" t="s">
        <v>163</v>
      </c>
      <c r="C272" s="409"/>
      <c r="D272" s="407"/>
      <c r="E272" s="409"/>
      <c r="F272" s="404"/>
      <c r="G272" s="409"/>
      <c r="H272" s="404"/>
      <c r="I272" s="409"/>
      <c r="J272" s="404"/>
      <c r="K272" s="409"/>
      <c r="L272" s="408"/>
      <c r="M272" s="409"/>
      <c r="N272" s="406"/>
      <c r="O272" s="409"/>
      <c r="P272" s="410"/>
      <c r="Q272" s="6"/>
      <c r="R272" s="627"/>
      <c r="S272" s="343" t="s">
        <v>163</v>
      </c>
      <c r="T272" s="182">
        <f t="shared" si="22"/>
        <v>4000000</v>
      </c>
    </row>
    <row r="273" spans="1:20" ht="14.1" customHeight="1" x14ac:dyDescent="0.3">
      <c r="A273" s="625"/>
      <c r="B273" s="555" t="s">
        <v>162</v>
      </c>
      <c r="C273" s="392"/>
      <c r="D273" s="407"/>
      <c r="E273" s="392"/>
      <c r="F273" s="404"/>
      <c r="G273" s="392"/>
      <c r="H273" s="404"/>
      <c r="I273" s="392"/>
      <c r="J273" s="404"/>
      <c r="K273" s="392"/>
      <c r="L273" s="408"/>
      <c r="M273" s="409"/>
      <c r="N273" s="406"/>
      <c r="O273" s="409"/>
      <c r="P273" s="410"/>
      <c r="Q273" s="6"/>
      <c r="R273" s="627"/>
      <c r="S273" s="326" t="s">
        <v>162</v>
      </c>
      <c r="T273" s="183">
        <f t="shared" si="22"/>
        <v>0</v>
      </c>
    </row>
    <row r="274" spans="1:20" ht="14.1" customHeight="1" x14ac:dyDescent="0.3">
      <c r="A274" s="625"/>
      <c r="B274" s="556" t="s">
        <v>164</v>
      </c>
      <c r="C274" s="392"/>
      <c r="D274" s="407"/>
      <c r="E274" s="392"/>
      <c r="F274" s="404"/>
      <c r="G274" s="392"/>
      <c r="H274" s="404"/>
      <c r="I274" s="392"/>
      <c r="J274" s="404"/>
      <c r="K274" s="392"/>
      <c r="L274" s="408"/>
      <c r="M274" s="409"/>
      <c r="N274" s="406"/>
      <c r="O274" s="409"/>
      <c r="P274" s="410"/>
      <c r="Q274" s="6"/>
      <c r="R274" s="627"/>
      <c r="S274" s="343" t="s">
        <v>164</v>
      </c>
      <c r="T274" s="183">
        <f t="shared" si="22"/>
        <v>0</v>
      </c>
    </row>
    <row r="275" spans="1:20" ht="14.1" customHeight="1" x14ac:dyDescent="0.3">
      <c r="A275" s="625"/>
      <c r="B275" s="555" t="s">
        <v>165</v>
      </c>
      <c r="C275" s="392"/>
      <c r="D275" s="407"/>
      <c r="E275" s="392"/>
      <c r="F275" s="404"/>
      <c r="G275" s="392"/>
      <c r="H275" s="404"/>
      <c r="I275" s="392"/>
      <c r="J275" s="404"/>
      <c r="K275" s="392"/>
      <c r="L275" s="408"/>
      <c r="M275" s="409"/>
      <c r="N275" s="406"/>
      <c r="O275" s="409"/>
      <c r="P275" s="410"/>
      <c r="Q275" s="6"/>
      <c r="R275" s="627"/>
      <c r="S275" s="326" t="s">
        <v>165</v>
      </c>
      <c r="T275" s="183">
        <f t="shared" si="22"/>
        <v>0</v>
      </c>
    </row>
    <row r="276" spans="1:20" ht="14.1" customHeight="1" x14ac:dyDescent="0.3">
      <c r="A276" s="625"/>
      <c r="B276" s="555" t="s">
        <v>184</v>
      </c>
      <c r="C276" s="392"/>
      <c r="D276" s="407"/>
      <c r="E276" s="392"/>
      <c r="F276" s="404"/>
      <c r="G276" s="392"/>
      <c r="H276" s="404"/>
      <c r="I276" s="392"/>
      <c r="J276" s="404"/>
      <c r="K276" s="392"/>
      <c r="L276" s="408"/>
      <c r="M276" s="409"/>
      <c r="N276" s="406"/>
      <c r="O276" s="409"/>
      <c r="P276" s="410"/>
      <c r="Q276" s="6"/>
      <c r="R276" s="627"/>
      <c r="S276" s="326" t="s">
        <v>184</v>
      </c>
      <c r="T276" s="183">
        <f t="shared" si="22"/>
        <v>0</v>
      </c>
    </row>
    <row r="277" spans="1:20" ht="14.1" customHeight="1" x14ac:dyDescent="0.3">
      <c r="A277" s="625"/>
      <c r="B277" s="555" t="s">
        <v>185</v>
      </c>
      <c r="C277" s="392"/>
      <c r="D277" s="407"/>
      <c r="E277" s="392"/>
      <c r="F277" s="404"/>
      <c r="G277" s="392"/>
      <c r="H277" s="404"/>
      <c r="I277" s="392"/>
      <c r="J277" s="404"/>
      <c r="K277" s="392"/>
      <c r="L277" s="408"/>
      <c r="M277" s="409"/>
      <c r="N277" s="406"/>
      <c r="O277" s="409"/>
      <c r="P277" s="410"/>
      <c r="Q277" s="6"/>
      <c r="R277" s="627"/>
      <c r="S277" s="326" t="s">
        <v>185</v>
      </c>
      <c r="T277" s="183">
        <f t="shared" si="22"/>
        <v>0</v>
      </c>
    </row>
    <row r="278" spans="1:20" ht="14.1" customHeight="1" x14ac:dyDescent="0.3">
      <c r="A278" s="625"/>
      <c r="B278" s="556" t="s">
        <v>166</v>
      </c>
      <c r="C278" s="392"/>
      <c r="D278" s="407"/>
      <c r="E278" s="411"/>
      <c r="F278" s="406"/>
      <c r="G278" s="411"/>
      <c r="H278" s="404"/>
      <c r="I278" s="411"/>
      <c r="J278" s="404"/>
      <c r="K278" s="411"/>
      <c r="L278" s="408"/>
      <c r="M278" s="412"/>
      <c r="N278" s="406"/>
      <c r="O278" s="409"/>
      <c r="P278" s="410"/>
      <c r="Q278" s="6"/>
      <c r="R278" s="627"/>
      <c r="S278" s="343" t="s">
        <v>166</v>
      </c>
      <c r="T278" s="183">
        <f t="shared" si="22"/>
        <v>0</v>
      </c>
    </row>
    <row r="279" spans="1:20" ht="14.1" customHeight="1" x14ac:dyDescent="0.3">
      <c r="A279" s="625"/>
      <c r="B279" s="555" t="s">
        <v>167</v>
      </c>
      <c r="C279" s="411"/>
      <c r="D279" s="413"/>
      <c r="E279" s="411"/>
      <c r="F279" s="406"/>
      <c r="G279" s="411"/>
      <c r="H279" s="404"/>
      <c r="I279" s="411"/>
      <c r="J279" s="404"/>
      <c r="K279" s="411"/>
      <c r="L279" s="408"/>
      <c r="M279" s="412"/>
      <c r="N279" s="406"/>
      <c r="O279" s="412"/>
      <c r="P279" s="414"/>
      <c r="Q279" s="6"/>
      <c r="R279" s="627"/>
      <c r="S279" s="326" t="s">
        <v>167</v>
      </c>
      <c r="T279" s="183">
        <f t="shared" si="22"/>
        <v>0</v>
      </c>
    </row>
    <row r="280" spans="1:20" ht="14.1" customHeight="1" thickBot="1" x14ac:dyDescent="0.35">
      <c r="A280" s="625"/>
      <c r="B280" s="557" t="s">
        <v>186</v>
      </c>
      <c r="C280" s="398"/>
      <c r="D280" s="397"/>
      <c r="E280" s="398"/>
      <c r="F280" s="415"/>
      <c r="G280" s="398"/>
      <c r="H280" s="404"/>
      <c r="I280" s="398"/>
      <c r="J280" s="404"/>
      <c r="K280" s="398"/>
      <c r="L280" s="408"/>
      <c r="M280" s="398"/>
      <c r="N280" s="406"/>
      <c r="O280" s="402"/>
      <c r="P280" s="401"/>
      <c r="Q280" s="6"/>
      <c r="R280" s="627"/>
      <c r="S280" s="327" t="s">
        <v>186</v>
      </c>
      <c r="T280" s="184">
        <f t="shared" si="22"/>
        <v>0</v>
      </c>
    </row>
    <row r="281" spans="1:20" ht="14.1" customHeight="1" x14ac:dyDescent="0.3">
      <c r="A281" s="628" t="s">
        <v>19</v>
      </c>
      <c r="B281" s="461" t="s">
        <v>193</v>
      </c>
      <c r="C281" s="392"/>
      <c r="D281" s="385"/>
      <c r="E281" s="392"/>
      <c r="F281" s="388"/>
      <c r="G281" s="392"/>
      <c r="H281" s="388"/>
      <c r="I281" s="392"/>
      <c r="J281" s="388"/>
      <c r="K281" s="392"/>
      <c r="L281" s="405"/>
      <c r="M281" s="386"/>
      <c r="N281" s="385"/>
      <c r="O281" s="396"/>
      <c r="P281" s="389"/>
      <c r="Q281" s="6"/>
      <c r="R281" s="630" t="s">
        <v>19</v>
      </c>
      <c r="S281" s="379" t="s">
        <v>51</v>
      </c>
      <c r="T281" s="182">
        <f t="shared" si="22"/>
        <v>0</v>
      </c>
    </row>
    <row r="282" spans="1:20" ht="14.1" customHeight="1" x14ac:dyDescent="0.3">
      <c r="A282" s="629"/>
      <c r="B282" s="462" t="s">
        <v>194</v>
      </c>
      <c r="C282" s="392"/>
      <c r="D282" s="406"/>
      <c r="E282" s="409"/>
      <c r="F282" s="404"/>
      <c r="G282" s="392"/>
      <c r="H282" s="404"/>
      <c r="I282" s="392"/>
      <c r="J282" s="404"/>
      <c r="K282" s="392"/>
      <c r="L282" s="408"/>
      <c r="M282" s="409"/>
      <c r="N282" s="406"/>
      <c r="O282" s="396"/>
      <c r="P282" s="410"/>
      <c r="Q282" s="6"/>
      <c r="R282" s="631"/>
      <c r="S282" s="380" t="s">
        <v>43</v>
      </c>
      <c r="T282" s="183">
        <f t="shared" si="22"/>
        <v>30000000</v>
      </c>
    </row>
    <row r="283" spans="1:20" ht="14.1" customHeight="1" thickBot="1" x14ac:dyDescent="0.35">
      <c r="A283" s="629"/>
      <c r="B283" s="463" t="s">
        <v>195</v>
      </c>
      <c r="C283" s="412"/>
      <c r="D283" s="416"/>
      <c r="E283" s="412"/>
      <c r="F283" s="417"/>
      <c r="G283" s="412"/>
      <c r="H283" s="417"/>
      <c r="I283" s="412"/>
      <c r="J283" s="417"/>
      <c r="K283" s="412"/>
      <c r="L283" s="418"/>
      <c r="M283" s="412"/>
      <c r="N283" s="416"/>
      <c r="O283" s="419"/>
      <c r="P283" s="414"/>
      <c r="Q283" s="6"/>
      <c r="R283" s="631"/>
      <c r="S283" s="381" t="s">
        <v>53</v>
      </c>
      <c r="T283" s="183">
        <f t="shared" si="22"/>
        <v>0</v>
      </c>
    </row>
    <row r="284" spans="1:20" ht="14.1" customHeight="1" x14ac:dyDescent="0.3">
      <c r="A284" s="629"/>
      <c r="B284" s="461" t="s">
        <v>196</v>
      </c>
      <c r="C284" s="386"/>
      <c r="D284" s="385"/>
      <c r="E284" s="386"/>
      <c r="F284" s="388"/>
      <c r="G284" s="386"/>
      <c r="H284" s="388"/>
      <c r="I284" s="386"/>
      <c r="J284" s="388"/>
      <c r="K284" s="386"/>
      <c r="L284" s="405"/>
      <c r="M284" s="386"/>
      <c r="N284" s="385"/>
      <c r="O284" s="390"/>
      <c r="P284" s="389"/>
      <c r="Q284" s="6"/>
      <c r="R284" s="631"/>
      <c r="S284" s="358" t="s">
        <v>65</v>
      </c>
      <c r="T284" s="182">
        <f t="shared" si="22"/>
        <v>0</v>
      </c>
    </row>
    <row r="285" spans="1:20" ht="14.1" customHeight="1" x14ac:dyDescent="0.3">
      <c r="A285" s="629"/>
      <c r="B285" s="488" t="s">
        <v>197</v>
      </c>
      <c r="C285" s="392"/>
      <c r="D285" s="406"/>
      <c r="E285" s="392"/>
      <c r="F285" s="404"/>
      <c r="G285" s="392"/>
      <c r="H285" s="404"/>
      <c r="I285" s="392"/>
      <c r="J285" s="404"/>
      <c r="K285" s="392"/>
      <c r="L285" s="408"/>
      <c r="M285" s="392"/>
      <c r="N285" s="406"/>
      <c r="O285" s="396"/>
      <c r="P285" s="410"/>
      <c r="Q285" s="6"/>
      <c r="R285" s="631"/>
      <c r="S285" s="359" t="s">
        <v>8</v>
      </c>
      <c r="T285" s="183">
        <f t="shared" si="22"/>
        <v>0</v>
      </c>
    </row>
    <row r="286" spans="1:20" ht="14.1" customHeight="1" thickBot="1" x14ac:dyDescent="0.35">
      <c r="A286" s="629"/>
      <c r="B286" s="489" t="s">
        <v>198</v>
      </c>
      <c r="C286" s="398"/>
      <c r="D286" s="397"/>
      <c r="E286" s="398"/>
      <c r="F286" s="400"/>
      <c r="G286" s="398"/>
      <c r="H286" s="400"/>
      <c r="I286" s="398"/>
      <c r="J286" s="400"/>
      <c r="K286" s="398"/>
      <c r="L286" s="420"/>
      <c r="M286" s="398"/>
      <c r="N286" s="397"/>
      <c r="O286" s="402"/>
      <c r="P286" s="421"/>
      <c r="Q286" s="6"/>
      <c r="R286" s="631"/>
      <c r="S286" s="360" t="s">
        <v>5</v>
      </c>
      <c r="T286" s="183">
        <f t="shared" si="22"/>
        <v>30000000</v>
      </c>
    </row>
    <row r="287" spans="1:20" ht="14.1" customHeight="1" x14ac:dyDescent="0.3">
      <c r="A287" s="629"/>
      <c r="B287" s="461" t="s">
        <v>210</v>
      </c>
      <c r="C287" s="386"/>
      <c r="D287" s="385"/>
      <c r="E287" s="386"/>
      <c r="F287" s="388"/>
      <c r="G287" s="386"/>
      <c r="H287" s="388"/>
      <c r="I287" s="386"/>
      <c r="J287" s="388"/>
      <c r="K287" s="386"/>
      <c r="L287" s="405"/>
      <c r="M287" s="386"/>
      <c r="N287" s="385"/>
      <c r="O287" s="390"/>
      <c r="P287" s="389"/>
      <c r="Q287" s="6"/>
      <c r="R287" s="631"/>
      <c r="S287" s="361" t="s">
        <v>199</v>
      </c>
      <c r="T287" s="182">
        <f t="shared" si="22"/>
        <v>0</v>
      </c>
    </row>
    <row r="288" spans="1:20" ht="14.1" customHeight="1" x14ac:dyDescent="0.3">
      <c r="A288" s="629"/>
      <c r="B288" s="488" t="s">
        <v>200</v>
      </c>
      <c r="C288" s="392"/>
      <c r="D288" s="406"/>
      <c r="E288" s="392"/>
      <c r="F288" s="404"/>
      <c r="G288" s="392"/>
      <c r="H288" s="404"/>
      <c r="I288" s="392"/>
      <c r="J288" s="404"/>
      <c r="K288" s="392"/>
      <c r="L288" s="408"/>
      <c r="M288" s="392"/>
      <c r="N288" s="406"/>
      <c r="O288" s="396"/>
      <c r="P288" s="410"/>
      <c r="Q288" s="6"/>
      <c r="R288" s="631"/>
      <c r="S288" s="362" t="s">
        <v>200</v>
      </c>
      <c r="T288" s="183">
        <f t="shared" si="22"/>
        <v>0</v>
      </c>
    </row>
    <row r="289" spans="1:20" ht="14.1" customHeight="1" thickBot="1" x14ac:dyDescent="0.35">
      <c r="A289" s="629"/>
      <c r="B289" s="489" t="s">
        <v>209</v>
      </c>
      <c r="C289" s="398"/>
      <c r="D289" s="397"/>
      <c r="E289" s="398"/>
      <c r="F289" s="400"/>
      <c r="G289" s="398"/>
      <c r="H289" s="400"/>
      <c r="I289" s="398"/>
      <c r="J289" s="400"/>
      <c r="K289" s="398"/>
      <c r="L289" s="420"/>
      <c r="M289" s="398"/>
      <c r="N289" s="397"/>
      <c r="O289" s="402"/>
      <c r="P289" s="421"/>
      <c r="Q289" s="6"/>
      <c r="R289" s="631"/>
      <c r="S289" s="363" t="s">
        <v>201</v>
      </c>
      <c r="T289" s="183">
        <f t="shared" si="22"/>
        <v>0</v>
      </c>
    </row>
    <row r="290" spans="1:20" ht="14.1" customHeight="1" x14ac:dyDescent="0.3">
      <c r="A290" s="611" t="s">
        <v>16</v>
      </c>
      <c r="B290" s="464" t="s">
        <v>36</v>
      </c>
      <c r="C290" s="386"/>
      <c r="D290" s="422"/>
      <c r="E290" s="386"/>
      <c r="F290" s="388"/>
      <c r="G290" s="386"/>
      <c r="H290" s="388"/>
      <c r="I290" s="386"/>
      <c r="J290" s="388"/>
      <c r="K290" s="386"/>
      <c r="L290" s="405"/>
      <c r="M290" s="386"/>
      <c r="N290" s="385"/>
      <c r="O290" s="390"/>
      <c r="P290" s="389"/>
      <c r="Q290" s="6"/>
      <c r="R290" s="611" t="s">
        <v>16</v>
      </c>
      <c r="S290" s="364" t="s">
        <v>36</v>
      </c>
      <c r="T290" s="182">
        <f t="shared" si="22"/>
        <v>10000000</v>
      </c>
    </row>
    <row r="291" spans="1:20" ht="14.1" customHeight="1" x14ac:dyDescent="0.3">
      <c r="A291" s="612"/>
      <c r="B291" s="465" t="s">
        <v>81</v>
      </c>
      <c r="C291" s="392"/>
      <c r="D291" s="423"/>
      <c r="E291" s="392"/>
      <c r="F291" s="424"/>
      <c r="G291" s="392"/>
      <c r="H291" s="394"/>
      <c r="I291" s="392"/>
      <c r="J291" s="394"/>
      <c r="K291" s="392"/>
      <c r="L291" s="425"/>
      <c r="M291" s="392"/>
      <c r="N291" s="391"/>
      <c r="O291" s="396"/>
      <c r="P291" s="395"/>
      <c r="Q291" s="6"/>
      <c r="R291" s="612"/>
      <c r="S291" s="365" t="s">
        <v>81</v>
      </c>
      <c r="T291" s="183">
        <f t="shared" si="22"/>
        <v>0</v>
      </c>
    </row>
    <row r="292" spans="1:20" ht="14.1" customHeight="1" x14ac:dyDescent="0.3">
      <c r="A292" s="612"/>
      <c r="B292" s="465" t="s">
        <v>78</v>
      </c>
      <c r="C292" s="392"/>
      <c r="D292" s="426"/>
      <c r="E292" s="392"/>
      <c r="F292" s="426"/>
      <c r="G292" s="392"/>
      <c r="H292" s="391"/>
      <c r="I292" s="392"/>
      <c r="J292" s="391"/>
      <c r="K292" s="392"/>
      <c r="L292" s="425"/>
      <c r="M292" s="392"/>
      <c r="N292" s="391"/>
      <c r="O292" s="396"/>
      <c r="P292" s="395"/>
      <c r="Q292" s="6"/>
      <c r="R292" s="612"/>
      <c r="S292" s="365" t="s">
        <v>78</v>
      </c>
      <c r="T292" s="183">
        <f t="shared" si="22"/>
        <v>0</v>
      </c>
    </row>
    <row r="293" spans="1:20" ht="14.1" customHeight="1" thickBot="1" x14ac:dyDescent="0.35">
      <c r="A293" s="613"/>
      <c r="B293" s="466" t="s">
        <v>87</v>
      </c>
      <c r="C293" s="398"/>
      <c r="D293" s="427"/>
      <c r="E293" s="398"/>
      <c r="F293" s="427"/>
      <c r="G293" s="392"/>
      <c r="H293" s="397"/>
      <c r="I293" s="392"/>
      <c r="J293" s="397"/>
      <c r="K293" s="392"/>
      <c r="L293" s="420"/>
      <c r="M293" s="398"/>
      <c r="N293" s="397"/>
      <c r="O293" s="402"/>
      <c r="P293" s="401"/>
      <c r="Q293" s="6"/>
      <c r="R293" s="613"/>
      <c r="S293" s="366" t="s">
        <v>87</v>
      </c>
      <c r="T293" s="183">
        <f t="shared" si="22"/>
        <v>150000000</v>
      </c>
    </row>
    <row r="294" spans="1:20" ht="14.1" customHeight="1" x14ac:dyDescent="0.3">
      <c r="A294" s="614" t="s">
        <v>47</v>
      </c>
      <c r="B294" s="467" t="s">
        <v>48</v>
      </c>
      <c r="C294" s="409"/>
      <c r="D294" s="428"/>
      <c r="E294" s="386"/>
      <c r="F294" s="388"/>
      <c r="G294" s="386"/>
      <c r="H294" s="385"/>
      <c r="I294" s="386"/>
      <c r="J294" s="385"/>
      <c r="K294" s="386"/>
      <c r="L294" s="405"/>
      <c r="M294" s="386"/>
      <c r="N294" s="385"/>
      <c r="O294" s="390"/>
      <c r="P294" s="389"/>
      <c r="Q294" s="6"/>
      <c r="R294" s="614" t="s">
        <v>47</v>
      </c>
      <c r="S294" s="367" t="s">
        <v>48</v>
      </c>
      <c r="T294" s="182">
        <f t="shared" si="22"/>
        <v>0</v>
      </c>
    </row>
    <row r="295" spans="1:20" ht="14.1" customHeight="1" x14ac:dyDescent="0.3">
      <c r="A295" s="615"/>
      <c r="B295" s="468" t="s">
        <v>44</v>
      </c>
      <c r="C295" s="392"/>
      <c r="D295" s="424"/>
      <c r="E295" s="392"/>
      <c r="F295" s="394"/>
      <c r="G295" s="392"/>
      <c r="H295" s="391"/>
      <c r="I295" s="392"/>
      <c r="J295" s="391"/>
      <c r="K295" s="392"/>
      <c r="L295" s="425"/>
      <c r="M295" s="392"/>
      <c r="N295" s="391"/>
      <c r="O295" s="396"/>
      <c r="P295" s="395"/>
      <c r="Q295" s="6"/>
      <c r="R295" s="615"/>
      <c r="S295" s="368" t="s">
        <v>44</v>
      </c>
      <c r="T295" s="183">
        <f t="shared" si="22"/>
        <v>130000000</v>
      </c>
    </row>
    <row r="296" spans="1:20" ht="14.1" customHeight="1" thickBot="1" x14ac:dyDescent="0.35">
      <c r="A296" s="616"/>
      <c r="B296" s="469" t="s">
        <v>54</v>
      </c>
      <c r="C296" s="398"/>
      <c r="D296" s="429"/>
      <c r="E296" s="398"/>
      <c r="F296" s="400"/>
      <c r="G296" s="398"/>
      <c r="H296" s="397"/>
      <c r="I296" s="398"/>
      <c r="J296" s="397"/>
      <c r="K296" s="398"/>
      <c r="L296" s="420"/>
      <c r="M296" s="398"/>
      <c r="N296" s="397"/>
      <c r="O296" s="430"/>
      <c r="P296" s="410"/>
      <c r="Q296" s="6"/>
      <c r="R296" s="616"/>
      <c r="S296" s="369" t="s">
        <v>54</v>
      </c>
      <c r="T296" s="183">
        <f t="shared" si="22"/>
        <v>150000000</v>
      </c>
    </row>
    <row r="297" spans="1:20" ht="14.1" customHeight="1" x14ac:dyDescent="0.3">
      <c r="A297" s="617" t="s">
        <v>39</v>
      </c>
      <c r="B297" s="470" t="s">
        <v>44</v>
      </c>
      <c r="C297" s="386"/>
      <c r="D297" s="403"/>
      <c r="E297" s="386"/>
      <c r="F297" s="404"/>
      <c r="G297" s="386"/>
      <c r="H297" s="406"/>
      <c r="I297" s="386"/>
      <c r="J297" s="406"/>
      <c r="K297" s="386"/>
      <c r="L297" s="405"/>
      <c r="M297" s="409"/>
      <c r="N297" s="406"/>
      <c r="O297" s="390"/>
      <c r="P297" s="389"/>
      <c r="Q297" s="6"/>
      <c r="R297" s="617" t="s">
        <v>39</v>
      </c>
      <c r="S297" s="480" t="s">
        <v>44</v>
      </c>
      <c r="T297" s="182">
        <f t="shared" si="22"/>
        <v>30</v>
      </c>
    </row>
    <row r="298" spans="1:20" ht="14.1" customHeight="1" x14ac:dyDescent="0.3">
      <c r="A298" s="618"/>
      <c r="B298" s="470" t="s">
        <v>54</v>
      </c>
      <c r="C298" s="392"/>
      <c r="D298" s="426"/>
      <c r="E298" s="392"/>
      <c r="F298" s="394"/>
      <c r="G298" s="392"/>
      <c r="H298" s="391"/>
      <c r="I298" s="392"/>
      <c r="J298" s="391"/>
      <c r="K298" s="392"/>
      <c r="L298" s="425"/>
      <c r="M298" s="392"/>
      <c r="N298" s="406"/>
      <c r="O298" s="396"/>
      <c r="P298" s="395"/>
      <c r="Q298" s="6"/>
      <c r="R298" s="618"/>
      <c r="S298" s="480" t="s">
        <v>54</v>
      </c>
      <c r="T298" s="183">
        <f t="shared" si="22"/>
        <v>30</v>
      </c>
    </row>
    <row r="299" spans="1:20" ht="14.1" customHeight="1" x14ac:dyDescent="0.3">
      <c r="A299" s="618"/>
      <c r="B299" s="470" t="s">
        <v>204</v>
      </c>
      <c r="C299" s="392"/>
      <c r="D299" s="426"/>
      <c r="E299" s="392"/>
      <c r="F299" s="404"/>
      <c r="G299" s="392"/>
      <c r="H299" s="406"/>
      <c r="I299" s="392"/>
      <c r="J299" s="406"/>
      <c r="K299" s="392"/>
      <c r="L299" s="408"/>
      <c r="M299" s="392"/>
      <c r="N299" s="406"/>
      <c r="O299" s="396"/>
      <c r="P299" s="395"/>
      <c r="Q299" s="6"/>
      <c r="R299" s="618"/>
      <c r="S299" s="480" t="s">
        <v>204</v>
      </c>
      <c r="T299" s="183">
        <f t="shared" si="22"/>
        <v>0</v>
      </c>
    </row>
    <row r="300" spans="1:20" ht="14.1" customHeight="1" thickBot="1" x14ac:dyDescent="0.35">
      <c r="A300" s="618"/>
      <c r="B300" s="471" t="s">
        <v>113</v>
      </c>
      <c r="C300" s="411"/>
      <c r="D300" s="427"/>
      <c r="E300" s="411"/>
      <c r="F300" s="417"/>
      <c r="G300" s="411"/>
      <c r="H300" s="416"/>
      <c r="I300" s="411"/>
      <c r="J300" s="416"/>
      <c r="K300" s="411"/>
      <c r="L300" s="431"/>
      <c r="M300" s="411"/>
      <c r="N300" s="432"/>
      <c r="O300" s="433"/>
      <c r="P300" s="421"/>
      <c r="Q300" s="6"/>
      <c r="R300" s="618"/>
      <c r="S300" s="513" t="s">
        <v>113</v>
      </c>
      <c r="T300" s="183">
        <f t="shared" si="22"/>
        <v>0</v>
      </c>
    </row>
    <row r="301" spans="1:20" ht="14.1" customHeight="1" x14ac:dyDescent="0.3">
      <c r="A301" s="603" t="s">
        <v>215</v>
      </c>
      <c r="B301" s="472" t="s">
        <v>45</v>
      </c>
      <c r="C301" s="386"/>
      <c r="D301" s="403"/>
      <c r="E301" s="386"/>
      <c r="F301" s="388"/>
      <c r="G301" s="386"/>
      <c r="H301" s="385"/>
      <c r="I301" s="386"/>
      <c r="J301" s="385"/>
      <c r="K301" s="386"/>
      <c r="L301" s="405"/>
      <c r="M301" s="386"/>
      <c r="N301" s="385"/>
      <c r="O301" s="390"/>
      <c r="P301" s="389"/>
      <c r="Q301" s="6"/>
      <c r="R301" s="603" t="s">
        <v>215</v>
      </c>
      <c r="S301" s="483" t="s">
        <v>45</v>
      </c>
      <c r="T301" s="182">
        <f t="shared" si="22"/>
        <v>40</v>
      </c>
    </row>
    <row r="302" spans="1:20" ht="14.1" customHeight="1" thickBot="1" x14ac:dyDescent="0.35">
      <c r="A302" s="604"/>
      <c r="B302" s="482" t="s">
        <v>42</v>
      </c>
      <c r="C302" s="435"/>
      <c r="D302" s="434"/>
      <c r="E302" s="435"/>
      <c r="F302" s="400"/>
      <c r="G302" s="435"/>
      <c r="H302" s="397"/>
      <c r="I302" s="435"/>
      <c r="J302" s="397"/>
      <c r="K302" s="435"/>
      <c r="L302" s="436"/>
      <c r="M302" s="435"/>
      <c r="N302" s="437"/>
      <c r="O302" s="438"/>
      <c r="P302" s="401"/>
      <c r="Q302" s="6"/>
      <c r="R302" s="604"/>
      <c r="S302" s="503" t="s">
        <v>42</v>
      </c>
      <c r="T302" s="183">
        <f t="shared" si="22"/>
        <v>0</v>
      </c>
    </row>
    <row r="303" spans="1:20" ht="14.1" customHeight="1" x14ac:dyDescent="0.3">
      <c r="A303" s="605" t="s">
        <v>206</v>
      </c>
      <c r="B303" s="484" t="s">
        <v>207</v>
      </c>
      <c r="C303" s="412"/>
      <c r="D303" s="439"/>
      <c r="E303" s="412"/>
      <c r="F303" s="417"/>
      <c r="G303" s="412"/>
      <c r="H303" s="416"/>
      <c r="I303" s="412"/>
      <c r="J303" s="416"/>
      <c r="K303" s="412"/>
      <c r="L303" s="418"/>
      <c r="M303" s="412"/>
      <c r="N303" s="416"/>
      <c r="O303" s="419"/>
      <c r="P303" s="414"/>
      <c r="Q303" s="6"/>
      <c r="R303" s="605" t="s">
        <v>206</v>
      </c>
      <c r="S303" s="486" t="s">
        <v>207</v>
      </c>
      <c r="T303" s="182">
        <f t="shared" si="22"/>
        <v>6</v>
      </c>
    </row>
    <row r="304" spans="1:20" ht="14.1" customHeight="1" thickBot="1" x14ac:dyDescent="0.35">
      <c r="A304" s="606"/>
      <c r="B304" s="485" t="s">
        <v>208</v>
      </c>
      <c r="C304" s="412"/>
      <c r="D304" s="439"/>
      <c r="E304" s="412"/>
      <c r="F304" s="417"/>
      <c r="G304" s="412"/>
      <c r="H304" s="416"/>
      <c r="I304" s="412"/>
      <c r="J304" s="416"/>
      <c r="K304" s="412"/>
      <c r="L304" s="418"/>
      <c r="M304" s="412"/>
      <c r="N304" s="416"/>
      <c r="O304" s="419"/>
      <c r="P304" s="414"/>
      <c r="Q304" s="6"/>
      <c r="R304" s="607"/>
      <c r="S304" s="559" t="s">
        <v>208</v>
      </c>
      <c r="T304" s="183">
        <f t="shared" si="22"/>
        <v>6</v>
      </c>
    </row>
    <row r="305" spans="1:20" ht="14.1" customHeight="1" x14ac:dyDescent="0.3">
      <c r="A305" s="608" t="s">
        <v>125</v>
      </c>
      <c r="B305" s="473" t="s">
        <v>126</v>
      </c>
      <c r="C305" s="386"/>
      <c r="D305" s="422"/>
      <c r="E305" s="386"/>
      <c r="F305" s="388"/>
      <c r="G305" s="386"/>
      <c r="H305" s="405"/>
      <c r="I305" s="386"/>
      <c r="J305" s="385"/>
      <c r="K305" s="386"/>
      <c r="L305" s="405"/>
      <c r="M305" s="386"/>
      <c r="N305" s="385"/>
      <c r="O305" s="390"/>
      <c r="P305" s="389"/>
      <c r="Q305" s="6"/>
      <c r="R305" s="610" t="s">
        <v>125</v>
      </c>
      <c r="S305" s="562" t="s">
        <v>126</v>
      </c>
      <c r="T305" s="182">
        <f t="shared" si="22"/>
        <v>0</v>
      </c>
    </row>
    <row r="306" spans="1:20" ht="14.1" customHeight="1" x14ac:dyDescent="0.3">
      <c r="A306" s="608"/>
      <c r="B306" s="474" t="s">
        <v>127</v>
      </c>
      <c r="C306" s="412"/>
      <c r="D306" s="439"/>
      <c r="E306" s="412"/>
      <c r="F306" s="404"/>
      <c r="G306" s="412"/>
      <c r="H306" s="408"/>
      <c r="I306" s="412"/>
      <c r="J306" s="406"/>
      <c r="K306" s="412"/>
      <c r="L306" s="418"/>
      <c r="M306" s="412"/>
      <c r="N306" s="416"/>
      <c r="O306" s="419"/>
      <c r="P306" s="414"/>
      <c r="Q306" s="6"/>
      <c r="R306" s="608"/>
      <c r="S306" s="504" t="s">
        <v>127</v>
      </c>
      <c r="T306" s="183">
        <f t="shared" si="22"/>
        <v>0</v>
      </c>
    </row>
    <row r="307" spans="1:20" ht="14.1" customHeight="1" thickBot="1" x14ac:dyDescent="0.35">
      <c r="A307" s="609"/>
      <c r="B307" s="475" t="s">
        <v>128</v>
      </c>
      <c r="C307" s="398"/>
      <c r="D307" s="440"/>
      <c r="E307" s="398"/>
      <c r="F307" s="404"/>
      <c r="G307" s="398"/>
      <c r="H307" s="408"/>
      <c r="I307" s="398"/>
      <c r="J307" s="406"/>
      <c r="K307" s="398"/>
      <c r="L307" s="420"/>
      <c r="M307" s="398"/>
      <c r="N307" s="397"/>
      <c r="O307" s="402"/>
      <c r="P307" s="401"/>
      <c r="Q307" s="6"/>
      <c r="R307" s="609"/>
      <c r="S307" s="505" t="s">
        <v>128</v>
      </c>
      <c r="T307" s="183">
        <f t="shared" si="22"/>
        <v>0</v>
      </c>
    </row>
    <row r="308" spans="1:20" ht="14.1" customHeight="1" x14ac:dyDescent="0.3">
      <c r="A308" s="582" t="s">
        <v>52</v>
      </c>
      <c r="B308" s="476" t="s">
        <v>41</v>
      </c>
      <c r="C308" s="386"/>
      <c r="D308" s="441"/>
      <c r="E308" s="390"/>
      <c r="F308" s="388"/>
      <c r="G308" s="386"/>
      <c r="H308" s="405"/>
      <c r="I308" s="386"/>
      <c r="J308" s="385"/>
      <c r="K308" s="386"/>
      <c r="L308" s="405"/>
      <c r="M308" s="386"/>
      <c r="N308" s="385"/>
      <c r="O308" s="396"/>
      <c r="P308" s="389"/>
      <c r="Q308" s="6"/>
      <c r="R308" s="582" t="s">
        <v>52</v>
      </c>
      <c r="S308" s="377" t="s">
        <v>41</v>
      </c>
      <c r="T308" s="182">
        <f t="shared" si="22"/>
        <v>0</v>
      </c>
    </row>
    <row r="309" spans="1:20" ht="14.1" customHeight="1" x14ac:dyDescent="0.3">
      <c r="A309" s="583"/>
      <c r="B309" s="476" t="s">
        <v>11</v>
      </c>
      <c r="C309" s="392"/>
      <c r="D309" s="442"/>
      <c r="E309" s="396"/>
      <c r="F309" s="394"/>
      <c r="G309" s="392"/>
      <c r="H309" s="425"/>
      <c r="I309" s="392"/>
      <c r="J309" s="443"/>
      <c r="K309" s="392"/>
      <c r="L309" s="425"/>
      <c r="M309" s="392"/>
      <c r="N309" s="391"/>
      <c r="O309" s="396"/>
      <c r="P309" s="395"/>
      <c r="Q309" s="6"/>
      <c r="R309" s="583"/>
      <c r="S309" s="377" t="s">
        <v>11</v>
      </c>
      <c r="T309" s="183">
        <f t="shared" si="22"/>
        <v>0</v>
      </c>
    </row>
    <row r="310" spans="1:20" ht="14.1" customHeight="1" thickBot="1" x14ac:dyDescent="0.35">
      <c r="A310" s="584"/>
      <c r="B310" s="477" t="s">
        <v>27</v>
      </c>
      <c r="C310" s="409"/>
      <c r="D310" s="423"/>
      <c r="E310" s="430"/>
      <c r="F310" s="404"/>
      <c r="G310" s="409"/>
      <c r="H310" s="408"/>
      <c r="I310" s="409"/>
      <c r="J310" s="391"/>
      <c r="K310" s="409"/>
      <c r="L310" s="408"/>
      <c r="M310" s="409"/>
      <c r="N310" s="406"/>
      <c r="O310" s="396"/>
      <c r="P310" s="395"/>
      <c r="Q310" s="6"/>
      <c r="R310" s="584"/>
      <c r="S310" s="378" t="s">
        <v>27</v>
      </c>
      <c r="T310" s="183">
        <f t="shared" si="22"/>
        <v>0</v>
      </c>
    </row>
    <row r="311" spans="1:20" ht="14.1" customHeight="1" thickBot="1" x14ac:dyDescent="0.35">
      <c r="A311" s="585" t="s">
        <v>30</v>
      </c>
      <c r="B311" s="586"/>
      <c r="C311" s="445"/>
      <c r="D311" s="444"/>
      <c r="E311" s="445"/>
      <c r="F311" s="446"/>
      <c r="G311" s="445"/>
      <c r="H311" s="447"/>
      <c r="I311" s="445"/>
      <c r="J311" s="448"/>
      <c r="K311" s="445"/>
      <c r="L311" s="447"/>
      <c r="M311" s="445"/>
      <c r="N311" s="448"/>
      <c r="O311" s="449"/>
      <c r="P311" s="450"/>
      <c r="Q311" s="6"/>
      <c r="R311" s="585" t="s">
        <v>30</v>
      </c>
      <c r="S311" s="587"/>
      <c r="T311" s="182">
        <f t="shared" si="22"/>
        <v>100000000</v>
      </c>
    </row>
    <row r="312" spans="1:20" ht="14.1" customHeight="1" x14ac:dyDescent="0.3">
      <c r="A312" s="588" t="s">
        <v>38</v>
      </c>
      <c r="B312" s="589"/>
      <c r="C312" s="451"/>
      <c r="D312" s="385"/>
      <c r="E312" s="451"/>
      <c r="F312" s="391"/>
      <c r="G312" s="451"/>
      <c r="H312" s="405"/>
      <c r="I312" s="451"/>
      <c r="J312" s="452"/>
      <c r="K312" s="453"/>
      <c r="L312" s="405"/>
      <c r="M312" s="451"/>
      <c r="N312" s="408"/>
      <c r="O312" s="451"/>
      <c r="P312" s="389"/>
      <c r="Q312" s="6"/>
      <c r="R312" s="594" t="s">
        <v>38</v>
      </c>
      <c r="S312" s="597"/>
      <c r="T312" s="598"/>
    </row>
    <row r="313" spans="1:20" ht="14.1" customHeight="1" x14ac:dyDescent="0.3">
      <c r="A313" s="590"/>
      <c r="B313" s="591"/>
      <c r="C313" s="453"/>
      <c r="D313" s="391"/>
      <c r="E313" s="453"/>
      <c r="F313" s="406"/>
      <c r="G313" s="453"/>
      <c r="H313" s="425"/>
      <c r="I313" s="453"/>
      <c r="J313" s="391"/>
      <c r="K313" s="454"/>
      <c r="L313" s="425"/>
      <c r="M313" s="453"/>
      <c r="N313" s="425"/>
      <c r="O313" s="453"/>
      <c r="P313" s="395"/>
      <c r="Q313" s="6"/>
      <c r="R313" s="595"/>
      <c r="S313" s="599"/>
      <c r="T313" s="600"/>
    </row>
    <row r="314" spans="1:20" ht="14.1" customHeight="1" x14ac:dyDescent="0.3">
      <c r="A314" s="590"/>
      <c r="B314" s="591"/>
      <c r="C314" s="453"/>
      <c r="D314" s="391"/>
      <c r="E314" s="453"/>
      <c r="F314" s="406"/>
      <c r="G314" s="453"/>
      <c r="H314" s="425"/>
      <c r="I314" s="453"/>
      <c r="J314" s="406"/>
      <c r="K314" s="453"/>
      <c r="L314" s="391"/>
      <c r="M314" s="453"/>
      <c r="N314" s="408"/>
      <c r="O314" s="453"/>
      <c r="P314" s="395"/>
      <c r="Q314" s="6"/>
      <c r="R314" s="595"/>
      <c r="S314" s="599"/>
      <c r="T314" s="600"/>
    </row>
    <row r="315" spans="1:20" ht="14.1" customHeight="1" thickBot="1" x14ac:dyDescent="0.35">
      <c r="A315" s="592"/>
      <c r="B315" s="593"/>
      <c r="C315" s="455"/>
      <c r="D315" s="397"/>
      <c r="E315" s="455"/>
      <c r="F315" s="456"/>
      <c r="G315" s="455"/>
      <c r="H315" s="420"/>
      <c r="I315" s="455"/>
      <c r="J315" s="400"/>
      <c r="K315" s="455"/>
      <c r="L315" s="400"/>
      <c r="M315" s="455"/>
      <c r="N315" s="397"/>
      <c r="O315" s="455"/>
      <c r="P315" s="401"/>
      <c r="Q315" s="6"/>
      <c r="R315" s="596"/>
      <c r="S315" s="601"/>
      <c r="T315" s="602"/>
    </row>
  </sheetData>
  <protectedRanges>
    <protectedRange sqref="P38:P46" name="범위1_2_1"/>
    <protectedRange sqref="P49:P52" name="범위1_2_2"/>
    <protectedRange sqref="P31:P32 P34:P35 N20:N24 L17:L24 J24:J25 J20:J21 P37" name="범위1_2_3"/>
    <protectedRange sqref="O5 O8:P8 O6:P6 O1:P1" name="범위1_8"/>
    <protectedRange sqref="O2:P2 O4:P4" name="범위1_6_1"/>
    <protectedRange sqref="O7:P7" name="범위1_7_1"/>
    <protectedRange sqref="O38:O48 O12:O28 O53:O63" name="범위1_9"/>
    <protectedRange sqref="O49:O52" name="범위1_5_1"/>
    <protectedRange sqref="J12:J16 E53:F55 I53:J55 I26:J28 J22:J23 I35:J37" name="범위1_10"/>
    <protectedRange sqref="I12:I16 I21:I25" name="범위1_9_1"/>
    <protectedRange sqref="A1:B1" name="범위1_3_1"/>
    <protectedRange sqref="D53:D55 D22:D28" name="범위1_12"/>
    <protectedRange sqref="D35:D37" name="범위1_2_1_3"/>
    <protectedRange sqref="C53:C55 C22:C28 C35:C37" name="범위1_9_3"/>
    <protectedRange sqref="K68 I68 D110:D111 K81:K87 J96:K96 K94:K95 J101:L107 J91:L93 L94:L97 K88:L90 K108:L108 J111 L111 G68 E68 J81:J83 D116:D126 L109 C104:C105 C75:D78 I126:L126 I123:I125 F96 F101:F102 F92:F93 H96 H101:H107 H91:H93 E75:L79 F111 H111 F110:L110 E80:F83 G124 H81:H83 G112:L112 E91:F91 F125:H126 E112:E126 F123:G123 F105:F107 F113:I122 J113:J119 J121:J122 L113:L125 K113:K123 K125 D79:D92 M75:N97 M112:N126 N111 M101:N110 J99:K99 K97:K98 K100 F99 H99 G91:G107 I91:I107 E92:E110 L98:N100 P110:P111 P116:P126 P96 P75:P93 P99 O92:O100 K131 I131 D173:D174 K144:K150 J159:K159 K157:K158 J164:L170 J154:L156 L157:L160 K151:L153 K171:L171 J174 L174 G131 E131 J144:J146 D179:D189 L172 C167:C168 C138:D141 I189:L189 I186:I188 F159 F164:F165 F155:F156 H159 H164:H170 H154:H156 E138:L142 F174 H174 F173:L173 E143:F146 G187 H144:H146 G175:L175 E154:F154 F188:H189 E175:E189 F186:G186 F168:F170 F176:I185 J176:J182 J184:J185 L176:L188 K176:K186 K188 D142:D155 M138:N160 M175:N189 N174 M164:N173 J162:K162 K160:K161 K163 F162 H162 G154:G170 I154:I170 E155:E173 L161:N163 P173:P174 P179:P189 P159 P138:P156 P162 O155:O163 K194 I194 D236:D237 K207:K213 J222:K222 K220:K221 J227:L233 J217:L219 L220:L223 K214:L216 K234:L234 J237 L237 G194 E194 J207:J209 D242:D252 L235 C230:C231 C201:D204 I252:L252 I249:I251 F222 F227:F228 F218:F219 H222 H227:H233 H217:H219 E201:L205 F237 H237 F236:L236 E206:F209 G250 H207:H209 G238:L238 E217:F217 F251:H252 E238:E252 F249:G249 F231:F233 F239:I248 J239:J245 J247:J248 L239:L251 K239:K249 K251 D205:D218 M201:N223 M238:N252 N237 M227:N236 J225:K225 K223:K224 K226 F225 H225 G217:G233 I217:I233 E218:E236 L224:N226 P236:P237 P242:P252 P222 P201:P219 P225 O218:O226 K257 I257 D299:D300 K270:K276 J285:K285 K283:K284 J290:L296 J280:L282 L283:L286 K277:L279 K297:L297 J300 L300 G257 E257 J270:J272 D305:D315 L298 C293:C294 C264:D267 I315:L315 I312:I314 F285 F290:F291 F281:F282 H285 H290:H296 H280:H282 E264:L268 F300 H300 F299:L299 E269:F272 G313 H270:H272 G301:L301 E280:F280 F314:H315 E301:E315 F312:G312 F294:F296 F302:I311 J302:J308 J310:J311 L302:L314 K302:K312 K314 D268:D281 M264:N286 M301:N315 N300 M290:N299 J288:K288 K286:K287 K289 F288 H288 G280:G296 I280:I296 E281:E299 L287:N289 P299:P300 P305:P315 P285 P264:P282 P288 O281:O289" name="범위1_3"/>
    <protectedRange sqref="J108:J109 D103:D109 H123:H124 F108:F109 H108:H109 F112 J123:J125 F103:F104 D93:D101 P101:P109 J171:J172 D166:D172 H186:H187 F171:F172 H171:H172 F175 J186:J188 F166:F167 D156:D164 P164:P172 J234:J235 D229:D235 H249:H250 F234:F235 H234:H235 F238 J249:J251 F229:F230 D219:D227 P227:P235 J297:J298 D292:D298 H312:H313 F297:F298 H297:H298 F301 J312:J314 F292:F293 D282:D290 P290:P298" name="범위1_2_1_2"/>
    <protectedRange sqref="D112:D115 P112:P115 D175:D178 P175:P178 D238:D241 P238:P241 D301:D304 P301:P304" name="범위1_2_2_2"/>
    <protectedRange sqref="J94:J95 L80:L87 I81:I83 F94:F95 H94:H95 G80:J80 E84:J90 G81:G83 J97:J98 J100 F97:F98 F100 H97:H98 H100 P94:P95 P97:P98 P100 J157:J158 L143:L150 I144:I146 F157:F158 H157:H158 G143:J143 E147:J153 G144:G146 J160:J161 J163 F160:F161 F163 H160:H161 H163 P157:P158 P160:P161 P163 J220:J221 L206:L213 I207:I209 F220:F221 H220:H221 G206:J206 E210:J216 G207:G209 J223:J224 J226 F223:F224 F226 H223:H224 H226 P220:P221 P223:P224 P226 J283:J284 L269:L276 I270:I272 F283:F284 H283:H284 G269:J269 E273:J279 G270:G272 J286:J287 J289 F286:F287 F289 H286:H287 H289 P283:P284 P286:P287 P289" name="범위1_2_3_2"/>
    <protectedRange sqref="C68 M68 O68 M71:P71 M69:P69 C64:P64 C131 M131 O131 M134:P134 M132:P132 C127:P127 C194 M194 O194 M197:P197 M195:P195 C190:P190 C257 M257 O257 M260:P260 M258:P258 C253:P253" name="범위1_8_2"/>
    <protectedRange sqref="K67:L67 O65:P67 K130:L130 O128:P130 K193:L193 O191:P193 K256:L256 O254:P256" name="범위1_6_1_2"/>
    <protectedRange sqref="M70:P70 M133:P133 M196:P196 M259:P259" name="범위1_7_1_2"/>
    <protectedRange sqref="C116:C126 I108:I109 I111 K111 K109 D102 C106:C111 C102:C103 G108:G109 G111 E111 K80 M111 C79:C100 O116:O126 O101:O111 O75:O91 C179:C189 I171:I172 I174 K174 K172 D165 C169:C174 C165:C166 G171:G172 G174 E174 K143 M174 C142:C163 O179:O189 O164:O174 O138:O154 C242:C252 I234:I235 I237 K237 K235 D228 C232:C237 C228:C229 G234:G235 G237 E237 K206 M237 C205:C226 O242:O252 O227:O237 O201:O217 C305:C315 I297:I298 I300 K300 K298 D291 C295:C300 C291:C292 G297:G298 G300 E300 K269 M300 C268:C289 O305:O315 O290:O300 O264:O280" name="범위1_9_2"/>
    <protectedRange sqref="C112:C115 O112:O115 C175:C178 O175:O178 C238:C241 O238:O241 C301:C304 O301:O304" name="범위1_5_1_2"/>
    <protectedRange sqref="C67:J67 C65:L66 M65:N67 C130:J130 C128:L129 M128:N130 C193:J193 C191:L192 M191:N193 C256:J256 C254:L255 M254:N256" name="범위1_1_2"/>
    <protectedRange sqref="C69:L71 C132:L134 C195:L197 C258:L260" name="범위1_4_2"/>
    <protectedRange sqref="B60 B123 B186 B249 B312" name="범위1_10_1_1"/>
    <protectedRange sqref="E26:F28 F22:F25 E36:F37" name="범위1_10_2"/>
    <protectedRange sqref="E22:E25" name="범위1_9_1_1"/>
    <protectedRange sqref="T1" name="범위1_2_4"/>
    <protectedRange sqref="G53:H55" name="범위1_10_1"/>
    <protectedRange sqref="H22:H25 G26:H28 G35:H37" name="범위1_10_2_1"/>
    <protectedRange sqref="G22:G25 I20" name="범위1_9_1_1_1"/>
    <protectedRange sqref="F12:H16 C12:E12 G21:H21 D20:F21 E17:F17 C13:C15 D13:E16" name="범위1_5"/>
    <protectedRange sqref="G20:H20" name="범위1_2_3_3"/>
    <protectedRange sqref="C16 C20:C21" name="범위1_9_4"/>
    <protectedRange sqref="E35:F35" name="범위1_11"/>
    <protectedRange sqref="K5 I5 G5 E5" name="범위1"/>
    <protectedRange sqref="C5 M5 C1:N1" name="범위1_8_4"/>
    <protectedRange sqref="K2:L2 K4:L4" name="범위1_6_1_1"/>
    <protectedRange sqref="K3:L3 M2:N4 O3:P3 C2:J4" name="범위1_1_4"/>
    <protectedRange sqref="M8:N8 M6:N6" name="범위1_8_5"/>
    <protectedRange sqref="M7:N7" name="범위1_7_1_1"/>
    <protectedRange sqref="C6:L8" name="범위1_4_5"/>
    <protectedRange sqref="J18:J19 D18:F19 H19 K17:K19 D17" name="범위1_17"/>
    <protectedRange sqref="I18:I19 G17:G19 I17:J17" name="범위1_2_3_1"/>
    <protectedRange sqref="C17:C19" name="범위1_9_10"/>
    <protectedRange sqref="J33:K33 K31:K32 K34 J29:K30 D29 F33 F29:F30 H33 H29:H30 G29:G34 I29:I34 E29:E34 H17:H18" name="범위1_22"/>
    <protectedRange sqref="D30:D34" name="범위1_2_1_6"/>
    <protectedRange sqref="J31:J32 J34 F31:F32 F34 H31:H32 H34" name="범위1_2_3_4"/>
    <protectedRange sqref="C29:C34" name="범위1_9_11"/>
    <protectedRange sqref="D47:D48 K45:N45 J48 L48 N48 D51:D52 L46:N46 C41:C42 F48 H48 F47:N47 G49:N49 F50:N52 E49:E52 F38:N44 E38:E47" name="범위1_23"/>
    <protectedRange sqref="J45:J46 D38 D40:D46 F45:F46 H45:H46 F49" name="범위1_2_1_7"/>
    <protectedRange sqref="D49:D50" name="범위1_2_2_1"/>
    <protectedRange sqref="C51:C52 I45:I46 I48 K48 M48 K46 D39 C43:C48 C39:C40 G45:G46 G48 E48" name="범위1_9_12"/>
    <protectedRange sqref="C49:C50" name="범위1_5_1_1"/>
    <protectedRange sqref="K60:N62 I63:N63 I60:I62 G61 F56:N59 F62:H63 D56:E63 F60:G60" name="범위1_24"/>
    <protectedRange sqref="H60:H61 J60:J62" name="범위1_2_1_8"/>
    <protectedRange sqref="C56:C63" name="범위1_9_13"/>
  </protectedRanges>
  <mergeCells count="565">
    <mergeCell ref="M1:N1"/>
    <mergeCell ref="O1:P1"/>
    <mergeCell ref="R1:S1"/>
    <mergeCell ref="A2:B2"/>
    <mergeCell ref="C2:D2"/>
    <mergeCell ref="E2:F2"/>
    <mergeCell ref="G2:H2"/>
    <mergeCell ref="I2:J2"/>
    <mergeCell ref="K2:L2"/>
    <mergeCell ref="M2:N2"/>
    <mergeCell ref="A1:B1"/>
    <mergeCell ref="C1:D1"/>
    <mergeCell ref="E1:F1"/>
    <mergeCell ref="G1:H1"/>
    <mergeCell ref="I1:J1"/>
    <mergeCell ref="K1:L1"/>
    <mergeCell ref="O2:P2"/>
    <mergeCell ref="R2:T6"/>
    <mergeCell ref="A3:B3"/>
    <mergeCell ref="C3:D3"/>
    <mergeCell ref="E3:F3"/>
    <mergeCell ref="G3:H3"/>
    <mergeCell ref="I3:J3"/>
    <mergeCell ref="K3:L3"/>
    <mergeCell ref="M3:N3"/>
    <mergeCell ref="O3:P3"/>
    <mergeCell ref="M4:N4"/>
    <mergeCell ref="O4:P4"/>
    <mergeCell ref="A5:B5"/>
    <mergeCell ref="A6:B6"/>
    <mergeCell ref="C6:D6"/>
    <mergeCell ref="E6:F6"/>
    <mergeCell ref="G6:H6"/>
    <mergeCell ref="I6:J6"/>
    <mergeCell ref="K6:L6"/>
    <mergeCell ref="M6:N6"/>
    <mergeCell ref="A4:B4"/>
    <mergeCell ref="C4:D4"/>
    <mergeCell ref="E4:F4"/>
    <mergeCell ref="G4:H4"/>
    <mergeCell ref="I4:J4"/>
    <mergeCell ref="K4:L4"/>
    <mergeCell ref="O6:P6"/>
    <mergeCell ref="A7:B7"/>
    <mergeCell ref="C7:D7"/>
    <mergeCell ref="E7:F7"/>
    <mergeCell ref="G7:H7"/>
    <mergeCell ref="I7:J7"/>
    <mergeCell ref="K7:L7"/>
    <mergeCell ref="M7:N7"/>
    <mergeCell ref="O7:P7"/>
    <mergeCell ref="R7:S7"/>
    <mergeCell ref="A8:B8"/>
    <mergeCell ref="C8:D8"/>
    <mergeCell ref="E8:F8"/>
    <mergeCell ref="G8:H8"/>
    <mergeCell ref="I8:J8"/>
    <mergeCell ref="K8:L8"/>
    <mergeCell ref="M8:N8"/>
    <mergeCell ref="O8:P8"/>
    <mergeCell ref="R8:S8"/>
    <mergeCell ref="M9:N9"/>
    <mergeCell ref="O9:P9"/>
    <mergeCell ref="R9:S9"/>
    <mergeCell ref="A10:B10"/>
    <mergeCell ref="C10:D10"/>
    <mergeCell ref="E10:F10"/>
    <mergeCell ref="G10:H10"/>
    <mergeCell ref="I10:J10"/>
    <mergeCell ref="K10:L10"/>
    <mergeCell ref="M10:N10"/>
    <mergeCell ref="A9:B9"/>
    <mergeCell ref="C9:D9"/>
    <mergeCell ref="E9:F9"/>
    <mergeCell ref="G9:H9"/>
    <mergeCell ref="I9:J9"/>
    <mergeCell ref="K9:L9"/>
    <mergeCell ref="O10:P10"/>
    <mergeCell ref="R10:S10"/>
    <mergeCell ref="R38:R41"/>
    <mergeCell ref="A42:A44"/>
    <mergeCell ref="R42:R44"/>
    <mergeCell ref="A45:A48"/>
    <mergeCell ref="R45:R48"/>
    <mergeCell ref="R11:S11"/>
    <mergeCell ref="A12:A16"/>
    <mergeCell ref="R12:R16"/>
    <mergeCell ref="A17:A28"/>
    <mergeCell ref="R17:R28"/>
    <mergeCell ref="A29:A37"/>
    <mergeCell ref="R29:R37"/>
    <mergeCell ref="A11:B11"/>
    <mergeCell ref="C11:D11"/>
    <mergeCell ref="E11:F11"/>
    <mergeCell ref="G11:H11"/>
    <mergeCell ref="I11:J11"/>
    <mergeCell ref="K11:L11"/>
    <mergeCell ref="M11:N11"/>
    <mergeCell ref="O11:P11"/>
    <mergeCell ref="A38:A41"/>
    <mergeCell ref="A56:A58"/>
    <mergeCell ref="R56:R58"/>
    <mergeCell ref="A59:B59"/>
    <mergeCell ref="R59:S59"/>
    <mergeCell ref="A60:B63"/>
    <mergeCell ref="R60:R63"/>
    <mergeCell ref="S60:T63"/>
    <mergeCell ref="A49:A50"/>
    <mergeCell ref="R49:R50"/>
    <mergeCell ref="A51:A52"/>
    <mergeCell ref="R51:R52"/>
    <mergeCell ref="A53:A55"/>
    <mergeCell ref="R53:R55"/>
    <mergeCell ref="M64:N64"/>
    <mergeCell ref="O64:P64"/>
    <mergeCell ref="R64:S64"/>
    <mergeCell ref="A65:B65"/>
    <mergeCell ref="C65:D65"/>
    <mergeCell ref="E65:F65"/>
    <mergeCell ref="G65:H65"/>
    <mergeCell ref="I65:J65"/>
    <mergeCell ref="K65:L65"/>
    <mergeCell ref="M65:N65"/>
    <mergeCell ref="A64:B64"/>
    <mergeCell ref="C64:D64"/>
    <mergeCell ref="E64:F64"/>
    <mergeCell ref="G64:H64"/>
    <mergeCell ref="I64:J64"/>
    <mergeCell ref="K64:L64"/>
    <mergeCell ref="O65:P65"/>
    <mergeCell ref="R65:T69"/>
    <mergeCell ref="A66:B66"/>
    <mergeCell ref="C66:D66"/>
    <mergeCell ref="E66:F66"/>
    <mergeCell ref="G66:H66"/>
    <mergeCell ref="I66:J66"/>
    <mergeCell ref="K66:L66"/>
    <mergeCell ref="M66:N66"/>
    <mergeCell ref="O66:P66"/>
    <mergeCell ref="M67:N67"/>
    <mergeCell ref="O67:P67"/>
    <mergeCell ref="A68:B68"/>
    <mergeCell ref="A69:B69"/>
    <mergeCell ref="C69:D69"/>
    <mergeCell ref="E69:F69"/>
    <mergeCell ref="G69:H69"/>
    <mergeCell ref="I69:J69"/>
    <mergeCell ref="K69:L69"/>
    <mergeCell ref="M69:N69"/>
    <mergeCell ref="A67:B67"/>
    <mergeCell ref="C67:D67"/>
    <mergeCell ref="E67:F67"/>
    <mergeCell ref="G67:H67"/>
    <mergeCell ref="I67:J67"/>
    <mergeCell ref="K67:L67"/>
    <mergeCell ref="O69:P69"/>
    <mergeCell ref="A70:B70"/>
    <mergeCell ref="C70:D70"/>
    <mergeCell ref="E70:F70"/>
    <mergeCell ref="G70:H70"/>
    <mergeCell ref="I70:J70"/>
    <mergeCell ref="K70:L70"/>
    <mergeCell ref="M70:N70"/>
    <mergeCell ref="O70:P70"/>
    <mergeCell ref="R70:S70"/>
    <mergeCell ref="A71:B71"/>
    <mergeCell ref="C71:D71"/>
    <mergeCell ref="E71:F71"/>
    <mergeCell ref="G71:H71"/>
    <mergeCell ref="I71:J71"/>
    <mergeCell ref="K71:L71"/>
    <mergeCell ref="M71:N71"/>
    <mergeCell ref="O71:P71"/>
    <mergeCell ref="R71:S71"/>
    <mergeCell ref="M72:N72"/>
    <mergeCell ref="O72:P72"/>
    <mergeCell ref="R72:S72"/>
    <mergeCell ref="A73:B73"/>
    <mergeCell ref="C73:D73"/>
    <mergeCell ref="E73:F73"/>
    <mergeCell ref="G73:H73"/>
    <mergeCell ref="I73:J73"/>
    <mergeCell ref="K73:L73"/>
    <mergeCell ref="M73:N73"/>
    <mergeCell ref="A72:B72"/>
    <mergeCell ref="C72:D72"/>
    <mergeCell ref="E72:F72"/>
    <mergeCell ref="G72:H72"/>
    <mergeCell ref="I72:J72"/>
    <mergeCell ref="K72:L72"/>
    <mergeCell ref="O73:P73"/>
    <mergeCell ref="R73:S73"/>
    <mergeCell ref="R101:R104"/>
    <mergeCell ref="A105:A107"/>
    <mergeCell ref="R105:R107"/>
    <mergeCell ref="A108:A111"/>
    <mergeCell ref="R108:R111"/>
    <mergeCell ref="R74:S74"/>
    <mergeCell ref="A75:A79"/>
    <mergeCell ref="R75:R79"/>
    <mergeCell ref="A80:A91"/>
    <mergeCell ref="R80:R91"/>
    <mergeCell ref="A92:A100"/>
    <mergeCell ref="R92:R100"/>
    <mergeCell ref="A74:B74"/>
    <mergeCell ref="C74:D74"/>
    <mergeCell ref="E74:F74"/>
    <mergeCell ref="G74:H74"/>
    <mergeCell ref="I74:J74"/>
    <mergeCell ref="K74:L74"/>
    <mergeCell ref="M74:N74"/>
    <mergeCell ref="O74:P74"/>
    <mergeCell ref="A101:A104"/>
    <mergeCell ref="A119:A121"/>
    <mergeCell ref="R119:R121"/>
    <mergeCell ref="A122:B122"/>
    <mergeCell ref="R122:S122"/>
    <mergeCell ref="A123:B126"/>
    <mergeCell ref="R123:R126"/>
    <mergeCell ref="S123:T126"/>
    <mergeCell ref="A112:A113"/>
    <mergeCell ref="R112:R113"/>
    <mergeCell ref="A114:A115"/>
    <mergeCell ref="R114:R115"/>
    <mergeCell ref="A116:A118"/>
    <mergeCell ref="R116:R118"/>
    <mergeCell ref="M127:N127"/>
    <mergeCell ref="O127:P127"/>
    <mergeCell ref="R127:S127"/>
    <mergeCell ref="A128:B128"/>
    <mergeCell ref="C128:D128"/>
    <mergeCell ref="E128:F128"/>
    <mergeCell ref="G128:H128"/>
    <mergeCell ref="I128:J128"/>
    <mergeCell ref="K128:L128"/>
    <mergeCell ref="M128:N128"/>
    <mergeCell ref="A127:B127"/>
    <mergeCell ref="C127:D127"/>
    <mergeCell ref="E127:F127"/>
    <mergeCell ref="G127:H127"/>
    <mergeCell ref="I127:J127"/>
    <mergeCell ref="K127:L127"/>
    <mergeCell ref="O128:P128"/>
    <mergeCell ref="R128:T132"/>
    <mergeCell ref="A129:B129"/>
    <mergeCell ref="C129:D129"/>
    <mergeCell ref="E129:F129"/>
    <mergeCell ref="G129:H129"/>
    <mergeCell ref="I129:J129"/>
    <mergeCell ref="K129:L129"/>
    <mergeCell ref="M129:N129"/>
    <mergeCell ref="O129:P129"/>
    <mergeCell ref="M130:N130"/>
    <mergeCell ref="O130:P130"/>
    <mergeCell ref="A131:B131"/>
    <mergeCell ref="A132:B132"/>
    <mergeCell ref="C132:D132"/>
    <mergeCell ref="E132:F132"/>
    <mergeCell ref="G132:H132"/>
    <mergeCell ref="I132:J132"/>
    <mergeCell ref="K132:L132"/>
    <mergeCell ref="M132:N132"/>
    <mergeCell ref="A130:B130"/>
    <mergeCell ref="C130:D130"/>
    <mergeCell ref="E130:F130"/>
    <mergeCell ref="G130:H130"/>
    <mergeCell ref="I130:J130"/>
    <mergeCell ref="K130:L130"/>
    <mergeCell ref="O132:P132"/>
    <mergeCell ref="A133:B133"/>
    <mergeCell ref="C133:D133"/>
    <mergeCell ref="E133:F133"/>
    <mergeCell ref="G133:H133"/>
    <mergeCell ref="I133:J133"/>
    <mergeCell ref="K133:L133"/>
    <mergeCell ref="M133:N133"/>
    <mergeCell ref="O133:P133"/>
    <mergeCell ref="R133:S133"/>
    <mergeCell ref="A134:B134"/>
    <mergeCell ref="C134:D134"/>
    <mergeCell ref="E134:F134"/>
    <mergeCell ref="G134:H134"/>
    <mergeCell ref="I134:J134"/>
    <mergeCell ref="K134:L134"/>
    <mergeCell ref="M134:N134"/>
    <mergeCell ref="O134:P134"/>
    <mergeCell ref="R134:S134"/>
    <mergeCell ref="M135:N135"/>
    <mergeCell ref="O135:P135"/>
    <mergeCell ref="R135:S135"/>
    <mergeCell ref="A136:B136"/>
    <mergeCell ref="C136:D136"/>
    <mergeCell ref="E136:F136"/>
    <mergeCell ref="G136:H136"/>
    <mergeCell ref="I136:J136"/>
    <mergeCell ref="K136:L136"/>
    <mergeCell ref="M136:N136"/>
    <mergeCell ref="A135:B135"/>
    <mergeCell ref="C135:D135"/>
    <mergeCell ref="E135:F135"/>
    <mergeCell ref="G135:H135"/>
    <mergeCell ref="I135:J135"/>
    <mergeCell ref="K135:L135"/>
    <mergeCell ref="O136:P136"/>
    <mergeCell ref="R136:S136"/>
    <mergeCell ref="R164:R167"/>
    <mergeCell ref="A168:A170"/>
    <mergeCell ref="R168:R170"/>
    <mergeCell ref="A171:A174"/>
    <mergeCell ref="R171:R174"/>
    <mergeCell ref="R137:S137"/>
    <mergeCell ref="A138:A142"/>
    <mergeCell ref="R138:R142"/>
    <mergeCell ref="A143:A154"/>
    <mergeCell ref="R143:R154"/>
    <mergeCell ref="A155:A163"/>
    <mergeCell ref="R155:R163"/>
    <mergeCell ref="A137:B137"/>
    <mergeCell ref="C137:D137"/>
    <mergeCell ref="E137:F137"/>
    <mergeCell ref="G137:H137"/>
    <mergeCell ref="I137:J137"/>
    <mergeCell ref="K137:L137"/>
    <mergeCell ref="M137:N137"/>
    <mergeCell ref="O137:P137"/>
    <mergeCell ref="A164:A167"/>
    <mergeCell ref="A182:A184"/>
    <mergeCell ref="R182:R184"/>
    <mergeCell ref="A185:B185"/>
    <mergeCell ref="R185:S185"/>
    <mergeCell ref="A186:B189"/>
    <mergeCell ref="R186:R189"/>
    <mergeCell ref="S186:T189"/>
    <mergeCell ref="A175:A176"/>
    <mergeCell ref="R175:R176"/>
    <mergeCell ref="A177:A178"/>
    <mergeCell ref="R177:R178"/>
    <mergeCell ref="A179:A181"/>
    <mergeCell ref="R179:R181"/>
    <mergeCell ref="M190:N190"/>
    <mergeCell ref="O190:P190"/>
    <mergeCell ref="R190:S190"/>
    <mergeCell ref="A191:B191"/>
    <mergeCell ref="C191:D191"/>
    <mergeCell ref="E191:F191"/>
    <mergeCell ref="G191:H191"/>
    <mergeCell ref="I191:J191"/>
    <mergeCell ref="K191:L191"/>
    <mergeCell ref="M191:N191"/>
    <mergeCell ref="A190:B190"/>
    <mergeCell ref="C190:D190"/>
    <mergeCell ref="E190:F190"/>
    <mergeCell ref="G190:H190"/>
    <mergeCell ref="I190:J190"/>
    <mergeCell ref="K190:L190"/>
    <mergeCell ref="O191:P191"/>
    <mergeCell ref="R191:T195"/>
    <mergeCell ref="A192:B192"/>
    <mergeCell ref="C192:D192"/>
    <mergeCell ref="E192:F192"/>
    <mergeCell ref="G192:H192"/>
    <mergeCell ref="I192:J192"/>
    <mergeCell ref="K192:L192"/>
    <mergeCell ref="M192:N192"/>
    <mergeCell ref="O192:P192"/>
    <mergeCell ref="M193:N193"/>
    <mergeCell ref="O193:P193"/>
    <mergeCell ref="A194:B194"/>
    <mergeCell ref="A195:B195"/>
    <mergeCell ref="C195:D195"/>
    <mergeCell ref="E195:F195"/>
    <mergeCell ref="G195:H195"/>
    <mergeCell ref="I195:J195"/>
    <mergeCell ref="K195:L195"/>
    <mergeCell ref="M195:N195"/>
    <mergeCell ref="A193:B193"/>
    <mergeCell ref="C193:D193"/>
    <mergeCell ref="E193:F193"/>
    <mergeCell ref="G193:H193"/>
    <mergeCell ref="I193:J193"/>
    <mergeCell ref="K193:L193"/>
    <mergeCell ref="O195:P195"/>
    <mergeCell ref="A196:B196"/>
    <mergeCell ref="C196:D196"/>
    <mergeCell ref="E196:F196"/>
    <mergeCell ref="G196:H196"/>
    <mergeCell ref="I196:J196"/>
    <mergeCell ref="K196:L196"/>
    <mergeCell ref="M196:N196"/>
    <mergeCell ref="O196:P196"/>
    <mergeCell ref="R196:S196"/>
    <mergeCell ref="A197:B197"/>
    <mergeCell ref="C197:D197"/>
    <mergeCell ref="E197:F197"/>
    <mergeCell ref="G197:H197"/>
    <mergeCell ref="I197:J197"/>
    <mergeCell ref="K197:L197"/>
    <mergeCell ref="M197:N197"/>
    <mergeCell ref="O197:P197"/>
    <mergeCell ref="R197:S197"/>
    <mergeCell ref="M198:N198"/>
    <mergeCell ref="O198:P198"/>
    <mergeCell ref="R198:S198"/>
    <mergeCell ref="A199:B199"/>
    <mergeCell ref="C199:D199"/>
    <mergeCell ref="E199:F199"/>
    <mergeCell ref="G199:H199"/>
    <mergeCell ref="I199:J199"/>
    <mergeCell ref="K199:L199"/>
    <mergeCell ref="M199:N199"/>
    <mergeCell ref="A198:B198"/>
    <mergeCell ref="C198:D198"/>
    <mergeCell ref="E198:F198"/>
    <mergeCell ref="G198:H198"/>
    <mergeCell ref="I198:J198"/>
    <mergeCell ref="K198:L198"/>
    <mergeCell ref="O199:P199"/>
    <mergeCell ref="R199:S199"/>
    <mergeCell ref="R227:R230"/>
    <mergeCell ref="A231:A233"/>
    <mergeCell ref="R231:R233"/>
    <mergeCell ref="A234:A237"/>
    <mergeCell ref="R234:R237"/>
    <mergeCell ref="R200:S200"/>
    <mergeCell ref="A201:A205"/>
    <mergeCell ref="R201:R205"/>
    <mergeCell ref="A206:A217"/>
    <mergeCell ref="R206:R217"/>
    <mergeCell ref="A218:A226"/>
    <mergeCell ref="R218:R226"/>
    <mergeCell ref="A200:B200"/>
    <mergeCell ref="C200:D200"/>
    <mergeCell ref="E200:F200"/>
    <mergeCell ref="G200:H200"/>
    <mergeCell ref="I200:J200"/>
    <mergeCell ref="K200:L200"/>
    <mergeCell ref="M200:N200"/>
    <mergeCell ref="O200:P200"/>
    <mergeCell ref="A227:A230"/>
    <mergeCell ref="A245:A247"/>
    <mergeCell ref="R245:R247"/>
    <mergeCell ref="A248:B248"/>
    <mergeCell ref="R248:S248"/>
    <mergeCell ref="A249:B252"/>
    <mergeCell ref="R249:R252"/>
    <mergeCell ref="S249:T252"/>
    <mergeCell ref="A238:A239"/>
    <mergeCell ref="R238:R239"/>
    <mergeCell ref="A240:A241"/>
    <mergeCell ref="R240:R241"/>
    <mergeCell ref="A242:A244"/>
    <mergeCell ref="R242:R244"/>
    <mergeCell ref="M253:N253"/>
    <mergeCell ref="O253:P253"/>
    <mergeCell ref="R253:S253"/>
    <mergeCell ref="A254:B254"/>
    <mergeCell ref="C254:D254"/>
    <mergeCell ref="E254:F254"/>
    <mergeCell ref="G254:H254"/>
    <mergeCell ref="I254:J254"/>
    <mergeCell ref="K254:L254"/>
    <mergeCell ref="M254:N254"/>
    <mergeCell ref="A253:B253"/>
    <mergeCell ref="C253:D253"/>
    <mergeCell ref="E253:F253"/>
    <mergeCell ref="G253:H253"/>
    <mergeCell ref="I253:J253"/>
    <mergeCell ref="K253:L253"/>
    <mergeCell ref="O254:P254"/>
    <mergeCell ref="R254:T258"/>
    <mergeCell ref="A255:B255"/>
    <mergeCell ref="C255:D255"/>
    <mergeCell ref="E255:F255"/>
    <mergeCell ref="G255:H255"/>
    <mergeCell ref="I255:J255"/>
    <mergeCell ref="K255:L255"/>
    <mergeCell ref="M255:N255"/>
    <mergeCell ref="O255:P255"/>
    <mergeCell ref="M256:N256"/>
    <mergeCell ref="O256:P256"/>
    <mergeCell ref="A257:B257"/>
    <mergeCell ref="A258:B258"/>
    <mergeCell ref="C258:D258"/>
    <mergeCell ref="E258:F258"/>
    <mergeCell ref="G258:H258"/>
    <mergeCell ref="I258:J258"/>
    <mergeCell ref="K258:L258"/>
    <mergeCell ref="M258:N258"/>
    <mergeCell ref="A256:B256"/>
    <mergeCell ref="C256:D256"/>
    <mergeCell ref="E256:F256"/>
    <mergeCell ref="G256:H256"/>
    <mergeCell ref="I256:J256"/>
    <mergeCell ref="K256:L256"/>
    <mergeCell ref="O258:P258"/>
    <mergeCell ref="A259:B259"/>
    <mergeCell ref="C259:D259"/>
    <mergeCell ref="E259:F259"/>
    <mergeCell ref="G259:H259"/>
    <mergeCell ref="I259:J259"/>
    <mergeCell ref="K259:L259"/>
    <mergeCell ref="M259:N259"/>
    <mergeCell ref="O259:P259"/>
    <mergeCell ref="R259:S259"/>
    <mergeCell ref="A260:B260"/>
    <mergeCell ref="C260:D260"/>
    <mergeCell ref="E260:F260"/>
    <mergeCell ref="G260:H260"/>
    <mergeCell ref="I260:J260"/>
    <mergeCell ref="K260:L260"/>
    <mergeCell ref="M260:N260"/>
    <mergeCell ref="O260:P260"/>
    <mergeCell ref="R260:S260"/>
    <mergeCell ref="M261:N261"/>
    <mergeCell ref="O261:P261"/>
    <mergeCell ref="R261:S261"/>
    <mergeCell ref="A262:B262"/>
    <mergeCell ref="C262:D262"/>
    <mergeCell ref="E262:F262"/>
    <mergeCell ref="G262:H262"/>
    <mergeCell ref="I262:J262"/>
    <mergeCell ref="K262:L262"/>
    <mergeCell ref="M262:N262"/>
    <mergeCell ref="A261:B261"/>
    <mergeCell ref="C261:D261"/>
    <mergeCell ref="E261:F261"/>
    <mergeCell ref="G261:H261"/>
    <mergeCell ref="I261:J261"/>
    <mergeCell ref="K261:L261"/>
    <mergeCell ref="O262:P262"/>
    <mergeCell ref="R262:S262"/>
    <mergeCell ref="R290:R293"/>
    <mergeCell ref="A294:A296"/>
    <mergeCell ref="R294:R296"/>
    <mergeCell ref="A297:A300"/>
    <mergeCell ref="R297:R300"/>
    <mergeCell ref="R263:S263"/>
    <mergeCell ref="A264:A268"/>
    <mergeCell ref="R264:R268"/>
    <mergeCell ref="A269:A280"/>
    <mergeCell ref="R269:R280"/>
    <mergeCell ref="A281:A289"/>
    <mergeCell ref="R281:R289"/>
    <mergeCell ref="A263:B263"/>
    <mergeCell ref="C263:D263"/>
    <mergeCell ref="E263:F263"/>
    <mergeCell ref="G263:H263"/>
    <mergeCell ref="I263:J263"/>
    <mergeCell ref="K263:L263"/>
    <mergeCell ref="M263:N263"/>
    <mergeCell ref="O263:P263"/>
    <mergeCell ref="A290:A293"/>
    <mergeCell ref="A308:A310"/>
    <mergeCell ref="R308:R310"/>
    <mergeCell ref="A311:B311"/>
    <mergeCell ref="R311:S311"/>
    <mergeCell ref="A312:B315"/>
    <mergeCell ref="R312:R315"/>
    <mergeCell ref="S312:T315"/>
    <mergeCell ref="A301:A302"/>
    <mergeCell ref="R301:R302"/>
    <mergeCell ref="A303:A304"/>
    <mergeCell ref="R303:R304"/>
    <mergeCell ref="A305:A307"/>
    <mergeCell ref="R305:R307"/>
  </mergeCells>
  <phoneticPr fontId="26" type="noConversion"/>
  <printOptions horizontalCentered="1" verticalCentered="1"/>
  <pageMargins left="0" right="0" top="0" bottom="0" header="0" footer="0"/>
  <pageSetup paperSize="9" scale="63" orientation="landscape" r:id="rId1"/>
  <rowBreaks count="4" manualBreakCount="4">
    <brk id="63" max="19" man="1"/>
    <brk id="126" max="19" man="1"/>
    <brk id="189" max="19" man="1"/>
    <brk id="252" max="19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7375E"/>
  </sheetPr>
  <dimension ref="A1:U315"/>
  <sheetViews>
    <sheetView view="pageBreakPreview" zoomScaleNormal="100" zoomScaleSheetLayoutView="100" workbookViewId="0">
      <pane ySplit="11" topLeftCell="A12" activePane="bottomLeft" state="frozen"/>
      <selection pane="bottomLeft" activeCell="B42" sqref="B42"/>
    </sheetView>
  </sheetViews>
  <sheetFormatPr defaultColWidth="8.625" defaultRowHeight="14.1" customHeight="1" x14ac:dyDescent="0.3"/>
  <cols>
    <col min="1" max="1" width="7.625" style="5" customWidth="1"/>
    <col min="2" max="2" width="12.25" style="3" customWidth="1"/>
    <col min="3" max="3" width="14.625" style="3" customWidth="1"/>
    <col min="4" max="4" width="5.25" style="16" customWidth="1"/>
    <col min="5" max="5" width="14.625" style="3" customWidth="1"/>
    <col min="6" max="6" width="5.25" style="16" customWidth="1"/>
    <col min="7" max="7" width="14.625" style="3" customWidth="1"/>
    <col min="8" max="8" width="5.25" style="16" customWidth="1"/>
    <col min="9" max="9" width="14.625" style="4" customWidth="1"/>
    <col min="10" max="10" width="5.25" style="16" customWidth="1"/>
    <col min="11" max="11" width="14.625" style="185" customWidth="1"/>
    <col min="12" max="12" width="5.25" style="16" customWidth="1"/>
    <col min="13" max="13" width="14.625" style="16" customWidth="1"/>
    <col min="14" max="14" width="5.25" style="16" customWidth="1"/>
    <col min="15" max="15" width="14.625" style="4" customWidth="1"/>
    <col min="16" max="16" width="5.25" style="78" customWidth="1"/>
    <col min="17" max="17" width="3.625" style="4" customWidth="1"/>
    <col min="18" max="18" width="8.5" style="5" customWidth="1"/>
    <col min="19" max="19" width="12.5" style="3" customWidth="1"/>
    <col min="20" max="20" width="11.625" style="17" customWidth="1"/>
  </cols>
  <sheetData>
    <row r="1" spans="1:20" s="1" customFormat="1" ht="19.5" customHeight="1" x14ac:dyDescent="0.3">
      <c r="A1" s="652" t="s">
        <v>246</v>
      </c>
      <c r="B1" s="678"/>
      <c r="C1" s="649" t="s">
        <v>217</v>
      </c>
      <c r="D1" s="649"/>
      <c r="E1" s="649" t="s">
        <v>232</v>
      </c>
      <c r="F1" s="649"/>
      <c r="G1" s="649" t="s">
        <v>187</v>
      </c>
      <c r="H1" s="649"/>
      <c r="I1" s="649" t="s">
        <v>217</v>
      </c>
      <c r="J1" s="649"/>
      <c r="K1" s="649"/>
      <c r="L1" s="649"/>
      <c r="M1" s="649"/>
      <c r="N1" s="649"/>
      <c r="O1" s="649"/>
      <c r="P1" s="649"/>
      <c r="Q1" s="136"/>
      <c r="R1" s="650" t="s">
        <v>15</v>
      </c>
      <c r="S1" s="651"/>
      <c r="T1" s="137">
        <f ca="1">TODAY()</f>
        <v>46140</v>
      </c>
    </row>
    <row r="2" spans="1:20" ht="14.1" customHeight="1" x14ac:dyDescent="0.3">
      <c r="A2" s="647" t="s">
        <v>49</v>
      </c>
      <c r="B2" s="677"/>
      <c r="C2" s="645" t="s">
        <v>221</v>
      </c>
      <c r="D2" s="645"/>
      <c r="E2" s="645" t="s">
        <v>233</v>
      </c>
      <c r="F2" s="645"/>
      <c r="G2" s="645" t="s">
        <v>220</v>
      </c>
      <c r="H2" s="645"/>
      <c r="I2" s="645" t="s">
        <v>241</v>
      </c>
      <c r="J2" s="645"/>
      <c r="K2" s="645"/>
      <c r="L2" s="645"/>
      <c r="M2" s="645"/>
      <c r="N2" s="645"/>
      <c r="O2" s="645"/>
      <c r="P2" s="645"/>
      <c r="Q2" s="25"/>
      <c r="R2" s="679"/>
      <c r="S2" s="680"/>
      <c r="T2" s="681"/>
    </row>
    <row r="3" spans="1:20" ht="14.1" customHeight="1" x14ac:dyDescent="0.3">
      <c r="A3" s="637" t="s">
        <v>28</v>
      </c>
      <c r="B3" s="674"/>
      <c r="C3" s="645" t="s">
        <v>245</v>
      </c>
      <c r="D3" s="645"/>
      <c r="E3" s="645" t="s">
        <v>245</v>
      </c>
      <c r="F3" s="645"/>
      <c r="G3" s="645" t="s">
        <v>245</v>
      </c>
      <c r="H3" s="645"/>
      <c r="I3" s="645" t="s">
        <v>245</v>
      </c>
      <c r="J3" s="645"/>
      <c r="K3" s="645"/>
      <c r="L3" s="645"/>
      <c r="M3" s="645"/>
      <c r="N3" s="645"/>
      <c r="O3" s="645"/>
      <c r="P3" s="645"/>
      <c r="Q3" s="25"/>
      <c r="R3" s="682"/>
      <c r="S3" s="683"/>
      <c r="T3" s="684"/>
    </row>
    <row r="4" spans="1:20" ht="14.1" customHeight="1" x14ac:dyDescent="0.3">
      <c r="A4" s="647" t="s">
        <v>17</v>
      </c>
      <c r="B4" s="677"/>
      <c r="C4" s="646">
        <v>43547</v>
      </c>
      <c r="D4" s="645"/>
      <c r="E4" s="646">
        <v>46051</v>
      </c>
      <c r="F4" s="646"/>
      <c r="G4" s="646">
        <v>44859</v>
      </c>
      <c r="H4" s="645"/>
      <c r="I4" s="646">
        <v>46051</v>
      </c>
      <c r="J4" s="645"/>
      <c r="K4" s="646"/>
      <c r="L4" s="645"/>
      <c r="M4" s="646"/>
      <c r="N4" s="645"/>
      <c r="O4" s="646"/>
      <c r="P4" s="646"/>
      <c r="Q4" s="25"/>
      <c r="R4" s="682"/>
      <c r="S4" s="683"/>
      <c r="T4" s="684"/>
    </row>
    <row r="5" spans="1:20" ht="14.1" customHeight="1" x14ac:dyDescent="0.3">
      <c r="A5" s="647" t="s">
        <v>23</v>
      </c>
      <c r="B5" s="677"/>
      <c r="C5" s="383">
        <v>15</v>
      </c>
      <c r="D5" s="382">
        <f ca="1">IF(DATEDIF(C4,$T$1,"m")&lt;C5*12,DATEDIF(C4,$T$1,"m"),C5*12)</f>
        <v>85</v>
      </c>
      <c r="E5" s="383">
        <v>25</v>
      </c>
      <c r="F5" s="382">
        <f ca="1">IF(DATEDIF(E4,$T$1,"m")&lt;E5*12,DATEDIF(E4,$T$1,"m"),E5*12)</f>
        <v>2</v>
      </c>
      <c r="G5" s="383">
        <v>10</v>
      </c>
      <c r="H5" s="382">
        <f ca="1">IF(DATEDIF(G4,$T$1,"m")&lt;G5*12,DATEDIF(G4,$T$1,"m"),G5*12)</f>
        <v>42</v>
      </c>
      <c r="I5" s="383">
        <v>27</v>
      </c>
      <c r="J5" s="382">
        <f ca="1">IF(DATEDIF(I4,$T$1,"m")&lt;I5*12,DATEDIF(I4,$T$1,"m"),I5*12)</f>
        <v>2</v>
      </c>
      <c r="K5" s="383"/>
      <c r="L5" s="382">
        <f ca="1">IF(DATEDIF(K4,$T$1,"m")&lt;K5*12,DATEDIF(K4,$T$1,"m"),K5*12)</f>
        <v>0</v>
      </c>
      <c r="M5" s="383"/>
      <c r="N5" s="382">
        <f ca="1">IF(DATEDIF(M4,$T$1,"m")&lt;M5*12,DATEDIF(M4,$T$1,"m"),M5*12)</f>
        <v>0</v>
      </c>
      <c r="O5" s="383"/>
      <c r="P5" s="382">
        <f ca="1">IF(DATEDIF(O4,$T$1,"m")&lt;O5*12,DATEDIF(O4,$T$1,"m"),O5*12)</f>
        <v>0</v>
      </c>
      <c r="Q5" s="25"/>
      <c r="R5" s="682"/>
      <c r="S5" s="683"/>
      <c r="T5" s="684"/>
    </row>
    <row r="6" spans="1:20" ht="14.1" customHeight="1" x14ac:dyDescent="0.3">
      <c r="A6" s="647" t="s">
        <v>2</v>
      </c>
      <c r="B6" s="677"/>
      <c r="C6" s="645" t="s">
        <v>223</v>
      </c>
      <c r="D6" s="645"/>
      <c r="E6" s="645" t="s">
        <v>96</v>
      </c>
      <c r="F6" s="645"/>
      <c r="G6" s="645" t="s">
        <v>230</v>
      </c>
      <c r="H6" s="645"/>
      <c r="I6" s="645" t="s">
        <v>243</v>
      </c>
      <c r="J6" s="645"/>
      <c r="K6" s="645"/>
      <c r="L6" s="645"/>
      <c r="M6" s="645"/>
      <c r="N6" s="645"/>
      <c r="O6" s="645"/>
      <c r="P6" s="645"/>
      <c r="Q6" s="25"/>
      <c r="R6" s="685"/>
      <c r="S6" s="686"/>
      <c r="T6" s="687"/>
    </row>
    <row r="7" spans="1:20" ht="14.1" customHeight="1" x14ac:dyDescent="0.3">
      <c r="A7" s="632" t="s">
        <v>37</v>
      </c>
      <c r="B7" s="672"/>
      <c r="C7" s="642" t="s">
        <v>224</v>
      </c>
      <c r="D7" s="642"/>
      <c r="E7" s="642" t="s">
        <v>234</v>
      </c>
      <c r="F7" s="642"/>
      <c r="G7" s="642" t="s">
        <v>231</v>
      </c>
      <c r="H7" s="642"/>
      <c r="I7" s="642" t="s">
        <v>242</v>
      </c>
      <c r="J7" s="642"/>
      <c r="K7" s="642"/>
      <c r="L7" s="642"/>
      <c r="M7" s="642"/>
      <c r="N7" s="642"/>
      <c r="O7" s="642"/>
      <c r="P7" s="642"/>
      <c r="Q7" s="25"/>
      <c r="R7" s="643"/>
      <c r="S7" s="676"/>
      <c r="T7" s="478" t="s">
        <v>91</v>
      </c>
    </row>
    <row r="8" spans="1:20" ht="14.1" customHeight="1" x14ac:dyDescent="0.3">
      <c r="A8" s="639" t="s">
        <v>12</v>
      </c>
      <c r="B8" s="675"/>
      <c r="C8" s="641">
        <v>16560</v>
      </c>
      <c r="D8" s="641"/>
      <c r="E8" s="641">
        <v>117303</v>
      </c>
      <c r="F8" s="641"/>
      <c r="G8" s="641">
        <v>16900</v>
      </c>
      <c r="H8" s="641"/>
      <c r="I8" s="641">
        <v>16830</v>
      </c>
      <c r="J8" s="641"/>
      <c r="K8" s="641"/>
      <c r="L8" s="641"/>
      <c r="M8" s="641"/>
      <c r="N8" s="641"/>
      <c r="O8" s="641"/>
      <c r="P8" s="641"/>
      <c r="Q8" s="26"/>
      <c r="R8" s="637" t="s">
        <v>34</v>
      </c>
      <c r="S8" s="673"/>
      <c r="T8" s="79">
        <f>SUM(B8:P8)</f>
        <v>167593</v>
      </c>
    </row>
    <row r="9" spans="1:20" ht="14.1" customHeight="1" x14ac:dyDescent="0.3">
      <c r="A9" s="637" t="s">
        <v>3</v>
      </c>
      <c r="B9" s="674"/>
      <c r="C9" s="634">
        <f>C8*C5*12</f>
        <v>2980800</v>
      </c>
      <c r="D9" s="634"/>
      <c r="E9" s="634">
        <f>E8*E5*12</f>
        <v>35190900</v>
      </c>
      <c r="F9" s="634"/>
      <c r="G9" s="634">
        <f>G8*G5*12</f>
        <v>2028000</v>
      </c>
      <c r="H9" s="634"/>
      <c r="I9" s="634">
        <f>I8*I5*12</f>
        <v>5452920</v>
      </c>
      <c r="J9" s="634"/>
      <c r="K9" s="634">
        <f t="shared" ref="K9" si="0">K8*K5*12</f>
        <v>0</v>
      </c>
      <c r="L9" s="634"/>
      <c r="M9" s="634">
        <f t="shared" ref="M9" si="1">M8*M5*12</f>
        <v>0</v>
      </c>
      <c r="N9" s="634"/>
      <c r="O9" s="634">
        <f t="shared" ref="O9" si="2">O8*O5*12</f>
        <v>0</v>
      </c>
      <c r="P9" s="634"/>
      <c r="Q9" s="26"/>
      <c r="R9" s="637" t="s">
        <v>33</v>
      </c>
      <c r="S9" s="673"/>
      <c r="T9" s="80">
        <f t="shared" ref="T9:T11" si="3">SUM(B9:P9)</f>
        <v>45652620</v>
      </c>
    </row>
    <row r="10" spans="1:20" ht="14.1" customHeight="1" x14ac:dyDescent="0.3">
      <c r="A10" s="637" t="s">
        <v>4</v>
      </c>
      <c r="B10" s="674"/>
      <c r="C10" s="634">
        <f ca="1">C8*D5</f>
        <v>1407600</v>
      </c>
      <c r="D10" s="634"/>
      <c r="E10" s="634">
        <f ca="1">E8*F5</f>
        <v>234606</v>
      </c>
      <c r="F10" s="634"/>
      <c r="G10" s="634">
        <f ca="1">G8*H5</f>
        <v>709800</v>
      </c>
      <c r="H10" s="634"/>
      <c r="I10" s="634">
        <f ca="1">I8*J5</f>
        <v>33660</v>
      </c>
      <c r="J10" s="634"/>
      <c r="K10" s="634">
        <f t="shared" ref="K10" ca="1" si="4">K8*L5</f>
        <v>0</v>
      </c>
      <c r="L10" s="634"/>
      <c r="M10" s="634">
        <f t="shared" ref="M10" ca="1" si="5">M8*N5</f>
        <v>0</v>
      </c>
      <c r="N10" s="634"/>
      <c r="O10" s="634">
        <f t="shared" ref="O10" ca="1" si="6">O8*P5</f>
        <v>0</v>
      </c>
      <c r="P10" s="634"/>
      <c r="Q10" s="26"/>
      <c r="R10" s="637" t="s">
        <v>31</v>
      </c>
      <c r="S10" s="673"/>
      <c r="T10" s="80">
        <f t="shared" ca="1" si="3"/>
        <v>2385666</v>
      </c>
    </row>
    <row r="11" spans="1:20" ht="14.1" customHeight="1" thickBot="1" x14ac:dyDescent="0.35">
      <c r="A11" s="632" t="s">
        <v>18</v>
      </c>
      <c r="B11" s="672"/>
      <c r="C11" s="634">
        <f ca="1">C9-C10</f>
        <v>1573200</v>
      </c>
      <c r="D11" s="634"/>
      <c r="E11" s="634">
        <f ca="1">E9-E10</f>
        <v>34956294</v>
      </c>
      <c r="F11" s="634"/>
      <c r="G11" s="634">
        <f ca="1">G9-G10</f>
        <v>1318200</v>
      </c>
      <c r="H11" s="634"/>
      <c r="I11" s="634">
        <f ca="1">I9-I10</f>
        <v>5419260</v>
      </c>
      <c r="J11" s="634"/>
      <c r="K11" s="634">
        <f t="shared" ref="K11" ca="1" si="7">K9-K10</f>
        <v>0</v>
      </c>
      <c r="L11" s="634"/>
      <c r="M11" s="634">
        <f t="shared" ref="M11" ca="1" si="8">M9-M10</f>
        <v>0</v>
      </c>
      <c r="N11" s="634"/>
      <c r="O11" s="634">
        <f t="shared" ref="O11" ca="1" si="9">O9-O10</f>
        <v>0</v>
      </c>
      <c r="P11" s="634"/>
      <c r="Q11" s="26"/>
      <c r="R11" s="663" t="s">
        <v>35</v>
      </c>
      <c r="S11" s="671"/>
      <c r="T11" s="80">
        <f t="shared" ca="1" si="3"/>
        <v>43266954</v>
      </c>
    </row>
    <row r="12" spans="1:20" ht="14.1" customHeight="1" x14ac:dyDescent="0.3">
      <c r="A12" s="621" t="s">
        <v>202</v>
      </c>
      <c r="B12" s="457" t="s">
        <v>149</v>
      </c>
      <c r="C12" s="514">
        <v>50000000</v>
      </c>
      <c r="D12" s="531" t="s">
        <v>174</v>
      </c>
      <c r="E12" s="514"/>
      <c r="F12" s="515"/>
      <c r="G12" s="390"/>
      <c r="H12" s="389"/>
      <c r="I12" s="390"/>
      <c r="J12" s="389"/>
      <c r="K12" s="386"/>
      <c r="L12" s="385"/>
      <c r="M12" s="386"/>
      <c r="N12" s="389"/>
      <c r="O12" s="390"/>
      <c r="P12" s="389"/>
      <c r="Q12" s="6"/>
      <c r="R12" s="621" t="s">
        <v>202</v>
      </c>
      <c r="S12" s="352" t="s">
        <v>149</v>
      </c>
      <c r="T12" s="81">
        <f>C12+E12+G12+I12+K12+M12+O12</f>
        <v>50000000</v>
      </c>
    </row>
    <row r="13" spans="1:20" ht="14.1" customHeight="1" x14ac:dyDescent="0.3">
      <c r="A13" s="622"/>
      <c r="B13" s="458" t="s">
        <v>150</v>
      </c>
      <c r="C13" s="517">
        <v>200000</v>
      </c>
      <c r="D13" s="532" t="s">
        <v>14</v>
      </c>
      <c r="E13" s="517"/>
      <c r="F13" s="518"/>
      <c r="G13" s="396"/>
      <c r="H13" s="395"/>
      <c r="I13" s="396"/>
      <c r="J13" s="395"/>
      <c r="K13" s="392"/>
      <c r="L13" s="391"/>
      <c r="M13" s="392"/>
      <c r="N13" s="395"/>
      <c r="O13" s="396"/>
      <c r="P13" s="395"/>
      <c r="Q13" s="6"/>
      <c r="R13" s="622"/>
      <c r="S13" s="353" t="s">
        <v>150</v>
      </c>
      <c r="T13" s="82">
        <f t="shared" ref="T13:T59" si="10">C13+E13+G13+I13+K13+M13+O13</f>
        <v>200000</v>
      </c>
    </row>
    <row r="14" spans="1:20" ht="14.1" customHeight="1" x14ac:dyDescent="0.3">
      <c r="A14" s="622"/>
      <c r="B14" s="458" t="s">
        <v>151</v>
      </c>
      <c r="C14" s="517">
        <v>50000000</v>
      </c>
      <c r="D14" s="532" t="s">
        <v>14</v>
      </c>
      <c r="E14" s="517"/>
      <c r="F14" s="518"/>
      <c r="G14" s="396"/>
      <c r="H14" s="395"/>
      <c r="I14" s="396"/>
      <c r="J14" s="395"/>
      <c r="K14" s="392"/>
      <c r="L14" s="391"/>
      <c r="M14" s="392"/>
      <c r="N14" s="395"/>
      <c r="O14" s="396"/>
      <c r="P14" s="395"/>
      <c r="Q14" s="6"/>
      <c r="R14" s="622"/>
      <c r="S14" s="353" t="s">
        <v>151</v>
      </c>
      <c r="T14" s="82">
        <f t="shared" si="10"/>
        <v>50000000</v>
      </c>
    </row>
    <row r="15" spans="1:20" ht="14.1" customHeight="1" x14ac:dyDescent="0.3">
      <c r="A15" s="622"/>
      <c r="B15" s="458" t="s">
        <v>148</v>
      </c>
      <c r="C15" s="517">
        <v>200000</v>
      </c>
      <c r="D15" s="532" t="s">
        <v>14</v>
      </c>
      <c r="E15" s="517"/>
      <c r="F15" s="518"/>
      <c r="G15" s="396"/>
      <c r="H15" s="395"/>
      <c r="I15" s="396"/>
      <c r="J15" s="395"/>
      <c r="K15" s="392"/>
      <c r="L15" s="391"/>
      <c r="M15" s="392"/>
      <c r="N15" s="395"/>
      <c r="O15" s="396"/>
      <c r="P15" s="395"/>
      <c r="Q15" s="6"/>
      <c r="R15" s="622"/>
      <c r="S15" s="353" t="s">
        <v>148</v>
      </c>
      <c r="T15" s="82">
        <f t="shared" si="10"/>
        <v>200000</v>
      </c>
    </row>
    <row r="16" spans="1:20" ht="14.1" customHeight="1" thickBot="1" x14ac:dyDescent="0.35">
      <c r="A16" s="623"/>
      <c r="B16" s="459" t="s">
        <v>89</v>
      </c>
      <c r="C16" s="520">
        <v>3500000</v>
      </c>
      <c r="D16" s="533" t="s">
        <v>14</v>
      </c>
      <c r="E16" s="520"/>
      <c r="F16" s="521"/>
      <c r="G16" s="402"/>
      <c r="H16" s="401"/>
      <c r="I16" s="402"/>
      <c r="J16" s="401"/>
      <c r="K16" s="398"/>
      <c r="L16" s="397"/>
      <c r="M16" s="398"/>
      <c r="N16" s="401"/>
      <c r="O16" s="402"/>
      <c r="P16" s="401"/>
      <c r="Q16" s="6"/>
      <c r="R16" s="623"/>
      <c r="S16" s="354" t="s">
        <v>89</v>
      </c>
      <c r="T16" s="84">
        <f t="shared" si="10"/>
        <v>3500000</v>
      </c>
    </row>
    <row r="17" spans="1:20" ht="14.1" customHeight="1" x14ac:dyDescent="0.3">
      <c r="A17" s="624" t="s">
        <v>50</v>
      </c>
      <c r="B17" s="460" t="s">
        <v>203</v>
      </c>
      <c r="C17" s="386"/>
      <c r="D17" s="509"/>
      <c r="E17" s="392">
        <v>50000000</v>
      </c>
      <c r="F17" s="509" t="s">
        <v>96</v>
      </c>
      <c r="G17" s="392"/>
      <c r="H17" s="404"/>
      <c r="I17" s="392"/>
      <c r="J17" s="404"/>
      <c r="K17" s="392"/>
      <c r="L17" s="509"/>
      <c r="M17" s="386"/>
      <c r="N17" s="406"/>
      <c r="O17" s="386"/>
      <c r="P17" s="389"/>
      <c r="Q17" s="6"/>
      <c r="R17" s="624" t="s">
        <v>50</v>
      </c>
      <c r="S17" s="490" t="s">
        <v>203</v>
      </c>
      <c r="T17" s="551">
        <f t="shared" si="10"/>
        <v>50000000</v>
      </c>
    </row>
    <row r="18" spans="1:20" ht="14.1" customHeight="1" x14ac:dyDescent="0.3">
      <c r="A18" s="625"/>
      <c r="B18" s="481" t="s">
        <v>205</v>
      </c>
      <c r="C18" s="392"/>
      <c r="D18" s="508"/>
      <c r="E18" s="392">
        <v>10000000</v>
      </c>
      <c r="F18" s="508" t="s">
        <v>118</v>
      </c>
      <c r="G18" s="392"/>
      <c r="H18" s="404"/>
      <c r="I18" s="392"/>
      <c r="J18" s="404"/>
      <c r="K18" s="392"/>
      <c r="L18" s="508"/>
      <c r="M18" s="409"/>
      <c r="N18" s="406"/>
      <c r="O18" s="409"/>
      <c r="P18" s="410"/>
      <c r="Q18" s="6"/>
      <c r="R18" s="625"/>
      <c r="S18" s="491" t="s">
        <v>205</v>
      </c>
      <c r="T18" s="549">
        <f t="shared" si="10"/>
        <v>10000000</v>
      </c>
    </row>
    <row r="19" spans="1:20" ht="14.1" customHeight="1" thickBot="1" x14ac:dyDescent="0.35">
      <c r="A19" s="625"/>
      <c r="B19" s="553" t="s">
        <v>211</v>
      </c>
      <c r="C19" s="412"/>
      <c r="D19" s="416"/>
      <c r="E19" s="411"/>
      <c r="F19" s="417"/>
      <c r="G19" s="412"/>
      <c r="H19" s="417"/>
      <c r="I19" s="412"/>
      <c r="J19" s="417"/>
      <c r="K19" s="411"/>
      <c r="L19" s="510"/>
      <c r="M19" s="412"/>
      <c r="N19" s="416"/>
      <c r="O19" s="412"/>
      <c r="P19" s="414"/>
      <c r="Q19" s="6"/>
      <c r="R19" s="625"/>
      <c r="S19" s="552" t="s">
        <v>211</v>
      </c>
      <c r="T19" s="550">
        <f t="shared" si="10"/>
        <v>0</v>
      </c>
    </row>
    <row r="20" spans="1:20" ht="14.1" customHeight="1" x14ac:dyDescent="0.3">
      <c r="A20" s="625"/>
      <c r="B20" s="554" t="s">
        <v>163</v>
      </c>
      <c r="C20" s="514"/>
      <c r="D20" s="516"/>
      <c r="E20" s="514">
        <v>10000000</v>
      </c>
      <c r="F20" s="516" t="s">
        <v>118</v>
      </c>
      <c r="G20" s="386"/>
      <c r="H20" s="538"/>
      <c r="I20" s="386"/>
      <c r="J20" s="538"/>
      <c r="K20" s="386"/>
      <c r="L20" s="509"/>
      <c r="M20" s="386"/>
      <c r="N20" s="509"/>
      <c r="O20" s="386"/>
      <c r="P20" s="389"/>
      <c r="Q20" s="6"/>
      <c r="R20" s="625"/>
      <c r="S20" s="554" t="s">
        <v>163</v>
      </c>
      <c r="T20" s="551">
        <f t="shared" si="10"/>
        <v>10000000</v>
      </c>
    </row>
    <row r="21" spans="1:20" ht="14.1" customHeight="1" x14ac:dyDescent="0.3">
      <c r="A21" s="625"/>
      <c r="B21" s="555" t="s">
        <v>162</v>
      </c>
      <c r="C21" s="523"/>
      <c r="D21" s="524"/>
      <c r="E21" s="523">
        <v>10000000</v>
      </c>
      <c r="F21" s="525" t="s">
        <v>120</v>
      </c>
      <c r="G21" s="409"/>
      <c r="H21" s="415"/>
      <c r="I21" s="409"/>
      <c r="J21" s="415"/>
      <c r="K21" s="392"/>
      <c r="L21" s="415"/>
      <c r="M21" s="392"/>
      <c r="N21" s="576"/>
      <c r="O21" s="409"/>
      <c r="P21" s="410"/>
      <c r="Q21" s="6"/>
      <c r="R21" s="625"/>
      <c r="S21" s="555" t="s">
        <v>162</v>
      </c>
      <c r="T21" s="549">
        <f t="shared" si="10"/>
        <v>10000000</v>
      </c>
    </row>
    <row r="22" spans="1:20" ht="14.1" customHeight="1" x14ac:dyDescent="0.3">
      <c r="A22" s="625"/>
      <c r="B22" s="556" t="s">
        <v>164</v>
      </c>
      <c r="C22" s="392"/>
      <c r="D22" s="407"/>
      <c r="E22" s="409">
        <v>10000000</v>
      </c>
      <c r="F22" s="410" t="s">
        <v>118</v>
      </c>
      <c r="G22" s="409"/>
      <c r="H22" s="415"/>
      <c r="I22" s="409"/>
      <c r="J22" s="415"/>
      <c r="K22" s="392"/>
      <c r="L22" s="508"/>
      <c r="M22" s="392"/>
      <c r="N22" s="508"/>
      <c r="O22" s="409"/>
      <c r="P22" s="410"/>
      <c r="Q22" s="6"/>
      <c r="R22" s="625"/>
      <c r="S22" s="556" t="s">
        <v>164</v>
      </c>
      <c r="T22" s="549">
        <f t="shared" si="10"/>
        <v>10000000</v>
      </c>
    </row>
    <row r="23" spans="1:20" ht="14.1" customHeight="1" x14ac:dyDescent="0.3">
      <c r="A23" s="625"/>
      <c r="B23" s="555" t="s">
        <v>165</v>
      </c>
      <c r="C23" s="392"/>
      <c r="D23" s="407"/>
      <c r="E23" s="409">
        <v>50000000</v>
      </c>
      <c r="F23" s="410" t="s">
        <v>118</v>
      </c>
      <c r="G23" s="409"/>
      <c r="H23" s="543"/>
      <c r="I23" s="409"/>
      <c r="J23" s="543"/>
      <c r="K23" s="392"/>
      <c r="L23" s="508"/>
      <c r="M23" s="392"/>
      <c r="N23" s="508"/>
      <c r="O23" s="409"/>
      <c r="P23" s="410"/>
      <c r="Q23" s="6"/>
      <c r="R23" s="625"/>
      <c r="S23" s="555" t="s">
        <v>165</v>
      </c>
      <c r="T23" s="549">
        <f t="shared" si="10"/>
        <v>50000000</v>
      </c>
    </row>
    <row r="24" spans="1:20" ht="14.1" customHeight="1" x14ac:dyDescent="0.3">
      <c r="A24" s="625"/>
      <c r="B24" s="555" t="s">
        <v>184</v>
      </c>
      <c r="C24" s="392"/>
      <c r="D24" s="407"/>
      <c r="E24" s="409">
        <v>30000000</v>
      </c>
      <c r="F24" s="410" t="s">
        <v>118</v>
      </c>
      <c r="G24" s="409"/>
      <c r="H24" s="415"/>
      <c r="I24" s="409"/>
      <c r="J24" s="415"/>
      <c r="K24" s="392"/>
      <c r="L24" s="508"/>
      <c r="M24" s="392"/>
      <c r="N24" s="508"/>
      <c r="O24" s="409"/>
      <c r="P24" s="410"/>
      <c r="Q24" s="6"/>
      <c r="R24" s="625"/>
      <c r="S24" s="555" t="s">
        <v>184</v>
      </c>
      <c r="T24" s="549">
        <f t="shared" si="10"/>
        <v>30000000</v>
      </c>
    </row>
    <row r="25" spans="1:20" ht="14.1" customHeight="1" x14ac:dyDescent="0.3">
      <c r="A25" s="625"/>
      <c r="B25" s="555" t="s">
        <v>185</v>
      </c>
      <c r="C25" s="392"/>
      <c r="D25" s="407"/>
      <c r="E25" s="409">
        <v>20000000</v>
      </c>
      <c r="F25" s="415" t="s">
        <v>120</v>
      </c>
      <c r="G25" s="409"/>
      <c r="H25" s="415"/>
      <c r="I25" s="409"/>
      <c r="J25" s="415"/>
      <c r="K25" s="392"/>
      <c r="L25" s="508"/>
      <c r="M25" s="392"/>
      <c r="N25" s="508"/>
      <c r="O25" s="409"/>
      <c r="P25" s="410"/>
      <c r="Q25" s="6"/>
      <c r="R25" s="625"/>
      <c r="S25" s="555" t="s">
        <v>185</v>
      </c>
      <c r="T25" s="549">
        <f t="shared" si="10"/>
        <v>20000000</v>
      </c>
    </row>
    <row r="26" spans="1:20" ht="14.1" customHeight="1" x14ac:dyDescent="0.3">
      <c r="A26" s="625"/>
      <c r="B26" s="556" t="s">
        <v>166</v>
      </c>
      <c r="C26" s="392"/>
      <c r="D26" s="407"/>
      <c r="E26" s="412">
        <v>7000000</v>
      </c>
      <c r="F26" s="508" t="s">
        <v>118</v>
      </c>
      <c r="G26" s="412"/>
      <c r="H26" s="415"/>
      <c r="I26" s="412"/>
      <c r="J26" s="415"/>
      <c r="K26" s="411"/>
      <c r="L26" s="570"/>
      <c r="M26" s="411"/>
      <c r="N26" s="570"/>
      <c r="O26" s="409"/>
      <c r="P26" s="410"/>
      <c r="Q26" s="6"/>
      <c r="R26" s="625"/>
      <c r="S26" s="556" t="s">
        <v>166</v>
      </c>
      <c r="T26" s="549">
        <f t="shared" si="10"/>
        <v>7000000</v>
      </c>
    </row>
    <row r="27" spans="1:20" ht="14.1" customHeight="1" x14ac:dyDescent="0.3">
      <c r="A27" s="625"/>
      <c r="B27" s="555" t="s">
        <v>167</v>
      </c>
      <c r="C27" s="411"/>
      <c r="D27" s="479"/>
      <c r="E27" s="412">
        <v>70000000</v>
      </c>
      <c r="F27" s="415" t="s">
        <v>121</v>
      </c>
      <c r="G27" s="412"/>
      <c r="H27" s="415"/>
      <c r="I27" s="412"/>
      <c r="J27" s="415"/>
      <c r="K27" s="411"/>
      <c r="L27" s="415"/>
      <c r="M27" s="411"/>
      <c r="N27" s="415"/>
      <c r="O27" s="412"/>
      <c r="P27" s="414"/>
      <c r="Q27" s="6"/>
      <c r="R27" s="625"/>
      <c r="S27" s="555" t="s">
        <v>167</v>
      </c>
      <c r="T27" s="549">
        <f t="shared" si="10"/>
        <v>70000000</v>
      </c>
    </row>
    <row r="28" spans="1:20" ht="14.1" customHeight="1" thickBot="1" x14ac:dyDescent="0.35">
      <c r="A28" s="625"/>
      <c r="B28" s="557" t="s">
        <v>222</v>
      </c>
      <c r="C28" s="398"/>
      <c r="D28" s="397"/>
      <c r="E28" s="398">
        <v>50000000</v>
      </c>
      <c r="F28" s="558" t="s">
        <v>120</v>
      </c>
      <c r="G28" s="398"/>
      <c r="H28" s="558"/>
      <c r="I28" s="398"/>
      <c r="J28" s="558"/>
      <c r="K28" s="398"/>
      <c r="L28" s="530"/>
      <c r="M28" s="398"/>
      <c r="N28" s="530"/>
      <c r="O28" s="402"/>
      <c r="P28" s="401"/>
      <c r="Q28" s="6"/>
      <c r="R28" s="625"/>
      <c r="S28" s="557" t="s">
        <v>222</v>
      </c>
      <c r="T28" s="550">
        <f t="shared" si="10"/>
        <v>50000000</v>
      </c>
    </row>
    <row r="29" spans="1:20" ht="14.1" customHeight="1" x14ac:dyDescent="0.3">
      <c r="A29" s="628" t="s">
        <v>19</v>
      </c>
      <c r="B29" s="461" t="s">
        <v>193</v>
      </c>
      <c r="C29" s="392"/>
      <c r="D29" s="385"/>
      <c r="E29" s="392">
        <v>10000000</v>
      </c>
      <c r="F29" s="509" t="s">
        <v>118</v>
      </c>
      <c r="G29" s="392"/>
      <c r="H29" s="538"/>
      <c r="I29" s="392"/>
      <c r="J29" s="538"/>
      <c r="K29" s="392"/>
      <c r="L29" s="509"/>
      <c r="M29" s="386"/>
      <c r="N29" s="385"/>
      <c r="O29" s="396"/>
      <c r="P29" s="389"/>
      <c r="Q29" s="6"/>
      <c r="R29" s="630" t="s">
        <v>19</v>
      </c>
      <c r="S29" s="492" t="s">
        <v>193</v>
      </c>
      <c r="T29" s="86">
        <f t="shared" si="10"/>
        <v>10000000</v>
      </c>
    </row>
    <row r="30" spans="1:20" ht="14.1" customHeight="1" x14ac:dyDescent="0.3">
      <c r="A30" s="629"/>
      <c r="B30" s="462" t="s">
        <v>194</v>
      </c>
      <c r="C30" s="392"/>
      <c r="D30" s="508"/>
      <c r="E30" s="392">
        <v>10000000</v>
      </c>
      <c r="F30" s="508" t="s">
        <v>118</v>
      </c>
      <c r="G30" s="392"/>
      <c r="H30" s="415"/>
      <c r="I30" s="392"/>
      <c r="J30" s="415"/>
      <c r="K30" s="392"/>
      <c r="L30" s="508"/>
      <c r="M30" s="409"/>
      <c r="N30" s="406"/>
      <c r="O30" s="396"/>
      <c r="P30" s="410"/>
      <c r="Q30" s="6"/>
      <c r="R30" s="631"/>
      <c r="S30" s="493" t="s">
        <v>194</v>
      </c>
      <c r="T30" s="82">
        <f t="shared" si="10"/>
        <v>10000000</v>
      </c>
    </row>
    <row r="31" spans="1:20" ht="14.1" customHeight="1" thickBot="1" x14ac:dyDescent="0.35">
      <c r="A31" s="629"/>
      <c r="B31" s="463" t="s">
        <v>195</v>
      </c>
      <c r="C31" s="412"/>
      <c r="D31" s="510"/>
      <c r="E31" s="412">
        <v>40000000</v>
      </c>
      <c r="F31" s="510" t="s">
        <v>118</v>
      </c>
      <c r="G31" s="412"/>
      <c r="H31" s="413"/>
      <c r="I31" s="412"/>
      <c r="J31" s="413"/>
      <c r="K31" s="412"/>
      <c r="L31" s="510"/>
      <c r="M31" s="412"/>
      <c r="N31" s="416"/>
      <c r="O31" s="419"/>
      <c r="P31" s="414"/>
      <c r="Q31" s="6"/>
      <c r="R31" s="631"/>
      <c r="S31" s="494" t="s">
        <v>195</v>
      </c>
      <c r="T31" s="84">
        <f t="shared" si="10"/>
        <v>40000000</v>
      </c>
    </row>
    <row r="32" spans="1:20" ht="14.1" customHeight="1" x14ac:dyDescent="0.3">
      <c r="A32" s="629"/>
      <c r="B32" s="461" t="s">
        <v>196</v>
      </c>
      <c r="C32" s="386"/>
      <c r="D32" s="509"/>
      <c r="E32" s="386">
        <v>10000000</v>
      </c>
      <c r="F32" s="509" t="s">
        <v>118</v>
      </c>
      <c r="G32" s="386"/>
      <c r="H32" s="538"/>
      <c r="I32" s="386"/>
      <c r="J32" s="538"/>
      <c r="K32" s="386"/>
      <c r="L32" s="509"/>
      <c r="M32" s="386"/>
      <c r="N32" s="385"/>
      <c r="O32" s="390"/>
      <c r="P32" s="389"/>
      <c r="Q32" s="6"/>
      <c r="R32" s="631"/>
      <c r="S32" s="492" t="s">
        <v>196</v>
      </c>
      <c r="T32" s="551">
        <f t="shared" si="10"/>
        <v>10000000</v>
      </c>
    </row>
    <row r="33" spans="1:21" ht="14.1" customHeight="1" x14ac:dyDescent="0.3">
      <c r="A33" s="629"/>
      <c r="B33" s="488" t="s">
        <v>197</v>
      </c>
      <c r="C33" s="392"/>
      <c r="D33" s="508"/>
      <c r="E33" s="392">
        <v>20000000</v>
      </c>
      <c r="F33" s="508" t="s">
        <v>118</v>
      </c>
      <c r="G33" s="392"/>
      <c r="H33" s="415"/>
      <c r="I33" s="392"/>
      <c r="J33" s="415"/>
      <c r="K33" s="392"/>
      <c r="L33" s="508"/>
      <c r="M33" s="392"/>
      <c r="N33" s="406"/>
      <c r="O33" s="396"/>
      <c r="P33" s="410"/>
      <c r="Q33" s="6"/>
      <c r="R33" s="631"/>
      <c r="S33" s="495" t="s">
        <v>197</v>
      </c>
      <c r="T33" s="549">
        <f t="shared" si="10"/>
        <v>20000000</v>
      </c>
    </row>
    <row r="34" spans="1:21" ht="14.1" customHeight="1" thickBot="1" x14ac:dyDescent="0.35">
      <c r="A34" s="629"/>
      <c r="B34" s="489" t="s">
        <v>198</v>
      </c>
      <c r="C34" s="398"/>
      <c r="D34" s="511"/>
      <c r="E34" s="398">
        <v>40000000</v>
      </c>
      <c r="F34" s="511" t="s">
        <v>118</v>
      </c>
      <c r="G34" s="398"/>
      <c r="H34" s="539"/>
      <c r="I34" s="398"/>
      <c r="J34" s="539"/>
      <c r="K34" s="398"/>
      <c r="L34" s="511"/>
      <c r="M34" s="398"/>
      <c r="N34" s="397"/>
      <c r="O34" s="402"/>
      <c r="P34" s="421"/>
      <c r="Q34" s="6"/>
      <c r="R34" s="631"/>
      <c r="S34" s="496" t="s">
        <v>198</v>
      </c>
      <c r="T34" s="550">
        <f t="shared" si="10"/>
        <v>40000000</v>
      </c>
    </row>
    <row r="35" spans="1:21" ht="14.1" customHeight="1" x14ac:dyDescent="0.3">
      <c r="A35" s="629"/>
      <c r="B35" s="461" t="s">
        <v>210</v>
      </c>
      <c r="C35" s="386"/>
      <c r="D35" s="509"/>
      <c r="E35" s="386">
        <v>10000000</v>
      </c>
      <c r="F35" s="509" t="s">
        <v>118</v>
      </c>
      <c r="G35" s="386"/>
      <c r="H35" s="538"/>
      <c r="I35" s="386"/>
      <c r="J35" s="538"/>
      <c r="K35" s="386"/>
      <c r="L35" s="509"/>
      <c r="M35" s="386"/>
      <c r="N35" s="385"/>
      <c r="O35" s="390"/>
      <c r="P35" s="389"/>
      <c r="Q35" s="6"/>
      <c r="R35" s="631"/>
      <c r="S35" s="461" t="s">
        <v>210</v>
      </c>
      <c r="T35" s="86">
        <f t="shared" si="10"/>
        <v>10000000</v>
      </c>
    </row>
    <row r="36" spans="1:21" ht="14.1" customHeight="1" x14ac:dyDescent="0.3">
      <c r="A36" s="629"/>
      <c r="B36" s="488" t="s">
        <v>200</v>
      </c>
      <c r="C36" s="392"/>
      <c r="D36" s="508"/>
      <c r="E36" s="392">
        <v>10000000</v>
      </c>
      <c r="F36" s="508" t="s">
        <v>118</v>
      </c>
      <c r="G36" s="392"/>
      <c r="H36" s="415"/>
      <c r="I36" s="392"/>
      <c r="J36" s="415"/>
      <c r="K36" s="392"/>
      <c r="L36" s="508"/>
      <c r="M36" s="392"/>
      <c r="N36" s="406"/>
      <c r="O36" s="396"/>
      <c r="P36" s="410"/>
      <c r="Q36" s="6"/>
      <c r="R36" s="631"/>
      <c r="S36" s="488" t="s">
        <v>200</v>
      </c>
      <c r="T36" s="82">
        <f t="shared" si="10"/>
        <v>10000000</v>
      </c>
    </row>
    <row r="37" spans="1:21" ht="14.1" customHeight="1" thickBot="1" x14ac:dyDescent="0.35">
      <c r="A37" s="629"/>
      <c r="B37" s="489" t="s">
        <v>201</v>
      </c>
      <c r="C37" s="398"/>
      <c r="D37" s="511"/>
      <c r="E37" s="398">
        <v>10000000</v>
      </c>
      <c r="F37" s="511" t="s">
        <v>118</v>
      </c>
      <c r="G37" s="398"/>
      <c r="H37" s="539"/>
      <c r="I37" s="398"/>
      <c r="J37" s="539"/>
      <c r="K37" s="398"/>
      <c r="L37" s="511"/>
      <c r="M37" s="398"/>
      <c r="N37" s="397"/>
      <c r="O37" s="402"/>
      <c r="P37" s="421"/>
      <c r="Q37" s="6"/>
      <c r="R37" s="631"/>
      <c r="S37" s="489" t="s">
        <v>201</v>
      </c>
      <c r="T37" s="84">
        <f t="shared" si="10"/>
        <v>10000000</v>
      </c>
    </row>
    <row r="38" spans="1:21" ht="14.1" customHeight="1" x14ac:dyDescent="0.3">
      <c r="A38" s="611" t="s">
        <v>16</v>
      </c>
      <c r="B38" s="464" t="s">
        <v>36</v>
      </c>
      <c r="C38" s="386"/>
      <c r="D38" s="509"/>
      <c r="E38" s="386">
        <v>30000000</v>
      </c>
      <c r="F38" s="509" t="s">
        <v>238</v>
      </c>
      <c r="G38" s="386"/>
      <c r="H38" s="544"/>
      <c r="I38" s="386"/>
      <c r="J38" s="544"/>
      <c r="K38" s="386"/>
      <c r="L38" s="509"/>
      <c r="M38" s="386"/>
      <c r="N38" s="385"/>
      <c r="O38" s="390"/>
      <c r="P38" s="389"/>
      <c r="Q38" s="6"/>
      <c r="R38" s="611" t="s">
        <v>16</v>
      </c>
      <c r="S38" s="497" t="s">
        <v>36</v>
      </c>
      <c r="T38" s="551">
        <f t="shared" si="10"/>
        <v>30000000</v>
      </c>
    </row>
    <row r="39" spans="1:21" ht="14.1" customHeight="1" x14ac:dyDescent="0.3">
      <c r="A39" s="612"/>
      <c r="B39" s="465" t="s">
        <v>81</v>
      </c>
      <c r="C39" s="392"/>
      <c r="D39" s="508"/>
      <c r="E39" s="392">
        <v>30000000</v>
      </c>
      <c r="F39" s="512" t="s">
        <v>238</v>
      </c>
      <c r="G39" s="392"/>
      <c r="H39" s="545"/>
      <c r="I39" s="392"/>
      <c r="J39" s="545"/>
      <c r="K39" s="392"/>
      <c r="L39" s="512"/>
      <c r="M39" s="392"/>
      <c r="N39" s="391"/>
      <c r="O39" s="396"/>
      <c r="P39" s="395"/>
      <c r="Q39" s="6"/>
      <c r="R39" s="612"/>
      <c r="S39" s="498" t="s">
        <v>81</v>
      </c>
      <c r="T39" s="549">
        <f t="shared" si="10"/>
        <v>30000000</v>
      </c>
    </row>
    <row r="40" spans="1:21" ht="14.1" customHeight="1" x14ac:dyDescent="0.3">
      <c r="A40" s="612"/>
      <c r="B40" s="465" t="s">
        <v>78</v>
      </c>
      <c r="C40" s="392"/>
      <c r="D40" s="512"/>
      <c r="E40" s="392">
        <v>100000000</v>
      </c>
      <c r="F40" s="512" t="s">
        <v>118</v>
      </c>
      <c r="G40" s="392"/>
      <c r="H40" s="540"/>
      <c r="I40" s="392"/>
      <c r="J40" s="540"/>
      <c r="K40" s="392"/>
      <c r="L40" s="512"/>
      <c r="M40" s="392"/>
      <c r="N40" s="391"/>
      <c r="O40" s="396"/>
      <c r="P40" s="395"/>
      <c r="Q40" s="6"/>
      <c r="R40" s="612"/>
      <c r="S40" s="498" t="s">
        <v>78</v>
      </c>
      <c r="T40" s="549">
        <f t="shared" si="10"/>
        <v>100000000</v>
      </c>
    </row>
    <row r="41" spans="1:21" ht="14.1" customHeight="1" thickBot="1" x14ac:dyDescent="0.35">
      <c r="A41" s="613"/>
      <c r="B41" s="466" t="s">
        <v>87</v>
      </c>
      <c r="C41" s="398"/>
      <c r="D41" s="511"/>
      <c r="E41" s="392">
        <v>100000000</v>
      </c>
      <c r="F41" s="511" t="s">
        <v>118</v>
      </c>
      <c r="G41" s="392"/>
      <c r="H41" s="539"/>
      <c r="I41" s="392"/>
      <c r="J41" s="539"/>
      <c r="K41" s="392"/>
      <c r="L41" s="511"/>
      <c r="M41" s="398"/>
      <c r="N41" s="397"/>
      <c r="O41" s="402"/>
      <c r="P41" s="401"/>
      <c r="Q41" s="6"/>
      <c r="R41" s="613"/>
      <c r="S41" s="499" t="s">
        <v>87</v>
      </c>
      <c r="T41" s="550">
        <f t="shared" si="10"/>
        <v>100000000</v>
      </c>
    </row>
    <row r="42" spans="1:21" ht="14.1" customHeight="1" x14ac:dyDescent="0.3">
      <c r="A42" s="614" t="s">
        <v>47</v>
      </c>
      <c r="B42" s="467" t="s">
        <v>48</v>
      </c>
      <c r="C42" s="409"/>
      <c r="D42" s="508"/>
      <c r="E42" s="386"/>
      <c r="F42" s="509"/>
      <c r="G42" s="386"/>
      <c r="H42" s="569"/>
      <c r="I42" s="386">
        <v>100000000</v>
      </c>
      <c r="J42" s="403" t="s">
        <v>243</v>
      </c>
      <c r="K42" s="386"/>
      <c r="L42" s="385"/>
      <c r="M42" s="386"/>
      <c r="N42" s="385"/>
      <c r="O42" s="390"/>
      <c r="P42" s="389"/>
      <c r="Q42" s="6"/>
      <c r="R42" s="614" t="s">
        <v>47</v>
      </c>
      <c r="S42" s="500" t="s">
        <v>48</v>
      </c>
      <c r="T42" s="86">
        <f t="shared" si="10"/>
        <v>100000000</v>
      </c>
    </row>
    <row r="43" spans="1:21" ht="14.1" customHeight="1" x14ac:dyDescent="0.3">
      <c r="A43" s="615"/>
      <c r="B43" s="468" t="s">
        <v>44</v>
      </c>
      <c r="C43" s="392"/>
      <c r="D43" s="512"/>
      <c r="E43" s="392"/>
      <c r="F43" s="512"/>
      <c r="G43" s="392"/>
      <c r="H43" s="540"/>
      <c r="I43" s="392"/>
      <c r="J43" s="540"/>
      <c r="K43" s="392"/>
      <c r="L43" s="391"/>
      <c r="M43" s="392"/>
      <c r="N43" s="391"/>
      <c r="O43" s="396"/>
      <c r="P43" s="395"/>
      <c r="Q43" s="6"/>
      <c r="R43" s="615"/>
      <c r="S43" s="501" t="s">
        <v>44</v>
      </c>
      <c r="T43" s="82">
        <f t="shared" si="10"/>
        <v>0</v>
      </c>
    </row>
    <row r="44" spans="1:21" ht="14.1" customHeight="1" thickBot="1" x14ac:dyDescent="0.35">
      <c r="A44" s="616"/>
      <c r="B44" s="469" t="s">
        <v>54</v>
      </c>
      <c r="C44" s="398"/>
      <c r="D44" s="511"/>
      <c r="E44" s="398">
        <v>1000000</v>
      </c>
      <c r="F44" s="511" t="s">
        <v>118</v>
      </c>
      <c r="G44" s="398"/>
      <c r="H44" s="427"/>
      <c r="I44" s="398"/>
      <c r="J44" s="427"/>
      <c r="K44" s="398"/>
      <c r="L44" s="429"/>
      <c r="M44" s="398"/>
      <c r="N44" s="397"/>
      <c r="O44" s="430"/>
      <c r="P44" s="410"/>
      <c r="Q44" s="6"/>
      <c r="R44" s="616"/>
      <c r="S44" s="502" t="s">
        <v>54</v>
      </c>
      <c r="T44" s="84">
        <f t="shared" si="10"/>
        <v>1000000</v>
      </c>
      <c r="U44" s="2"/>
    </row>
    <row r="45" spans="1:21" ht="14.1" customHeight="1" x14ac:dyDescent="0.3">
      <c r="A45" s="617" t="s">
        <v>39</v>
      </c>
      <c r="B45" s="470" t="s">
        <v>44</v>
      </c>
      <c r="C45" s="386"/>
      <c r="D45" s="509"/>
      <c r="E45" s="386">
        <v>500000</v>
      </c>
      <c r="F45" s="508" t="s">
        <v>118</v>
      </c>
      <c r="G45" s="386"/>
      <c r="H45" s="407"/>
      <c r="I45" s="386"/>
      <c r="J45" s="407"/>
      <c r="K45" s="386"/>
      <c r="L45" s="385"/>
      <c r="M45" s="409"/>
      <c r="N45" s="406"/>
      <c r="O45" s="390"/>
      <c r="P45" s="389"/>
      <c r="Q45" s="6"/>
      <c r="R45" s="617" t="s">
        <v>39</v>
      </c>
      <c r="S45" s="480" t="s">
        <v>44</v>
      </c>
      <c r="T45" s="551">
        <f t="shared" si="10"/>
        <v>500000</v>
      </c>
    </row>
    <row r="46" spans="1:21" ht="14.1" customHeight="1" x14ac:dyDescent="0.3">
      <c r="A46" s="618"/>
      <c r="B46" s="470" t="s">
        <v>54</v>
      </c>
      <c r="C46" s="392"/>
      <c r="D46" s="512"/>
      <c r="E46" s="392">
        <v>1000000</v>
      </c>
      <c r="F46" s="512" t="s">
        <v>118</v>
      </c>
      <c r="G46" s="392">
        <v>300000</v>
      </c>
      <c r="H46" s="426" t="s">
        <v>230</v>
      </c>
      <c r="I46" s="392"/>
      <c r="J46" s="426"/>
      <c r="K46" s="392"/>
      <c r="L46" s="391"/>
      <c r="M46" s="392"/>
      <c r="N46" s="574"/>
      <c r="O46" s="396"/>
      <c r="P46" s="395"/>
      <c r="Q46" s="6"/>
      <c r="R46" s="618"/>
      <c r="S46" s="480" t="s">
        <v>54</v>
      </c>
      <c r="T46" s="549">
        <f t="shared" si="10"/>
        <v>1300000</v>
      </c>
    </row>
    <row r="47" spans="1:21" ht="14.1" customHeight="1" x14ac:dyDescent="0.3">
      <c r="A47" s="618"/>
      <c r="B47" s="470" t="s">
        <v>204</v>
      </c>
      <c r="C47" s="392"/>
      <c r="D47" s="512"/>
      <c r="E47" s="392">
        <v>10000000</v>
      </c>
      <c r="F47" s="512" t="s">
        <v>118</v>
      </c>
      <c r="G47" s="392"/>
      <c r="H47" s="407"/>
      <c r="I47" s="392"/>
      <c r="J47" s="407"/>
      <c r="K47" s="392"/>
      <c r="L47" s="406"/>
      <c r="M47" s="392"/>
      <c r="N47" s="573"/>
      <c r="O47" s="396"/>
      <c r="P47" s="395"/>
      <c r="Q47" s="6"/>
      <c r="R47" s="618"/>
      <c r="S47" s="480" t="s">
        <v>204</v>
      </c>
      <c r="T47" s="549">
        <f t="shared" si="10"/>
        <v>10000000</v>
      </c>
    </row>
    <row r="48" spans="1:21" ht="14.1" customHeight="1" thickBot="1" x14ac:dyDescent="0.35">
      <c r="A48" s="618"/>
      <c r="B48" s="471" t="s">
        <v>216</v>
      </c>
      <c r="C48" s="411"/>
      <c r="D48" s="511"/>
      <c r="E48" s="411"/>
      <c r="F48" s="510"/>
      <c r="G48" s="411"/>
      <c r="H48" s="479"/>
      <c r="I48" s="411"/>
      <c r="J48" s="479"/>
      <c r="K48" s="411"/>
      <c r="L48" s="432"/>
      <c r="M48" s="411"/>
      <c r="N48" s="575"/>
      <c r="O48" s="433"/>
      <c r="P48" s="421"/>
      <c r="Q48" s="6"/>
      <c r="R48" s="618"/>
      <c r="S48" s="513" t="s">
        <v>113</v>
      </c>
      <c r="T48" s="550">
        <f t="shared" si="10"/>
        <v>0</v>
      </c>
    </row>
    <row r="49" spans="1:20" ht="14.1" customHeight="1" x14ac:dyDescent="0.3">
      <c r="A49" s="603" t="s">
        <v>215</v>
      </c>
      <c r="B49" s="472" t="s">
        <v>45</v>
      </c>
      <c r="C49" s="386"/>
      <c r="D49" s="509"/>
      <c r="E49" s="386">
        <v>300000</v>
      </c>
      <c r="F49" s="509" t="s">
        <v>118</v>
      </c>
      <c r="G49" s="386">
        <v>400000</v>
      </c>
      <c r="H49" s="403" t="s">
        <v>229</v>
      </c>
      <c r="I49" s="386"/>
      <c r="J49" s="403"/>
      <c r="K49" s="386"/>
      <c r="L49" s="388"/>
      <c r="M49" s="386"/>
      <c r="N49" s="509"/>
      <c r="O49" s="390"/>
      <c r="P49" s="389"/>
      <c r="Q49" s="6"/>
      <c r="R49" s="603" t="s">
        <v>215</v>
      </c>
      <c r="S49" s="483" t="s">
        <v>45</v>
      </c>
      <c r="T49" s="86">
        <f t="shared" si="10"/>
        <v>700000</v>
      </c>
    </row>
    <row r="50" spans="1:20" ht="14.1" customHeight="1" thickBot="1" x14ac:dyDescent="0.35">
      <c r="A50" s="604"/>
      <c r="B50" s="482" t="s">
        <v>42</v>
      </c>
      <c r="C50" s="435"/>
      <c r="D50" s="530"/>
      <c r="E50" s="435">
        <v>200000</v>
      </c>
      <c r="F50" s="511" t="s">
        <v>118</v>
      </c>
      <c r="G50" s="435"/>
      <c r="H50" s="427"/>
      <c r="I50" s="435"/>
      <c r="J50" s="427"/>
      <c r="K50" s="435"/>
      <c r="L50" s="534"/>
      <c r="M50" s="435"/>
      <c r="N50" s="530"/>
      <c r="O50" s="438"/>
      <c r="P50" s="401"/>
      <c r="Q50" s="6"/>
      <c r="R50" s="604"/>
      <c r="S50" s="503" t="s">
        <v>42</v>
      </c>
      <c r="T50" s="84">
        <f t="shared" si="10"/>
        <v>200000</v>
      </c>
    </row>
    <row r="51" spans="1:20" ht="14.1" customHeight="1" x14ac:dyDescent="0.3">
      <c r="A51" s="605" t="s">
        <v>206</v>
      </c>
      <c r="B51" s="484" t="s">
        <v>207</v>
      </c>
      <c r="C51" s="409"/>
      <c r="D51" s="508"/>
      <c r="E51" s="409"/>
      <c r="F51" s="406"/>
      <c r="G51" s="409"/>
      <c r="H51" s="407"/>
      <c r="I51" s="409"/>
      <c r="J51" s="407"/>
      <c r="K51" s="409"/>
      <c r="L51" s="404"/>
      <c r="M51" s="409"/>
      <c r="N51" s="508"/>
      <c r="O51" s="419"/>
      <c r="P51" s="414"/>
      <c r="Q51" s="6"/>
      <c r="R51" s="605" t="s">
        <v>206</v>
      </c>
      <c r="S51" s="486" t="s">
        <v>207</v>
      </c>
      <c r="T51" s="551">
        <f t="shared" si="10"/>
        <v>0</v>
      </c>
    </row>
    <row r="52" spans="1:20" ht="14.1" customHeight="1" thickBot="1" x14ac:dyDescent="0.35">
      <c r="A52" s="606"/>
      <c r="B52" s="485" t="s">
        <v>208</v>
      </c>
      <c r="C52" s="398"/>
      <c r="D52" s="511"/>
      <c r="E52" s="398"/>
      <c r="F52" s="406"/>
      <c r="G52" s="398"/>
      <c r="H52" s="407"/>
      <c r="I52" s="398"/>
      <c r="J52" s="407"/>
      <c r="K52" s="398"/>
      <c r="L52" s="400"/>
      <c r="M52" s="398"/>
      <c r="N52" s="511"/>
      <c r="O52" s="419"/>
      <c r="P52" s="414"/>
      <c r="Q52" s="6"/>
      <c r="R52" s="606"/>
      <c r="S52" s="487" t="s">
        <v>208</v>
      </c>
      <c r="T52" s="550">
        <f t="shared" si="10"/>
        <v>0</v>
      </c>
    </row>
    <row r="53" spans="1:20" ht="14.1" customHeight="1" x14ac:dyDescent="0.3">
      <c r="A53" s="608" t="s">
        <v>125</v>
      </c>
      <c r="B53" s="473" t="s">
        <v>126</v>
      </c>
      <c r="C53" s="386"/>
      <c r="D53" s="509"/>
      <c r="E53" s="386"/>
      <c r="F53" s="405"/>
      <c r="G53" s="386"/>
      <c r="H53" s="403"/>
      <c r="I53" s="386"/>
      <c r="J53" s="403"/>
      <c r="K53" s="386"/>
      <c r="L53" s="405"/>
      <c r="M53" s="386"/>
      <c r="N53" s="509"/>
      <c r="O53" s="390"/>
      <c r="P53" s="389"/>
      <c r="Q53" s="6"/>
      <c r="R53" s="608" t="s">
        <v>125</v>
      </c>
      <c r="S53" s="504" t="s">
        <v>126</v>
      </c>
      <c r="T53" s="86">
        <f t="shared" si="10"/>
        <v>0</v>
      </c>
    </row>
    <row r="54" spans="1:20" ht="14.1" customHeight="1" x14ac:dyDescent="0.3">
      <c r="A54" s="608"/>
      <c r="B54" s="474" t="s">
        <v>127</v>
      </c>
      <c r="C54" s="412"/>
      <c r="D54" s="510"/>
      <c r="E54" s="412"/>
      <c r="F54" s="406"/>
      <c r="G54" s="412"/>
      <c r="H54" s="479"/>
      <c r="I54" s="412"/>
      <c r="J54" s="479"/>
      <c r="K54" s="412"/>
      <c r="L54" s="418"/>
      <c r="M54" s="412"/>
      <c r="N54" s="510"/>
      <c r="O54" s="419"/>
      <c r="P54" s="414"/>
      <c r="Q54" s="6"/>
      <c r="R54" s="608"/>
      <c r="S54" s="504" t="s">
        <v>127</v>
      </c>
      <c r="T54" s="82">
        <f t="shared" si="10"/>
        <v>0</v>
      </c>
    </row>
    <row r="55" spans="1:20" ht="14.1" customHeight="1" thickBot="1" x14ac:dyDescent="0.35">
      <c r="A55" s="609"/>
      <c r="B55" s="475" t="s">
        <v>128</v>
      </c>
      <c r="C55" s="398"/>
      <c r="D55" s="511"/>
      <c r="E55" s="398"/>
      <c r="F55" s="437"/>
      <c r="G55" s="398"/>
      <c r="H55" s="427"/>
      <c r="I55" s="398"/>
      <c r="J55" s="427"/>
      <c r="K55" s="398"/>
      <c r="L55" s="420"/>
      <c r="M55" s="398"/>
      <c r="N55" s="511"/>
      <c r="O55" s="402"/>
      <c r="P55" s="401"/>
      <c r="Q55" s="6"/>
      <c r="R55" s="609"/>
      <c r="S55" s="505" t="s">
        <v>128</v>
      </c>
      <c r="T55" s="84">
        <f t="shared" si="10"/>
        <v>0</v>
      </c>
    </row>
    <row r="56" spans="1:20" ht="14.1" customHeight="1" x14ac:dyDescent="0.3">
      <c r="A56" s="582" t="s">
        <v>52</v>
      </c>
      <c r="B56" s="476" t="s">
        <v>41</v>
      </c>
      <c r="C56" s="535"/>
      <c r="D56" s="509"/>
      <c r="E56" s="386"/>
      <c r="F56" s="385"/>
      <c r="G56" s="386">
        <v>30000000</v>
      </c>
      <c r="H56" s="403" t="s">
        <v>229</v>
      </c>
      <c r="I56" s="386"/>
      <c r="J56" s="403"/>
      <c r="K56" s="386"/>
      <c r="L56" s="388"/>
      <c r="M56" s="386"/>
      <c r="N56" s="509"/>
      <c r="O56" s="396"/>
      <c r="P56" s="389"/>
      <c r="Q56" s="6"/>
      <c r="R56" s="582" t="s">
        <v>52</v>
      </c>
      <c r="S56" s="506" t="s">
        <v>41</v>
      </c>
      <c r="T56" s="551">
        <f t="shared" si="10"/>
        <v>30000000</v>
      </c>
    </row>
    <row r="57" spans="1:20" ht="14.1" customHeight="1" x14ac:dyDescent="0.3">
      <c r="A57" s="583"/>
      <c r="B57" s="476" t="s">
        <v>11</v>
      </c>
      <c r="C57" s="392"/>
      <c r="D57" s="512"/>
      <c r="E57" s="392"/>
      <c r="F57" s="391"/>
      <c r="G57" s="392">
        <v>30000000</v>
      </c>
      <c r="H57" s="426" t="s">
        <v>229</v>
      </c>
      <c r="I57" s="392"/>
      <c r="J57" s="426"/>
      <c r="K57" s="392"/>
      <c r="L57" s="394"/>
      <c r="M57" s="392"/>
      <c r="N57" s="512"/>
      <c r="O57" s="396"/>
      <c r="P57" s="395"/>
      <c r="Q57" s="6"/>
      <c r="R57" s="583"/>
      <c r="S57" s="506" t="s">
        <v>11</v>
      </c>
      <c r="T57" s="549">
        <f t="shared" si="10"/>
        <v>30000000</v>
      </c>
    </row>
    <row r="58" spans="1:20" ht="14.1" customHeight="1" thickBot="1" x14ac:dyDescent="0.35">
      <c r="A58" s="584"/>
      <c r="B58" s="477" t="s">
        <v>27</v>
      </c>
      <c r="C58" s="409"/>
      <c r="D58" s="508"/>
      <c r="E58" s="409"/>
      <c r="F58" s="406"/>
      <c r="G58" s="409">
        <v>200000000</v>
      </c>
      <c r="H58" s="407" t="s">
        <v>229</v>
      </c>
      <c r="I58" s="409"/>
      <c r="J58" s="407"/>
      <c r="K58" s="409"/>
      <c r="L58" s="404"/>
      <c r="M58" s="409"/>
      <c r="N58" s="508"/>
      <c r="O58" s="396"/>
      <c r="P58" s="395"/>
      <c r="Q58" s="6"/>
      <c r="R58" s="584"/>
      <c r="S58" s="507" t="s">
        <v>27</v>
      </c>
      <c r="T58" s="550">
        <f t="shared" si="10"/>
        <v>200000000</v>
      </c>
    </row>
    <row r="59" spans="1:20" ht="14.1" customHeight="1" thickBot="1" x14ac:dyDescent="0.35">
      <c r="A59" s="585" t="s">
        <v>30</v>
      </c>
      <c r="B59" s="586"/>
      <c r="C59" s="445"/>
      <c r="D59" s="537"/>
      <c r="E59" s="445"/>
      <c r="F59" s="448"/>
      <c r="G59" s="445">
        <v>100000000</v>
      </c>
      <c r="H59" s="578" t="s">
        <v>229</v>
      </c>
      <c r="I59" s="445"/>
      <c r="J59" s="578"/>
      <c r="K59" s="445"/>
      <c r="L59" s="446"/>
      <c r="M59" s="445"/>
      <c r="N59" s="537"/>
      <c r="O59" s="449"/>
      <c r="P59" s="450"/>
      <c r="Q59" s="6"/>
      <c r="R59" s="585" t="s">
        <v>30</v>
      </c>
      <c r="S59" s="587"/>
      <c r="T59" s="85">
        <f t="shared" si="10"/>
        <v>100000000</v>
      </c>
    </row>
    <row r="60" spans="1:20" ht="14.1" customHeight="1" x14ac:dyDescent="0.3">
      <c r="A60" s="588" t="s">
        <v>38</v>
      </c>
      <c r="B60" s="589"/>
      <c r="C60" s="451"/>
      <c r="D60" s="509"/>
      <c r="E60" s="451" t="s">
        <v>235</v>
      </c>
      <c r="F60" s="568" t="s">
        <v>96</v>
      </c>
      <c r="G60" s="451" t="s">
        <v>225</v>
      </c>
      <c r="H60" s="581" t="s">
        <v>229</v>
      </c>
      <c r="I60" s="451"/>
      <c r="J60" s="579"/>
      <c r="K60" s="451"/>
      <c r="L60" s="568"/>
      <c r="M60" s="451"/>
      <c r="N60" s="571"/>
      <c r="O60" s="451"/>
      <c r="P60" s="389"/>
      <c r="Q60" s="6"/>
      <c r="R60" s="594" t="s">
        <v>38</v>
      </c>
      <c r="S60" s="665"/>
      <c r="T60" s="666"/>
    </row>
    <row r="61" spans="1:20" ht="14.1" customHeight="1" x14ac:dyDescent="0.3">
      <c r="A61" s="590"/>
      <c r="B61" s="591"/>
      <c r="C61" s="453"/>
      <c r="D61" s="512"/>
      <c r="E61" s="453" t="s">
        <v>240</v>
      </c>
      <c r="F61" s="424" t="s">
        <v>238</v>
      </c>
      <c r="G61" s="453" t="s">
        <v>226</v>
      </c>
      <c r="H61" s="426" t="s">
        <v>229</v>
      </c>
      <c r="I61" s="453"/>
      <c r="J61" s="580"/>
      <c r="K61" s="453"/>
      <c r="L61" s="424"/>
      <c r="M61" s="453"/>
      <c r="N61" s="572"/>
      <c r="O61" s="453"/>
      <c r="P61" s="395"/>
      <c r="Q61" s="6"/>
      <c r="R61" s="595"/>
      <c r="S61" s="667"/>
      <c r="T61" s="668"/>
    </row>
    <row r="62" spans="1:20" ht="14.1" customHeight="1" x14ac:dyDescent="0.3">
      <c r="A62" s="590"/>
      <c r="B62" s="591"/>
      <c r="C62" s="453"/>
      <c r="D62" s="512"/>
      <c r="E62" s="453" t="s">
        <v>239</v>
      </c>
      <c r="F62" s="424" t="s">
        <v>237</v>
      </c>
      <c r="G62" s="453" t="s">
        <v>227</v>
      </c>
      <c r="H62" s="407" t="s">
        <v>229</v>
      </c>
      <c r="I62" s="453"/>
      <c r="J62" s="407"/>
      <c r="K62" s="453"/>
      <c r="L62" s="424"/>
      <c r="M62" s="453"/>
      <c r="N62" s="573"/>
      <c r="O62" s="453"/>
      <c r="P62" s="395"/>
      <c r="Q62" s="6"/>
      <c r="R62" s="595"/>
      <c r="S62" s="667"/>
      <c r="T62" s="668"/>
    </row>
    <row r="63" spans="1:20" ht="14.1" customHeight="1" thickBot="1" x14ac:dyDescent="0.35">
      <c r="A63" s="592"/>
      <c r="B63" s="593"/>
      <c r="C63" s="455"/>
      <c r="D63" s="511"/>
      <c r="E63" s="455" t="s">
        <v>236</v>
      </c>
      <c r="F63" s="400" t="s">
        <v>237</v>
      </c>
      <c r="G63" s="455" t="s">
        <v>228</v>
      </c>
      <c r="H63" s="427" t="s">
        <v>229</v>
      </c>
      <c r="I63" s="455"/>
      <c r="J63" s="427"/>
      <c r="K63" s="455"/>
      <c r="L63" s="429"/>
      <c r="M63" s="455"/>
      <c r="N63" s="397"/>
      <c r="O63" s="455"/>
      <c r="P63" s="401"/>
      <c r="Q63" s="6"/>
      <c r="R63" s="596"/>
      <c r="S63" s="669"/>
      <c r="T63" s="670"/>
    </row>
    <row r="64" spans="1:20" ht="19.5" customHeight="1" x14ac:dyDescent="0.3">
      <c r="A64" s="652" t="str">
        <f>A1</f>
        <v>홍길동 보장분석</v>
      </c>
      <c r="B64" s="653"/>
      <c r="C64" s="649"/>
      <c r="D64" s="649"/>
      <c r="E64" s="649"/>
      <c r="F64" s="649"/>
      <c r="G64" s="649"/>
      <c r="H64" s="649"/>
      <c r="I64" s="649"/>
      <c r="J64" s="649"/>
      <c r="K64" s="649"/>
      <c r="L64" s="649"/>
      <c r="M64" s="649"/>
      <c r="N64" s="649"/>
      <c r="O64" s="649"/>
      <c r="P64" s="649"/>
      <c r="Q64" s="138"/>
      <c r="R64" s="650" t="s">
        <v>15</v>
      </c>
      <c r="S64" s="651"/>
      <c r="T64" s="137">
        <f ca="1">T1</f>
        <v>46140</v>
      </c>
    </row>
    <row r="65" spans="1:20" ht="14.1" customHeight="1" x14ac:dyDescent="0.3">
      <c r="A65" s="647" t="s">
        <v>49</v>
      </c>
      <c r="B65" s="648"/>
      <c r="C65" s="645"/>
      <c r="D65" s="645"/>
      <c r="E65" s="645"/>
      <c r="F65" s="645"/>
      <c r="G65" s="645"/>
      <c r="H65" s="645"/>
      <c r="I65" s="645"/>
      <c r="J65" s="645"/>
      <c r="K65" s="645"/>
      <c r="L65" s="645"/>
      <c r="M65" s="645"/>
      <c r="N65" s="645"/>
      <c r="O65" s="645"/>
      <c r="P65" s="645"/>
      <c r="Q65" s="25"/>
      <c r="R65" s="654"/>
      <c r="S65" s="655"/>
      <c r="T65" s="656"/>
    </row>
    <row r="66" spans="1:20" ht="14.1" customHeight="1" x14ac:dyDescent="0.3">
      <c r="A66" s="637" t="s">
        <v>28</v>
      </c>
      <c r="B66" s="638"/>
      <c r="C66" s="645"/>
      <c r="D66" s="645"/>
      <c r="E66" s="645"/>
      <c r="F66" s="645"/>
      <c r="G66" s="645"/>
      <c r="H66" s="645"/>
      <c r="I66" s="645"/>
      <c r="J66" s="645"/>
      <c r="K66" s="645"/>
      <c r="L66" s="645"/>
      <c r="M66" s="645"/>
      <c r="N66" s="645"/>
      <c r="O66" s="646"/>
      <c r="P66" s="646"/>
      <c r="Q66" s="25"/>
      <c r="R66" s="657"/>
      <c r="S66" s="658"/>
      <c r="T66" s="659"/>
    </row>
    <row r="67" spans="1:20" ht="14.1" customHeight="1" x14ac:dyDescent="0.3">
      <c r="A67" s="647" t="s">
        <v>17</v>
      </c>
      <c r="B67" s="648"/>
      <c r="C67" s="646"/>
      <c r="D67" s="645"/>
      <c r="E67" s="646"/>
      <c r="F67" s="646"/>
      <c r="G67" s="646"/>
      <c r="H67" s="646"/>
      <c r="I67" s="646"/>
      <c r="J67" s="645"/>
      <c r="K67" s="646"/>
      <c r="L67" s="645"/>
      <c r="M67" s="646"/>
      <c r="N67" s="645"/>
      <c r="O67" s="646"/>
      <c r="P67" s="646"/>
      <c r="Q67" s="25"/>
      <c r="R67" s="657"/>
      <c r="S67" s="658"/>
      <c r="T67" s="659"/>
    </row>
    <row r="68" spans="1:20" ht="14.1" customHeight="1" x14ac:dyDescent="0.3">
      <c r="A68" s="647" t="s">
        <v>23</v>
      </c>
      <c r="B68" s="648"/>
      <c r="C68" s="383"/>
      <c r="D68" s="382">
        <f ca="1">IF(DATEDIF(C67,$T$1,"m")&lt;C68*12,DATEDIF(C67,$T$1,"m"),C68*12)</f>
        <v>0</v>
      </c>
      <c r="E68" s="383"/>
      <c r="F68" s="382">
        <f ca="1">IF(DATEDIF(E67,$T$1,"m")&lt;E68*12,DATEDIF(E67,$T$1,"m"),E68*12)</f>
        <v>0</v>
      </c>
      <c r="G68" s="383"/>
      <c r="H68" s="382">
        <f ca="1">IF(DATEDIF(G67,$T$1,"m")&lt;G68*12,DATEDIF(G67,$T$1,"m"),G68*12)</f>
        <v>0</v>
      </c>
      <c r="I68" s="383"/>
      <c r="J68" s="382">
        <f ca="1">IF(DATEDIF(I67,$T$1,"m")&lt;I68*12,DATEDIF(I67,$T$1,"m"),I68*12)</f>
        <v>0</v>
      </c>
      <c r="K68" s="383"/>
      <c r="L68" s="382">
        <f ca="1">IF(DATEDIF(K67,$T$1,"m")&lt;K68*12,DATEDIF(K67,$T$1,"m"),K68*12)</f>
        <v>0</v>
      </c>
      <c r="M68" s="383"/>
      <c r="N68" s="384">
        <f ca="1">IF(DATEDIF(M67,$T$1,"m")&lt;M68*12,DATEDIF(M67,$T$1,"m"),M68*12)</f>
        <v>0</v>
      </c>
      <c r="O68" s="383"/>
      <c r="P68" s="382">
        <f ca="1">IF(DATEDIF(O67,$T$1,"m")&lt;O68*12,DATEDIF(O67,$T$1,"m"),O68*12)</f>
        <v>0</v>
      </c>
      <c r="Q68" s="25"/>
      <c r="R68" s="657"/>
      <c r="S68" s="658"/>
      <c r="T68" s="659"/>
    </row>
    <row r="69" spans="1:20" ht="14.1" customHeight="1" x14ac:dyDescent="0.3">
      <c r="A69" s="647" t="s">
        <v>2</v>
      </c>
      <c r="B69" s="648"/>
      <c r="C69" s="645"/>
      <c r="D69" s="645"/>
      <c r="E69" s="645"/>
      <c r="F69" s="645"/>
      <c r="G69" s="645"/>
      <c r="H69" s="645"/>
      <c r="I69" s="645"/>
      <c r="J69" s="645"/>
      <c r="K69" s="645"/>
      <c r="L69" s="645"/>
      <c r="M69" s="645"/>
      <c r="N69" s="645"/>
      <c r="O69" s="645"/>
      <c r="P69" s="645"/>
      <c r="Q69" s="25"/>
      <c r="R69" s="660"/>
      <c r="S69" s="661"/>
      <c r="T69" s="662"/>
    </row>
    <row r="70" spans="1:20" ht="14.1" customHeight="1" x14ac:dyDescent="0.3">
      <c r="A70" s="632" t="s">
        <v>37</v>
      </c>
      <c r="B70" s="633"/>
      <c r="C70" s="642"/>
      <c r="D70" s="642"/>
      <c r="E70" s="642"/>
      <c r="F70" s="642"/>
      <c r="G70" s="642"/>
      <c r="H70" s="642"/>
      <c r="I70" s="642"/>
      <c r="J70" s="642"/>
      <c r="K70" s="642"/>
      <c r="L70" s="642"/>
      <c r="M70" s="642"/>
      <c r="N70" s="642"/>
      <c r="O70" s="642"/>
      <c r="P70" s="642"/>
      <c r="Q70" s="25"/>
      <c r="R70" s="643"/>
      <c r="S70" s="644"/>
      <c r="T70" s="27" t="s">
        <v>91</v>
      </c>
    </row>
    <row r="71" spans="1:20" ht="14.1" customHeight="1" x14ac:dyDescent="0.3">
      <c r="A71" s="639" t="s">
        <v>12</v>
      </c>
      <c r="B71" s="640"/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26"/>
      <c r="R71" s="637" t="s">
        <v>34</v>
      </c>
      <c r="S71" s="638"/>
      <c r="T71" s="60">
        <f t="shared" ref="T71:T74" si="11">T8+C71+E71+G71+I71+K71+O71</f>
        <v>167593</v>
      </c>
    </row>
    <row r="72" spans="1:20" ht="14.1" customHeight="1" x14ac:dyDescent="0.3">
      <c r="A72" s="637" t="s">
        <v>3</v>
      </c>
      <c r="B72" s="638"/>
      <c r="C72" s="634">
        <f>C71*C68*12</f>
        <v>0</v>
      </c>
      <c r="D72" s="634"/>
      <c r="E72" s="634">
        <f>E71*E68*12</f>
        <v>0</v>
      </c>
      <c r="F72" s="634"/>
      <c r="G72" s="634">
        <f>G71*G68*12</f>
        <v>0</v>
      </c>
      <c r="H72" s="634"/>
      <c r="I72" s="634">
        <f>I71*I68*12</f>
        <v>0</v>
      </c>
      <c r="J72" s="634"/>
      <c r="K72" s="634">
        <f>K71*K68*12</f>
        <v>0</v>
      </c>
      <c r="L72" s="634"/>
      <c r="M72" s="634">
        <f>M71*M68*12</f>
        <v>0</v>
      </c>
      <c r="N72" s="634"/>
      <c r="O72" s="634">
        <f>O71*O68*12</f>
        <v>0</v>
      </c>
      <c r="P72" s="634"/>
      <c r="Q72" s="26"/>
      <c r="R72" s="637" t="s">
        <v>33</v>
      </c>
      <c r="S72" s="638"/>
      <c r="T72" s="51">
        <f t="shared" si="11"/>
        <v>45652620</v>
      </c>
    </row>
    <row r="73" spans="1:20" ht="14.1" customHeight="1" x14ac:dyDescent="0.3">
      <c r="A73" s="637" t="s">
        <v>4</v>
      </c>
      <c r="B73" s="638"/>
      <c r="C73" s="634">
        <f ca="1">C71*D68</f>
        <v>0</v>
      </c>
      <c r="D73" s="634"/>
      <c r="E73" s="634">
        <f ca="1">E71*F68</f>
        <v>0</v>
      </c>
      <c r="F73" s="634"/>
      <c r="G73" s="634">
        <f ca="1">G71*H68</f>
        <v>0</v>
      </c>
      <c r="H73" s="634"/>
      <c r="I73" s="634">
        <f ca="1">I71*J68</f>
        <v>0</v>
      </c>
      <c r="J73" s="634"/>
      <c r="K73" s="634">
        <f ca="1">K71*L68</f>
        <v>0</v>
      </c>
      <c r="L73" s="634"/>
      <c r="M73" s="634">
        <f ca="1">M71*N68</f>
        <v>0</v>
      </c>
      <c r="N73" s="634"/>
      <c r="O73" s="634">
        <f ca="1">O71*P68</f>
        <v>0</v>
      </c>
      <c r="P73" s="634"/>
      <c r="Q73" s="26"/>
      <c r="R73" s="637" t="s">
        <v>31</v>
      </c>
      <c r="S73" s="638"/>
      <c r="T73" s="51">
        <f t="shared" ca="1" si="11"/>
        <v>2385666</v>
      </c>
    </row>
    <row r="74" spans="1:20" ht="14.1" customHeight="1" thickBot="1" x14ac:dyDescent="0.35">
      <c r="A74" s="632" t="s">
        <v>18</v>
      </c>
      <c r="B74" s="633"/>
      <c r="C74" s="634">
        <f ca="1">C72-C73</f>
        <v>0</v>
      </c>
      <c r="D74" s="634"/>
      <c r="E74" s="634">
        <f ca="1">E72-E73</f>
        <v>0</v>
      </c>
      <c r="F74" s="634"/>
      <c r="G74" s="634">
        <f ca="1">G72-G73</f>
        <v>0</v>
      </c>
      <c r="H74" s="634"/>
      <c r="I74" s="634">
        <f ca="1">I72-I73</f>
        <v>0</v>
      </c>
      <c r="J74" s="634"/>
      <c r="K74" s="634">
        <f ca="1">K72-K73</f>
        <v>0</v>
      </c>
      <c r="L74" s="634"/>
      <c r="M74" s="634">
        <f ca="1">M72-M73</f>
        <v>0</v>
      </c>
      <c r="N74" s="634"/>
      <c r="O74" s="634">
        <f ca="1">O72-O73</f>
        <v>0</v>
      </c>
      <c r="P74" s="634"/>
      <c r="Q74" s="26"/>
      <c r="R74" s="663" t="s">
        <v>35</v>
      </c>
      <c r="S74" s="664"/>
      <c r="T74" s="52">
        <f t="shared" ca="1" si="11"/>
        <v>43266954</v>
      </c>
    </row>
    <row r="75" spans="1:20" ht="14.1" customHeight="1" x14ac:dyDescent="0.3">
      <c r="A75" s="621" t="s">
        <v>202</v>
      </c>
      <c r="B75" s="457" t="s">
        <v>149</v>
      </c>
      <c r="C75" s="386"/>
      <c r="D75" s="385"/>
      <c r="E75" s="386"/>
      <c r="F75" s="387"/>
      <c r="G75" s="386"/>
      <c r="H75" s="388"/>
      <c r="I75" s="386"/>
      <c r="J75" s="388"/>
      <c r="K75" s="386"/>
      <c r="L75" s="385"/>
      <c r="M75" s="386"/>
      <c r="N75" s="389"/>
      <c r="O75" s="390"/>
      <c r="P75" s="389"/>
      <c r="Q75" s="6"/>
      <c r="R75" s="621" t="s">
        <v>202</v>
      </c>
      <c r="S75" s="352" t="s">
        <v>149</v>
      </c>
      <c r="T75" s="182">
        <f t="shared" ref="T75:T117" si="12">T12+C75+E75+G75+I75+K75+M75+O75</f>
        <v>50000000</v>
      </c>
    </row>
    <row r="76" spans="1:20" ht="14.1" customHeight="1" x14ac:dyDescent="0.3">
      <c r="A76" s="622"/>
      <c r="B76" s="458" t="s">
        <v>150</v>
      </c>
      <c r="C76" s="392"/>
      <c r="D76" s="391"/>
      <c r="E76" s="392"/>
      <c r="F76" s="393"/>
      <c r="G76" s="392"/>
      <c r="H76" s="394"/>
      <c r="I76" s="392"/>
      <c r="J76" s="394"/>
      <c r="K76" s="392"/>
      <c r="L76" s="391"/>
      <c r="M76" s="392"/>
      <c r="N76" s="395"/>
      <c r="O76" s="396"/>
      <c r="P76" s="395"/>
      <c r="Q76" s="6"/>
      <c r="R76" s="622"/>
      <c r="S76" s="353" t="s">
        <v>150</v>
      </c>
      <c r="T76" s="183">
        <f t="shared" si="12"/>
        <v>200000</v>
      </c>
    </row>
    <row r="77" spans="1:20" ht="14.1" customHeight="1" x14ac:dyDescent="0.3">
      <c r="A77" s="622"/>
      <c r="B77" s="458" t="s">
        <v>151</v>
      </c>
      <c r="C77" s="392"/>
      <c r="D77" s="391"/>
      <c r="E77" s="392"/>
      <c r="F77" s="393"/>
      <c r="G77" s="392"/>
      <c r="H77" s="394"/>
      <c r="I77" s="392"/>
      <c r="J77" s="394"/>
      <c r="K77" s="392"/>
      <c r="L77" s="391"/>
      <c r="M77" s="392"/>
      <c r="N77" s="395"/>
      <c r="O77" s="396"/>
      <c r="P77" s="395"/>
      <c r="Q77" s="6"/>
      <c r="R77" s="622"/>
      <c r="S77" s="353" t="s">
        <v>151</v>
      </c>
      <c r="T77" s="183">
        <f t="shared" si="12"/>
        <v>50000000</v>
      </c>
    </row>
    <row r="78" spans="1:20" ht="14.1" customHeight="1" x14ac:dyDescent="0.3">
      <c r="A78" s="622"/>
      <c r="B78" s="458" t="s">
        <v>148</v>
      </c>
      <c r="C78" s="392"/>
      <c r="D78" s="391"/>
      <c r="E78" s="392"/>
      <c r="F78" s="393"/>
      <c r="G78" s="392"/>
      <c r="H78" s="394"/>
      <c r="I78" s="392"/>
      <c r="J78" s="394"/>
      <c r="K78" s="392"/>
      <c r="L78" s="391"/>
      <c r="M78" s="392"/>
      <c r="N78" s="395"/>
      <c r="O78" s="396"/>
      <c r="P78" s="395"/>
      <c r="Q78" s="6"/>
      <c r="R78" s="622"/>
      <c r="S78" s="353" t="s">
        <v>148</v>
      </c>
      <c r="T78" s="183">
        <f t="shared" si="12"/>
        <v>200000</v>
      </c>
    </row>
    <row r="79" spans="1:20" ht="14.1" customHeight="1" thickBot="1" x14ac:dyDescent="0.35">
      <c r="A79" s="623"/>
      <c r="B79" s="459" t="s">
        <v>89</v>
      </c>
      <c r="C79" s="398"/>
      <c r="D79" s="397"/>
      <c r="E79" s="398"/>
      <c r="F79" s="399"/>
      <c r="G79" s="398"/>
      <c r="H79" s="400"/>
      <c r="I79" s="398"/>
      <c r="J79" s="400"/>
      <c r="K79" s="398"/>
      <c r="L79" s="397"/>
      <c r="M79" s="398"/>
      <c r="N79" s="401"/>
      <c r="O79" s="402"/>
      <c r="P79" s="401"/>
      <c r="Q79" s="6"/>
      <c r="R79" s="623"/>
      <c r="S79" s="354" t="s">
        <v>89</v>
      </c>
      <c r="T79" s="183">
        <f t="shared" si="12"/>
        <v>3500000</v>
      </c>
    </row>
    <row r="80" spans="1:20" ht="14.1" customHeight="1" x14ac:dyDescent="0.3">
      <c r="A80" s="624" t="s">
        <v>50</v>
      </c>
      <c r="B80" s="460" t="s">
        <v>203</v>
      </c>
      <c r="C80" s="386"/>
      <c r="D80" s="403"/>
      <c r="E80" s="386"/>
      <c r="F80" s="388"/>
      <c r="G80" s="386"/>
      <c r="H80" s="388"/>
      <c r="I80" s="386"/>
      <c r="J80" s="388"/>
      <c r="K80" s="386"/>
      <c r="L80" s="405"/>
      <c r="M80" s="386"/>
      <c r="N80" s="385"/>
      <c r="O80" s="386"/>
      <c r="P80" s="389"/>
      <c r="Q80" s="6"/>
      <c r="R80" s="626" t="s">
        <v>50</v>
      </c>
      <c r="S80" s="490" t="s">
        <v>168</v>
      </c>
      <c r="T80" s="182">
        <f t="shared" si="12"/>
        <v>50000000</v>
      </c>
    </row>
    <row r="81" spans="1:20" ht="14.1" customHeight="1" x14ac:dyDescent="0.3">
      <c r="A81" s="625"/>
      <c r="B81" s="481" t="s">
        <v>205</v>
      </c>
      <c r="C81" s="392"/>
      <c r="D81" s="407"/>
      <c r="E81" s="392"/>
      <c r="F81" s="404"/>
      <c r="G81" s="392"/>
      <c r="H81" s="404"/>
      <c r="I81" s="392"/>
      <c r="J81" s="404"/>
      <c r="K81" s="392"/>
      <c r="L81" s="408"/>
      <c r="M81" s="392"/>
      <c r="N81" s="406"/>
      <c r="O81" s="409"/>
      <c r="P81" s="410"/>
      <c r="Q81" s="6"/>
      <c r="R81" s="627"/>
      <c r="S81" s="491" t="s">
        <v>205</v>
      </c>
      <c r="T81" s="183">
        <f t="shared" si="12"/>
        <v>10000000</v>
      </c>
    </row>
    <row r="82" spans="1:20" ht="14.1" customHeight="1" thickBot="1" x14ac:dyDescent="0.35">
      <c r="A82" s="625"/>
      <c r="B82" s="553" t="s">
        <v>211</v>
      </c>
      <c r="C82" s="398"/>
      <c r="D82" s="564"/>
      <c r="E82" s="398"/>
      <c r="F82" s="534"/>
      <c r="G82" s="398"/>
      <c r="H82" s="534"/>
      <c r="I82" s="398"/>
      <c r="J82" s="534"/>
      <c r="K82" s="398"/>
      <c r="L82" s="436"/>
      <c r="M82" s="435"/>
      <c r="N82" s="437"/>
      <c r="O82" s="435"/>
      <c r="P82" s="565"/>
      <c r="Q82" s="6"/>
      <c r="R82" s="627"/>
      <c r="S82" s="566" t="s">
        <v>211</v>
      </c>
      <c r="T82" s="184">
        <f t="shared" si="12"/>
        <v>0</v>
      </c>
    </row>
    <row r="83" spans="1:20" ht="14.1" customHeight="1" x14ac:dyDescent="0.3">
      <c r="A83" s="625"/>
      <c r="B83" s="554" t="s">
        <v>163</v>
      </c>
      <c r="C83" s="409"/>
      <c r="D83" s="407"/>
      <c r="E83" s="409"/>
      <c r="F83" s="404"/>
      <c r="G83" s="409"/>
      <c r="H83" s="404"/>
      <c r="I83" s="409"/>
      <c r="J83" s="404"/>
      <c r="K83" s="409"/>
      <c r="L83" s="408"/>
      <c r="M83" s="409"/>
      <c r="N83" s="406"/>
      <c r="O83" s="409"/>
      <c r="P83" s="410"/>
      <c r="Q83" s="6"/>
      <c r="R83" s="627"/>
      <c r="S83" s="343" t="s">
        <v>163</v>
      </c>
      <c r="T83" s="563">
        <f t="shared" si="12"/>
        <v>10000000</v>
      </c>
    </row>
    <row r="84" spans="1:20" ht="14.1" customHeight="1" x14ac:dyDescent="0.3">
      <c r="A84" s="625"/>
      <c r="B84" s="555" t="s">
        <v>162</v>
      </c>
      <c r="C84" s="392"/>
      <c r="D84" s="407"/>
      <c r="E84" s="392"/>
      <c r="F84" s="404"/>
      <c r="G84" s="392"/>
      <c r="H84" s="404"/>
      <c r="I84" s="392"/>
      <c r="J84" s="404"/>
      <c r="K84" s="392"/>
      <c r="L84" s="408"/>
      <c r="M84" s="409"/>
      <c r="N84" s="406"/>
      <c r="O84" s="409"/>
      <c r="P84" s="410"/>
      <c r="Q84" s="6"/>
      <c r="R84" s="627"/>
      <c r="S84" s="326" t="s">
        <v>162</v>
      </c>
      <c r="T84" s="183">
        <f t="shared" si="12"/>
        <v>10000000</v>
      </c>
    </row>
    <row r="85" spans="1:20" ht="14.1" customHeight="1" x14ac:dyDescent="0.3">
      <c r="A85" s="625"/>
      <c r="B85" s="556" t="s">
        <v>164</v>
      </c>
      <c r="C85" s="392"/>
      <c r="D85" s="407"/>
      <c r="E85" s="392"/>
      <c r="F85" s="404"/>
      <c r="G85" s="392"/>
      <c r="H85" s="404"/>
      <c r="I85" s="392"/>
      <c r="J85" s="404"/>
      <c r="K85" s="392"/>
      <c r="L85" s="408"/>
      <c r="M85" s="409"/>
      <c r="N85" s="406"/>
      <c r="O85" s="409"/>
      <c r="P85" s="410"/>
      <c r="Q85" s="6"/>
      <c r="R85" s="627"/>
      <c r="S85" s="343" t="s">
        <v>164</v>
      </c>
      <c r="T85" s="183">
        <f t="shared" si="12"/>
        <v>10000000</v>
      </c>
    </row>
    <row r="86" spans="1:20" ht="14.1" customHeight="1" x14ac:dyDescent="0.3">
      <c r="A86" s="625"/>
      <c r="B86" s="555" t="s">
        <v>165</v>
      </c>
      <c r="C86" s="392"/>
      <c r="D86" s="407"/>
      <c r="E86" s="392"/>
      <c r="F86" s="404"/>
      <c r="G86" s="392"/>
      <c r="H86" s="404"/>
      <c r="I86" s="392"/>
      <c r="J86" s="404"/>
      <c r="K86" s="392"/>
      <c r="L86" s="408"/>
      <c r="M86" s="409"/>
      <c r="N86" s="406"/>
      <c r="O86" s="409"/>
      <c r="P86" s="410"/>
      <c r="Q86" s="6"/>
      <c r="R86" s="627"/>
      <c r="S86" s="326" t="s">
        <v>165</v>
      </c>
      <c r="T86" s="183">
        <f t="shared" si="12"/>
        <v>50000000</v>
      </c>
    </row>
    <row r="87" spans="1:20" ht="14.1" customHeight="1" x14ac:dyDescent="0.3">
      <c r="A87" s="625"/>
      <c r="B87" s="555" t="s">
        <v>184</v>
      </c>
      <c r="C87" s="392"/>
      <c r="D87" s="407"/>
      <c r="E87" s="392"/>
      <c r="F87" s="404"/>
      <c r="G87" s="392"/>
      <c r="H87" s="404"/>
      <c r="I87" s="392"/>
      <c r="J87" s="404"/>
      <c r="K87" s="392"/>
      <c r="L87" s="408"/>
      <c r="M87" s="409"/>
      <c r="N87" s="406"/>
      <c r="O87" s="409"/>
      <c r="P87" s="410"/>
      <c r="Q87" s="6"/>
      <c r="R87" s="627"/>
      <c r="S87" s="326" t="s">
        <v>184</v>
      </c>
      <c r="T87" s="183">
        <f t="shared" si="12"/>
        <v>30000000</v>
      </c>
    </row>
    <row r="88" spans="1:20" ht="14.1" customHeight="1" x14ac:dyDescent="0.3">
      <c r="A88" s="625"/>
      <c r="B88" s="555" t="s">
        <v>185</v>
      </c>
      <c r="C88" s="392"/>
      <c r="D88" s="407"/>
      <c r="E88" s="392"/>
      <c r="F88" s="404"/>
      <c r="G88" s="392"/>
      <c r="H88" s="404"/>
      <c r="I88" s="392"/>
      <c r="J88" s="404"/>
      <c r="K88" s="392"/>
      <c r="L88" s="408"/>
      <c r="M88" s="409"/>
      <c r="N88" s="406"/>
      <c r="O88" s="409"/>
      <c r="P88" s="410"/>
      <c r="Q88" s="6"/>
      <c r="R88" s="627"/>
      <c r="S88" s="326" t="s">
        <v>185</v>
      </c>
      <c r="T88" s="183">
        <f t="shared" si="12"/>
        <v>20000000</v>
      </c>
    </row>
    <row r="89" spans="1:20" ht="14.1" customHeight="1" x14ac:dyDescent="0.3">
      <c r="A89" s="625"/>
      <c r="B89" s="556" t="s">
        <v>166</v>
      </c>
      <c r="C89" s="392"/>
      <c r="D89" s="407"/>
      <c r="E89" s="411"/>
      <c r="F89" s="406"/>
      <c r="G89" s="411"/>
      <c r="H89" s="404"/>
      <c r="I89" s="411"/>
      <c r="J89" s="404"/>
      <c r="K89" s="411"/>
      <c r="L89" s="408"/>
      <c r="M89" s="412"/>
      <c r="N89" s="406"/>
      <c r="O89" s="409"/>
      <c r="P89" s="410"/>
      <c r="Q89" s="6"/>
      <c r="R89" s="627"/>
      <c r="S89" s="343" t="s">
        <v>166</v>
      </c>
      <c r="T89" s="183">
        <f t="shared" si="12"/>
        <v>7000000</v>
      </c>
    </row>
    <row r="90" spans="1:20" ht="14.1" customHeight="1" x14ac:dyDescent="0.3">
      <c r="A90" s="625"/>
      <c r="B90" s="555" t="s">
        <v>167</v>
      </c>
      <c r="C90" s="411"/>
      <c r="D90" s="413"/>
      <c r="E90" s="411"/>
      <c r="F90" s="406"/>
      <c r="G90" s="411"/>
      <c r="H90" s="404"/>
      <c r="I90" s="411"/>
      <c r="J90" s="404"/>
      <c r="K90" s="411"/>
      <c r="L90" s="408"/>
      <c r="M90" s="412"/>
      <c r="N90" s="406"/>
      <c r="O90" s="412"/>
      <c r="P90" s="414"/>
      <c r="Q90" s="6"/>
      <c r="R90" s="627"/>
      <c r="S90" s="326" t="s">
        <v>167</v>
      </c>
      <c r="T90" s="183">
        <f t="shared" si="12"/>
        <v>70000000</v>
      </c>
    </row>
    <row r="91" spans="1:20" ht="14.1" customHeight="1" thickBot="1" x14ac:dyDescent="0.35">
      <c r="A91" s="625"/>
      <c r="B91" s="557" t="s">
        <v>186</v>
      </c>
      <c r="C91" s="398"/>
      <c r="D91" s="397"/>
      <c r="E91" s="398"/>
      <c r="F91" s="415"/>
      <c r="G91" s="398"/>
      <c r="H91" s="404"/>
      <c r="I91" s="398"/>
      <c r="J91" s="404"/>
      <c r="K91" s="398"/>
      <c r="L91" s="408"/>
      <c r="M91" s="398"/>
      <c r="N91" s="406"/>
      <c r="O91" s="402"/>
      <c r="P91" s="401"/>
      <c r="Q91" s="6"/>
      <c r="R91" s="627"/>
      <c r="S91" s="327" t="s">
        <v>186</v>
      </c>
      <c r="T91" s="560">
        <f t="shared" si="12"/>
        <v>50000000</v>
      </c>
    </row>
    <row r="92" spans="1:20" ht="14.1" customHeight="1" x14ac:dyDescent="0.3">
      <c r="A92" s="628" t="s">
        <v>19</v>
      </c>
      <c r="B92" s="461" t="s">
        <v>193</v>
      </c>
      <c r="C92" s="392"/>
      <c r="D92" s="385"/>
      <c r="E92" s="392"/>
      <c r="F92" s="388"/>
      <c r="G92" s="392"/>
      <c r="H92" s="388"/>
      <c r="I92" s="392"/>
      <c r="J92" s="388"/>
      <c r="K92" s="392"/>
      <c r="L92" s="405"/>
      <c r="M92" s="386"/>
      <c r="N92" s="385"/>
      <c r="O92" s="396"/>
      <c r="P92" s="389"/>
      <c r="Q92" s="6"/>
      <c r="R92" s="630" t="s">
        <v>19</v>
      </c>
      <c r="S92" s="379" t="s">
        <v>51</v>
      </c>
      <c r="T92" s="182">
        <f t="shared" si="12"/>
        <v>10000000</v>
      </c>
    </row>
    <row r="93" spans="1:20" ht="14.1" customHeight="1" x14ac:dyDescent="0.3">
      <c r="A93" s="629"/>
      <c r="B93" s="462" t="s">
        <v>194</v>
      </c>
      <c r="C93" s="392"/>
      <c r="D93" s="406"/>
      <c r="E93" s="409"/>
      <c r="F93" s="404"/>
      <c r="G93" s="392"/>
      <c r="H93" s="404"/>
      <c r="I93" s="392"/>
      <c r="J93" s="404"/>
      <c r="K93" s="392"/>
      <c r="L93" s="408"/>
      <c r="M93" s="409"/>
      <c r="N93" s="406"/>
      <c r="O93" s="396"/>
      <c r="P93" s="410"/>
      <c r="Q93" s="6"/>
      <c r="R93" s="631"/>
      <c r="S93" s="380" t="s">
        <v>43</v>
      </c>
      <c r="T93" s="183">
        <f t="shared" si="12"/>
        <v>10000000</v>
      </c>
    </row>
    <row r="94" spans="1:20" ht="14.1" customHeight="1" thickBot="1" x14ac:dyDescent="0.35">
      <c r="A94" s="629"/>
      <c r="B94" s="463" t="s">
        <v>195</v>
      </c>
      <c r="C94" s="412"/>
      <c r="D94" s="416"/>
      <c r="E94" s="412"/>
      <c r="F94" s="417"/>
      <c r="G94" s="412"/>
      <c r="H94" s="417"/>
      <c r="I94" s="412"/>
      <c r="J94" s="417"/>
      <c r="K94" s="412"/>
      <c r="L94" s="418"/>
      <c r="M94" s="412"/>
      <c r="N94" s="416"/>
      <c r="O94" s="419"/>
      <c r="P94" s="414"/>
      <c r="Q94" s="6"/>
      <c r="R94" s="631"/>
      <c r="S94" s="381" t="s">
        <v>53</v>
      </c>
      <c r="T94" s="184">
        <f t="shared" si="12"/>
        <v>40000000</v>
      </c>
    </row>
    <row r="95" spans="1:20" ht="14.1" customHeight="1" x14ac:dyDescent="0.3">
      <c r="A95" s="629"/>
      <c r="B95" s="461" t="s">
        <v>196</v>
      </c>
      <c r="C95" s="386"/>
      <c r="D95" s="385"/>
      <c r="E95" s="386"/>
      <c r="F95" s="388"/>
      <c r="G95" s="386"/>
      <c r="H95" s="388"/>
      <c r="I95" s="386"/>
      <c r="J95" s="388"/>
      <c r="K95" s="386"/>
      <c r="L95" s="405"/>
      <c r="M95" s="386"/>
      <c r="N95" s="385"/>
      <c r="O95" s="390"/>
      <c r="P95" s="389"/>
      <c r="Q95" s="6"/>
      <c r="R95" s="631"/>
      <c r="S95" s="358" t="s">
        <v>65</v>
      </c>
      <c r="T95" s="563">
        <f t="shared" si="12"/>
        <v>10000000</v>
      </c>
    </row>
    <row r="96" spans="1:20" ht="14.1" customHeight="1" x14ac:dyDescent="0.3">
      <c r="A96" s="629"/>
      <c r="B96" s="488" t="s">
        <v>197</v>
      </c>
      <c r="C96" s="392"/>
      <c r="D96" s="406"/>
      <c r="E96" s="392"/>
      <c r="F96" s="404"/>
      <c r="G96" s="392"/>
      <c r="H96" s="404"/>
      <c r="I96" s="392"/>
      <c r="J96" s="404"/>
      <c r="K96" s="392"/>
      <c r="L96" s="408"/>
      <c r="M96" s="392"/>
      <c r="N96" s="406"/>
      <c r="O96" s="396"/>
      <c r="P96" s="410"/>
      <c r="Q96" s="6"/>
      <c r="R96" s="631"/>
      <c r="S96" s="359" t="s">
        <v>8</v>
      </c>
      <c r="T96" s="183">
        <f t="shared" si="12"/>
        <v>20000000</v>
      </c>
    </row>
    <row r="97" spans="1:20" ht="14.1" customHeight="1" thickBot="1" x14ac:dyDescent="0.35">
      <c r="A97" s="629"/>
      <c r="B97" s="489" t="s">
        <v>198</v>
      </c>
      <c r="C97" s="398"/>
      <c r="D97" s="397"/>
      <c r="E97" s="398"/>
      <c r="F97" s="400"/>
      <c r="G97" s="398"/>
      <c r="H97" s="400"/>
      <c r="I97" s="398"/>
      <c r="J97" s="400"/>
      <c r="K97" s="398"/>
      <c r="L97" s="420"/>
      <c r="M97" s="398"/>
      <c r="N97" s="397"/>
      <c r="O97" s="402"/>
      <c r="P97" s="421"/>
      <c r="Q97" s="6"/>
      <c r="R97" s="631"/>
      <c r="S97" s="360" t="s">
        <v>5</v>
      </c>
      <c r="T97" s="560">
        <f t="shared" si="12"/>
        <v>40000000</v>
      </c>
    </row>
    <row r="98" spans="1:20" ht="14.1" customHeight="1" x14ac:dyDescent="0.3">
      <c r="A98" s="629"/>
      <c r="B98" s="461" t="s">
        <v>210</v>
      </c>
      <c r="C98" s="386"/>
      <c r="D98" s="385"/>
      <c r="E98" s="386"/>
      <c r="F98" s="388"/>
      <c r="G98" s="386"/>
      <c r="H98" s="388"/>
      <c r="I98" s="386"/>
      <c r="J98" s="388"/>
      <c r="K98" s="386"/>
      <c r="L98" s="405"/>
      <c r="M98" s="386"/>
      <c r="N98" s="385"/>
      <c r="O98" s="390"/>
      <c r="P98" s="389"/>
      <c r="Q98" s="6"/>
      <c r="R98" s="631"/>
      <c r="S98" s="361" t="s">
        <v>199</v>
      </c>
      <c r="T98" s="182">
        <f t="shared" si="12"/>
        <v>10000000</v>
      </c>
    </row>
    <row r="99" spans="1:20" ht="14.1" customHeight="1" x14ac:dyDescent="0.3">
      <c r="A99" s="629"/>
      <c r="B99" s="488" t="s">
        <v>200</v>
      </c>
      <c r="C99" s="392"/>
      <c r="D99" s="406"/>
      <c r="E99" s="392"/>
      <c r="F99" s="404"/>
      <c r="G99" s="392"/>
      <c r="H99" s="404"/>
      <c r="I99" s="392"/>
      <c r="J99" s="404"/>
      <c r="K99" s="392"/>
      <c r="L99" s="408"/>
      <c r="M99" s="392"/>
      <c r="N99" s="406"/>
      <c r="O99" s="396"/>
      <c r="P99" s="410"/>
      <c r="Q99" s="6"/>
      <c r="R99" s="631"/>
      <c r="S99" s="362" t="s">
        <v>200</v>
      </c>
      <c r="T99" s="183">
        <f t="shared" si="12"/>
        <v>10000000</v>
      </c>
    </row>
    <row r="100" spans="1:20" ht="14.1" customHeight="1" thickBot="1" x14ac:dyDescent="0.35">
      <c r="A100" s="629"/>
      <c r="B100" s="489" t="s">
        <v>209</v>
      </c>
      <c r="C100" s="398"/>
      <c r="D100" s="397"/>
      <c r="E100" s="398"/>
      <c r="F100" s="400"/>
      <c r="G100" s="398"/>
      <c r="H100" s="400"/>
      <c r="I100" s="398"/>
      <c r="J100" s="400"/>
      <c r="K100" s="398"/>
      <c r="L100" s="420"/>
      <c r="M100" s="398"/>
      <c r="N100" s="397"/>
      <c r="O100" s="402"/>
      <c r="P100" s="421"/>
      <c r="Q100" s="6"/>
      <c r="R100" s="631"/>
      <c r="S100" s="363" t="s">
        <v>201</v>
      </c>
      <c r="T100" s="184">
        <f t="shared" si="12"/>
        <v>10000000</v>
      </c>
    </row>
    <row r="101" spans="1:20" ht="14.1" customHeight="1" x14ac:dyDescent="0.3">
      <c r="A101" s="611" t="s">
        <v>16</v>
      </c>
      <c r="B101" s="464" t="s">
        <v>36</v>
      </c>
      <c r="C101" s="386"/>
      <c r="D101" s="422"/>
      <c r="E101" s="386"/>
      <c r="F101" s="388"/>
      <c r="G101" s="386"/>
      <c r="H101" s="388"/>
      <c r="I101" s="386"/>
      <c r="J101" s="388"/>
      <c r="K101" s="386"/>
      <c r="L101" s="405"/>
      <c r="M101" s="386"/>
      <c r="N101" s="385"/>
      <c r="O101" s="390"/>
      <c r="P101" s="389"/>
      <c r="Q101" s="6"/>
      <c r="R101" s="611" t="s">
        <v>16</v>
      </c>
      <c r="S101" s="364" t="s">
        <v>36</v>
      </c>
      <c r="T101" s="563">
        <f t="shared" si="12"/>
        <v>30000000</v>
      </c>
    </row>
    <row r="102" spans="1:20" ht="14.1" customHeight="1" x14ac:dyDescent="0.3">
      <c r="A102" s="612"/>
      <c r="B102" s="465" t="s">
        <v>81</v>
      </c>
      <c r="C102" s="392"/>
      <c r="D102" s="423"/>
      <c r="E102" s="392"/>
      <c r="F102" s="424"/>
      <c r="G102" s="392"/>
      <c r="H102" s="394"/>
      <c r="I102" s="392"/>
      <c r="J102" s="394"/>
      <c r="K102" s="392"/>
      <c r="L102" s="425"/>
      <c r="M102" s="392"/>
      <c r="N102" s="391"/>
      <c r="O102" s="396"/>
      <c r="P102" s="395"/>
      <c r="Q102" s="6"/>
      <c r="R102" s="612"/>
      <c r="S102" s="365" t="s">
        <v>81</v>
      </c>
      <c r="T102" s="183">
        <f t="shared" si="12"/>
        <v>30000000</v>
      </c>
    </row>
    <row r="103" spans="1:20" ht="14.1" customHeight="1" x14ac:dyDescent="0.3">
      <c r="A103" s="612"/>
      <c r="B103" s="465" t="s">
        <v>78</v>
      </c>
      <c r="C103" s="392"/>
      <c r="D103" s="426"/>
      <c r="E103" s="392"/>
      <c r="F103" s="426"/>
      <c r="G103" s="392"/>
      <c r="H103" s="391"/>
      <c r="I103" s="392"/>
      <c r="J103" s="391"/>
      <c r="K103" s="392"/>
      <c r="L103" s="425"/>
      <c r="M103" s="392"/>
      <c r="N103" s="391"/>
      <c r="O103" s="396"/>
      <c r="P103" s="395"/>
      <c r="Q103" s="6"/>
      <c r="R103" s="612"/>
      <c r="S103" s="365" t="s">
        <v>78</v>
      </c>
      <c r="T103" s="183">
        <f t="shared" si="12"/>
        <v>100000000</v>
      </c>
    </row>
    <row r="104" spans="1:20" ht="14.1" customHeight="1" thickBot="1" x14ac:dyDescent="0.35">
      <c r="A104" s="613"/>
      <c r="B104" s="466" t="s">
        <v>87</v>
      </c>
      <c r="C104" s="398"/>
      <c r="D104" s="427"/>
      <c r="E104" s="398"/>
      <c r="F104" s="427"/>
      <c r="G104" s="392"/>
      <c r="H104" s="397"/>
      <c r="I104" s="392"/>
      <c r="J104" s="397"/>
      <c r="K104" s="392"/>
      <c r="L104" s="420"/>
      <c r="M104" s="398"/>
      <c r="N104" s="397"/>
      <c r="O104" s="402"/>
      <c r="P104" s="401"/>
      <c r="Q104" s="6"/>
      <c r="R104" s="613"/>
      <c r="S104" s="366" t="s">
        <v>87</v>
      </c>
      <c r="T104" s="560">
        <f t="shared" si="12"/>
        <v>100000000</v>
      </c>
    </row>
    <row r="105" spans="1:20" ht="14.1" customHeight="1" x14ac:dyDescent="0.3">
      <c r="A105" s="614" t="s">
        <v>47</v>
      </c>
      <c r="B105" s="467" t="s">
        <v>48</v>
      </c>
      <c r="C105" s="409"/>
      <c r="D105" s="428"/>
      <c r="E105" s="386"/>
      <c r="F105" s="388"/>
      <c r="G105" s="386"/>
      <c r="H105" s="385"/>
      <c r="I105" s="386"/>
      <c r="J105" s="385"/>
      <c r="K105" s="386"/>
      <c r="L105" s="405"/>
      <c r="M105" s="386"/>
      <c r="N105" s="385"/>
      <c r="O105" s="390"/>
      <c r="P105" s="389"/>
      <c r="Q105" s="6"/>
      <c r="R105" s="614" t="s">
        <v>47</v>
      </c>
      <c r="S105" s="367" t="s">
        <v>48</v>
      </c>
      <c r="T105" s="182">
        <f t="shared" si="12"/>
        <v>100000000</v>
      </c>
    </row>
    <row r="106" spans="1:20" ht="14.1" customHeight="1" x14ac:dyDescent="0.3">
      <c r="A106" s="615"/>
      <c r="B106" s="468" t="s">
        <v>44</v>
      </c>
      <c r="C106" s="392"/>
      <c r="D106" s="424"/>
      <c r="E106" s="392"/>
      <c r="F106" s="394"/>
      <c r="G106" s="392"/>
      <c r="H106" s="391"/>
      <c r="I106" s="392"/>
      <c r="J106" s="391"/>
      <c r="K106" s="392"/>
      <c r="L106" s="425"/>
      <c r="M106" s="392"/>
      <c r="N106" s="391"/>
      <c r="O106" s="396"/>
      <c r="P106" s="395"/>
      <c r="Q106" s="6"/>
      <c r="R106" s="615"/>
      <c r="S106" s="368" t="s">
        <v>44</v>
      </c>
      <c r="T106" s="183">
        <f t="shared" si="12"/>
        <v>0</v>
      </c>
    </row>
    <row r="107" spans="1:20" ht="14.1" customHeight="1" thickBot="1" x14ac:dyDescent="0.35">
      <c r="A107" s="616"/>
      <c r="B107" s="469" t="s">
        <v>54</v>
      </c>
      <c r="C107" s="398"/>
      <c r="D107" s="429"/>
      <c r="E107" s="398"/>
      <c r="F107" s="400"/>
      <c r="G107" s="398"/>
      <c r="H107" s="397"/>
      <c r="I107" s="398"/>
      <c r="J107" s="397"/>
      <c r="K107" s="398"/>
      <c r="L107" s="420"/>
      <c r="M107" s="398"/>
      <c r="N107" s="397"/>
      <c r="O107" s="430"/>
      <c r="P107" s="410"/>
      <c r="Q107" s="6"/>
      <c r="R107" s="616"/>
      <c r="S107" s="369" t="s">
        <v>54</v>
      </c>
      <c r="T107" s="184">
        <f t="shared" si="12"/>
        <v>1000000</v>
      </c>
    </row>
    <row r="108" spans="1:20" ht="14.1" customHeight="1" x14ac:dyDescent="0.3">
      <c r="A108" s="617" t="s">
        <v>39</v>
      </c>
      <c r="B108" s="470" t="s">
        <v>44</v>
      </c>
      <c r="C108" s="386"/>
      <c r="D108" s="403"/>
      <c r="E108" s="386"/>
      <c r="F108" s="404"/>
      <c r="G108" s="386"/>
      <c r="H108" s="406"/>
      <c r="I108" s="386"/>
      <c r="J108" s="406"/>
      <c r="K108" s="386"/>
      <c r="L108" s="405"/>
      <c r="M108" s="409"/>
      <c r="N108" s="406"/>
      <c r="O108" s="390"/>
      <c r="P108" s="389"/>
      <c r="Q108" s="6"/>
      <c r="R108" s="617" t="s">
        <v>39</v>
      </c>
      <c r="S108" s="480" t="s">
        <v>44</v>
      </c>
      <c r="T108" s="563">
        <f t="shared" si="12"/>
        <v>500000</v>
      </c>
    </row>
    <row r="109" spans="1:20" ht="14.1" customHeight="1" x14ac:dyDescent="0.3">
      <c r="A109" s="618"/>
      <c r="B109" s="470" t="s">
        <v>54</v>
      </c>
      <c r="C109" s="392"/>
      <c r="D109" s="426"/>
      <c r="E109" s="392"/>
      <c r="F109" s="394"/>
      <c r="G109" s="392"/>
      <c r="H109" s="391"/>
      <c r="I109" s="392"/>
      <c r="J109" s="391"/>
      <c r="K109" s="392"/>
      <c r="L109" s="425"/>
      <c r="M109" s="392"/>
      <c r="N109" s="406"/>
      <c r="O109" s="396"/>
      <c r="P109" s="395"/>
      <c r="Q109" s="6"/>
      <c r="R109" s="618"/>
      <c r="S109" s="480" t="s">
        <v>54</v>
      </c>
      <c r="T109" s="183">
        <f t="shared" si="12"/>
        <v>1300000</v>
      </c>
    </row>
    <row r="110" spans="1:20" ht="14.1" customHeight="1" x14ac:dyDescent="0.3">
      <c r="A110" s="618"/>
      <c r="B110" s="470" t="s">
        <v>204</v>
      </c>
      <c r="C110" s="392"/>
      <c r="D110" s="426"/>
      <c r="E110" s="392"/>
      <c r="F110" s="404"/>
      <c r="G110" s="392"/>
      <c r="H110" s="406"/>
      <c r="I110" s="392"/>
      <c r="J110" s="406"/>
      <c r="K110" s="392"/>
      <c r="L110" s="408"/>
      <c r="M110" s="392"/>
      <c r="N110" s="406"/>
      <c r="O110" s="396"/>
      <c r="P110" s="395"/>
      <c r="Q110" s="6"/>
      <c r="R110" s="618"/>
      <c r="S110" s="480" t="s">
        <v>204</v>
      </c>
      <c r="T110" s="183">
        <f t="shared" si="12"/>
        <v>10000000</v>
      </c>
    </row>
    <row r="111" spans="1:20" ht="14.1" customHeight="1" thickBot="1" x14ac:dyDescent="0.35">
      <c r="A111" s="618"/>
      <c r="B111" s="471" t="s">
        <v>113</v>
      </c>
      <c r="C111" s="411"/>
      <c r="D111" s="427"/>
      <c r="E111" s="411"/>
      <c r="F111" s="417"/>
      <c r="G111" s="411"/>
      <c r="H111" s="416"/>
      <c r="I111" s="411"/>
      <c r="J111" s="416"/>
      <c r="K111" s="411"/>
      <c r="L111" s="431"/>
      <c r="M111" s="411"/>
      <c r="N111" s="432"/>
      <c r="O111" s="433"/>
      <c r="P111" s="421"/>
      <c r="Q111" s="6"/>
      <c r="R111" s="618"/>
      <c r="S111" s="513" t="s">
        <v>113</v>
      </c>
      <c r="T111" s="560">
        <f t="shared" si="12"/>
        <v>0</v>
      </c>
    </row>
    <row r="112" spans="1:20" ht="14.1" customHeight="1" x14ac:dyDescent="0.3">
      <c r="A112" s="603" t="s">
        <v>215</v>
      </c>
      <c r="B112" s="472" t="s">
        <v>45</v>
      </c>
      <c r="C112" s="386"/>
      <c r="D112" s="403"/>
      <c r="E112" s="386"/>
      <c r="F112" s="388"/>
      <c r="G112" s="386"/>
      <c r="H112" s="385"/>
      <c r="I112" s="386"/>
      <c r="J112" s="385"/>
      <c r="K112" s="386"/>
      <c r="L112" s="405"/>
      <c r="M112" s="386"/>
      <c r="N112" s="385"/>
      <c r="O112" s="390"/>
      <c r="P112" s="389"/>
      <c r="Q112" s="6"/>
      <c r="R112" s="603" t="s">
        <v>215</v>
      </c>
      <c r="S112" s="483" t="s">
        <v>45</v>
      </c>
      <c r="T112" s="182">
        <f t="shared" si="12"/>
        <v>700000</v>
      </c>
    </row>
    <row r="113" spans="1:20" ht="14.1" customHeight="1" thickBot="1" x14ac:dyDescent="0.35">
      <c r="A113" s="604"/>
      <c r="B113" s="482" t="s">
        <v>42</v>
      </c>
      <c r="C113" s="435"/>
      <c r="D113" s="434"/>
      <c r="E113" s="435"/>
      <c r="F113" s="400"/>
      <c r="G113" s="435"/>
      <c r="H113" s="397"/>
      <c r="I113" s="435"/>
      <c r="J113" s="397"/>
      <c r="K113" s="435"/>
      <c r="L113" s="436"/>
      <c r="M113" s="435"/>
      <c r="N113" s="437"/>
      <c r="O113" s="438"/>
      <c r="P113" s="401"/>
      <c r="Q113" s="6"/>
      <c r="R113" s="604"/>
      <c r="S113" s="503" t="s">
        <v>42</v>
      </c>
      <c r="T113" s="184">
        <f t="shared" si="12"/>
        <v>200000</v>
      </c>
    </row>
    <row r="114" spans="1:20" ht="14.1" customHeight="1" x14ac:dyDescent="0.3">
      <c r="A114" s="605" t="s">
        <v>206</v>
      </c>
      <c r="B114" s="484" t="s">
        <v>207</v>
      </c>
      <c r="C114" s="412"/>
      <c r="D114" s="439"/>
      <c r="E114" s="412"/>
      <c r="F114" s="417"/>
      <c r="G114" s="412"/>
      <c r="H114" s="416"/>
      <c r="I114" s="412"/>
      <c r="J114" s="416"/>
      <c r="K114" s="412"/>
      <c r="L114" s="418"/>
      <c r="M114" s="412"/>
      <c r="N114" s="416"/>
      <c r="O114" s="419"/>
      <c r="P114" s="414"/>
      <c r="Q114" s="6"/>
      <c r="R114" s="605" t="s">
        <v>206</v>
      </c>
      <c r="S114" s="486" t="s">
        <v>207</v>
      </c>
      <c r="T114" s="183">
        <f t="shared" si="12"/>
        <v>0</v>
      </c>
    </row>
    <row r="115" spans="1:20" ht="14.1" customHeight="1" thickBot="1" x14ac:dyDescent="0.35">
      <c r="A115" s="606"/>
      <c r="B115" s="485" t="s">
        <v>208</v>
      </c>
      <c r="C115" s="412"/>
      <c r="D115" s="439"/>
      <c r="E115" s="412"/>
      <c r="F115" s="417"/>
      <c r="G115" s="412"/>
      <c r="H115" s="416"/>
      <c r="I115" s="412"/>
      <c r="J115" s="416"/>
      <c r="K115" s="412"/>
      <c r="L115" s="418"/>
      <c r="M115" s="412"/>
      <c r="N115" s="416"/>
      <c r="O115" s="419"/>
      <c r="P115" s="414"/>
      <c r="Q115" s="6"/>
      <c r="R115" s="607"/>
      <c r="S115" s="559" t="s">
        <v>208</v>
      </c>
      <c r="T115" s="184">
        <f t="shared" si="12"/>
        <v>0</v>
      </c>
    </row>
    <row r="116" spans="1:20" ht="14.1" customHeight="1" x14ac:dyDescent="0.3">
      <c r="A116" s="608" t="s">
        <v>125</v>
      </c>
      <c r="B116" s="473" t="s">
        <v>126</v>
      </c>
      <c r="C116" s="386"/>
      <c r="D116" s="422"/>
      <c r="E116" s="386"/>
      <c r="F116" s="388"/>
      <c r="G116" s="386"/>
      <c r="H116" s="405"/>
      <c r="I116" s="386"/>
      <c r="J116" s="385"/>
      <c r="K116" s="386"/>
      <c r="L116" s="405"/>
      <c r="M116" s="386"/>
      <c r="N116" s="385"/>
      <c r="O116" s="390"/>
      <c r="P116" s="389"/>
      <c r="Q116" s="561"/>
      <c r="R116" s="610" t="s">
        <v>125</v>
      </c>
      <c r="S116" s="562" t="s">
        <v>126</v>
      </c>
      <c r="T116" s="183">
        <f t="shared" si="12"/>
        <v>0</v>
      </c>
    </row>
    <row r="117" spans="1:20" ht="14.1" customHeight="1" x14ac:dyDescent="0.3">
      <c r="A117" s="608"/>
      <c r="B117" s="474" t="s">
        <v>127</v>
      </c>
      <c r="C117" s="412"/>
      <c r="D117" s="439"/>
      <c r="E117" s="412"/>
      <c r="F117" s="404"/>
      <c r="G117" s="412"/>
      <c r="H117" s="408"/>
      <c r="I117" s="412"/>
      <c r="J117" s="406"/>
      <c r="K117" s="412"/>
      <c r="L117" s="418"/>
      <c r="M117" s="412"/>
      <c r="N117" s="416"/>
      <c r="O117" s="419"/>
      <c r="P117" s="414"/>
      <c r="Q117" s="6"/>
      <c r="R117" s="608"/>
      <c r="S117" s="504" t="s">
        <v>127</v>
      </c>
      <c r="T117" s="183">
        <f t="shared" si="12"/>
        <v>0</v>
      </c>
    </row>
    <row r="118" spans="1:20" ht="14.1" customHeight="1" thickBot="1" x14ac:dyDescent="0.35">
      <c r="A118" s="609"/>
      <c r="B118" s="475" t="s">
        <v>128</v>
      </c>
      <c r="C118" s="398"/>
      <c r="D118" s="440"/>
      <c r="E118" s="398"/>
      <c r="F118" s="404"/>
      <c r="G118" s="398"/>
      <c r="H118" s="408"/>
      <c r="I118" s="398"/>
      <c r="J118" s="406"/>
      <c r="K118" s="398"/>
      <c r="L118" s="420"/>
      <c r="M118" s="398"/>
      <c r="N118" s="397"/>
      <c r="O118" s="402"/>
      <c r="P118" s="401"/>
      <c r="Q118" s="6"/>
      <c r="R118" s="609"/>
      <c r="S118" s="505" t="s">
        <v>128</v>
      </c>
      <c r="T118" s="183">
        <f>T53+C118+E118+G118+I118+K118+M118+O118</f>
        <v>0</v>
      </c>
    </row>
    <row r="119" spans="1:20" ht="14.1" customHeight="1" x14ac:dyDescent="0.3">
      <c r="A119" s="582" t="s">
        <v>52</v>
      </c>
      <c r="B119" s="476" t="s">
        <v>41</v>
      </c>
      <c r="C119" s="386"/>
      <c r="D119" s="441"/>
      <c r="E119" s="390"/>
      <c r="F119" s="388"/>
      <c r="G119" s="386"/>
      <c r="H119" s="405"/>
      <c r="I119" s="386"/>
      <c r="J119" s="385"/>
      <c r="K119" s="386"/>
      <c r="L119" s="405"/>
      <c r="M119" s="386"/>
      <c r="N119" s="385"/>
      <c r="O119" s="396"/>
      <c r="P119" s="389"/>
      <c r="Q119" s="6"/>
      <c r="R119" s="582" t="s">
        <v>52</v>
      </c>
      <c r="S119" s="377" t="s">
        <v>41</v>
      </c>
      <c r="T119" s="182">
        <f>T56+C119+E119+G119+I119+K119+M119+O119</f>
        <v>30000000</v>
      </c>
    </row>
    <row r="120" spans="1:20" ht="14.1" customHeight="1" x14ac:dyDescent="0.3">
      <c r="A120" s="583"/>
      <c r="B120" s="476" t="s">
        <v>11</v>
      </c>
      <c r="C120" s="392"/>
      <c r="D120" s="442"/>
      <c r="E120" s="396"/>
      <c r="F120" s="394"/>
      <c r="G120" s="392"/>
      <c r="H120" s="425"/>
      <c r="I120" s="392"/>
      <c r="J120" s="443"/>
      <c r="K120" s="392"/>
      <c r="L120" s="425"/>
      <c r="M120" s="392"/>
      <c r="N120" s="391"/>
      <c r="O120" s="396"/>
      <c r="P120" s="395"/>
      <c r="Q120" s="6"/>
      <c r="R120" s="583"/>
      <c r="S120" s="377" t="s">
        <v>11</v>
      </c>
      <c r="T120" s="183">
        <f>T57+C120+E120+G120+I120+K120+M120+O120</f>
        <v>30000000</v>
      </c>
    </row>
    <row r="121" spans="1:20" ht="14.1" customHeight="1" thickBot="1" x14ac:dyDescent="0.35">
      <c r="A121" s="584"/>
      <c r="B121" s="477" t="s">
        <v>27</v>
      </c>
      <c r="C121" s="409"/>
      <c r="D121" s="423"/>
      <c r="E121" s="430"/>
      <c r="F121" s="404"/>
      <c r="G121" s="409"/>
      <c r="H121" s="408"/>
      <c r="I121" s="409"/>
      <c r="J121" s="391"/>
      <c r="K121" s="409"/>
      <c r="L121" s="408"/>
      <c r="M121" s="409"/>
      <c r="N121" s="406"/>
      <c r="O121" s="396"/>
      <c r="P121" s="395"/>
      <c r="Q121" s="6"/>
      <c r="R121" s="584"/>
      <c r="S121" s="378" t="s">
        <v>27</v>
      </c>
      <c r="T121" s="560">
        <f>T58+C121+E121+G121+I121+K121+M121+O121</f>
        <v>200000000</v>
      </c>
    </row>
    <row r="122" spans="1:20" ht="14.1" customHeight="1" thickBot="1" x14ac:dyDescent="0.35">
      <c r="A122" s="585" t="s">
        <v>30</v>
      </c>
      <c r="B122" s="586"/>
      <c r="C122" s="445"/>
      <c r="D122" s="444"/>
      <c r="E122" s="445"/>
      <c r="F122" s="446"/>
      <c r="G122" s="445"/>
      <c r="H122" s="447"/>
      <c r="I122" s="445"/>
      <c r="J122" s="448"/>
      <c r="K122" s="445"/>
      <c r="L122" s="447"/>
      <c r="M122" s="445"/>
      <c r="N122" s="448"/>
      <c r="O122" s="449"/>
      <c r="P122" s="450"/>
      <c r="Q122" s="6"/>
      <c r="R122" s="585" t="s">
        <v>30</v>
      </c>
      <c r="S122" s="587"/>
      <c r="T122" s="560">
        <f>T59+C122+E122+G122+I122+K122+M122+O122</f>
        <v>100000000</v>
      </c>
    </row>
    <row r="123" spans="1:20" ht="14.1" customHeight="1" x14ac:dyDescent="0.3">
      <c r="A123" s="588" t="s">
        <v>38</v>
      </c>
      <c r="B123" s="589"/>
      <c r="C123" s="451"/>
      <c r="D123" s="385"/>
      <c r="E123" s="451"/>
      <c r="F123" s="391"/>
      <c r="G123" s="451"/>
      <c r="H123" s="405"/>
      <c r="I123" s="451"/>
      <c r="J123" s="452"/>
      <c r="K123" s="453"/>
      <c r="L123" s="405"/>
      <c r="M123" s="451"/>
      <c r="N123" s="408"/>
      <c r="O123" s="451"/>
      <c r="P123" s="389"/>
      <c r="Q123" s="6"/>
      <c r="R123" s="594" t="s">
        <v>38</v>
      </c>
      <c r="S123" s="597"/>
      <c r="T123" s="598"/>
    </row>
    <row r="124" spans="1:20" ht="14.1" customHeight="1" x14ac:dyDescent="0.3">
      <c r="A124" s="590"/>
      <c r="B124" s="591"/>
      <c r="C124" s="453"/>
      <c r="D124" s="391"/>
      <c r="E124" s="453"/>
      <c r="F124" s="406"/>
      <c r="G124" s="453"/>
      <c r="H124" s="425"/>
      <c r="I124" s="453"/>
      <c r="J124" s="391"/>
      <c r="K124" s="454"/>
      <c r="L124" s="425"/>
      <c r="M124" s="453"/>
      <c r="N124" s="425"/>
      <c r="O124" s="453"/>
      <c r="P124" s="395"/>
      <c r="Q124" s="6"/>
      <c r="R124" s="595"/>
      <c r="S124" s="599"/>
      <c r="T124" s="600"/>
    </row>
    <row r="125" spans="1:20" ht="14.1" customHeight="1" x14ac:dyDescent="0.3">
      <c r="A125" s="590"/>
      <c r="B125" s="591"/>
      <c r="C125" s="453"/>
      <c r="D125" s="391"/>
      <c r="E125" s="453"/>
      <c r="F125" s="406"/>
      <c r="G125" s="453"/>
      <c r="H125" s="425"/>
      <c r="I125" s="453"/>
      <c r="J125" s="406"/>
      <c r="K125" s="453"/>
      <c r="L125" s="391"/>
      <c r="M125" s="453"/>
      <c r="N125" s="408"/>
      <c r="O125" s="453"/>
      <c r="P125" s="395"/>
      <c r="Q125" s="6"/>
      <c r="R125" s="595"/>
      <c r="S125" s="599"/>
      <c r="T125" s="600"/>
    </row>
    <row r="126" spans="1:20" ht="14.1" customHeight="1" thickBot="1" x14ac:dyDescent="0.35">
      <c r="A126" s="592"/>
      <c r="B126" s="593"/>
      <c r="C126" s="455"/>
      <c r="D126" s="397"/>
      <c r="E126" s="455"/>
      <c r="F126" s="456"/>
      <c r="G126" s="455"/>
      <c r="H126" s="420"/>
      <c r="I126" s="455"/>
      <c r="J126" s="400"/>
      <c r="K126" s="455"/>
      <c r="L126" s="400"/>
      <c r="M126" s="455"/>
      <c r="N126" s="397"/>
      <c r="O126" s="455"/>
      <c r="P126" s="401"/>
      <c r="Q126" s="6"/>
      <c r="R126" s="596"/>
      <c r="S126" s="601"/>
      <c r="T126" s="602"/>
    </row>
    <row r="127" spans="1:20" ht="18.95" customHeight="1" x14ac:dyDescent="0.3">
      <c r="A127" s="652" t="str">
        <f>A64</f>
        <v>홍길동 보장분석</v>
      </c>
      <c r="B127" s="653"/>
      <c r="C127" s="649"/>
      <c r="D127" s="649"/>
      <c r="E127" s="649"/>
      <c r="F127" s="649"/>
      <c r="G127" s="649"/>
      <c r="H127" s="649"/>
      <c r="I127" s="649"/>
      <c r="J127" s="649"/>
      <c r="K127" s="649"/>
      <c r="L127" s="649"/>
      <c r="M127" s="649"/>
      <c r="N127" s="649"/>
      <c r="O127" s="649"/>
      <c r="P127" s="649"/>
      <c r="Q127" s="138"/>
      <c r="R127" s="650" t="s">
        <v>15</v>
      </c>
      <c r="S127" s="651"/>
      <c r="T127" s="137">
        <f ca="1">T64</f>
        <v>46140</v>
      </c>
    </row>
    <row r="128" spans="1:20" ht="14.1" customHeight="1" x14ac:dyDescent="0.3">
      <c r="A128" s="647" t="s">
        <v>49</v>
      </c>
      <c r="B128" s="648"/>
      <c r="C128" s="645"/>
      <c r="D128" s="645"/>
      <c r="E128" s="645"/>
      <c r="F128" s="645"/>
      <c r="G128" s="645"/>
      <c r="H128" s="645"/>
      <c r="I128" s="645"/>
      <c r="J128" s="645"/>
      <c r="K128" s="645"/>
      <c r="L128" s="645"/>
      <c r="M128" s="645"/>
      <c r="N128" s="645"/>
      <c r="O128" s="645"/>
      <c r="P128" s="645"/>
      <c r="Q128" s="25"/>
      <c r="R128" s="654"/>
      <c r="S128" s="655"/>
      <c r="T128" s="656"/>
    </row>
    <row r="129" spans="1:20" ht="14.1" customHeight="1" x14ac:dyDescent="0.3">
      <c r="A129" s="637" t="s">
        <v>28</v>
      </c>
      <c r="B129" s="638"/>
      <c r="C129" s="645"/>
      <c r="D129" s="645"/>
      <c r="E129" s="645"/>
      <c r="F129" s="645"/>
      <c r="G129" s="645"/>
      <c r="H129" s="645"/>
      <c r="I129" s="645"/>
      <c r="J129" s="645"/>
      <c r="K129" s="645"/>
      <c r="L129" s="645"/>
      <c r="M129" s="645"/>
      <c r="N129" s="645"/>
      <c r="O129" s="646"/>
      <c r="P129" s="646"/>
      <c r="Q129" s="25"/>
      <c r="R129" s="657"/>
      <c r="S129" s="658"/>
      <c r="T129" s="659"/>
    </row>
    <row r="130" spans="1:20" ht="14.1" customHeight="1" x14ac:dyDescent="0.3">
      <c r="A130" s="647" t="s">
        <v>17</v>
      </c>
      <c r="B130" s="648"/>
      <c r="C130" s="646"/>
      <c r="D130" s="645"/>
      <c r="E130" s="646"/>
      <c r="F130" s="646"/>
      <c r="G130" s="646"/>
      <c r="H130" s="646"/>
      <c r="I130" s="646"/>
      <c r="J130" s="645"/>
      <c r="K130" s="646"/>
      <c r="L130" s="645"/>
      <c r="M130" s="646"/>
      <c r="N130" s="645"/>
      <c r="O130" s="646"/>
      <c r="P130" s="646"/>
      <c r="Q130" s="25"/>
      <c r="R130" s="657"/>
      <c r="S130" s="658"/>
      <c r="T130" s="659"/>
    </row>
    <row r="131" spans="1:20" ht="14.1" customHeight="1" x14ac:dyDescent="0.3">
      <c r="A131" s="647" t="s">
        <v>23</v>
      </c>
      <c r="B131" s="648"/>
      <c r="C131" s="383"/>
      <c r="D131" s="382"/>
      <c r="E131" s="383"/>
      <c r="F131" s="382">
        <f ca="1">IF(DATEDIF(E130,$T$1,"m")&lt;E131*12,DATEDIF(E130,$T$1,"m"),E131*12)</f>
        <v>0</v>
      </c>
      <c r="G131" s="383"/>
      <c r="H131" s="382">
        <f ca="1">IF(DATEDIF(G130,$T$1,"m")&lt;G131*12,DATEDIF(G130,$T$1,"m"),G131*12)</f>
        <v>0</v>
      </c>
      <c r="I131" s="383"/>
      <c r="J131" s="382">
        <f ca="1">IF(DATEDIF(I130,$T$1,"m")&lt;I131*12,DATEDIF(I130,$T$1,"m"),I131*12)</f>
        <v>0</v>
      </c>
      <c r="K131" s="383"/>
      <c r="L131" s="382">
        <f ca="1">IF(DATEDIF(K130,$T$1,"m")&lt;K131*12,DATEDIF(K130,$T$1,"m"),K131*12)</f>
        <v>0</v>
      </c>
      <c r="M131" s="383"/>
      <c r="N131" s="384">
        <f ca="1">IF(DATEDIF(M130,$T$1,"m")&lt;M131*12,DATEDIF(M130,$T$1,"m"),M131*12)</f>
        <v>0</v>
      </c>
      <c r="O131" s="383"/>
      <c r="P131" s="382">
        <f ca="1">IF(DATEDIF(O130,$T$1,"m")&lt;O131*12,DATEDIF(O130,$T$1,"m"),O131*12)</f>
        <v>0</v>
      </c>
      <c r="Q131" s="25"/>
      <c r="R131" s="657"/>
      <c r="S131" s="658"/>
      <c r="T131" s="659"/>
    </row>
    <row r="132" spans="1:20" ht="14.1" customHeight="1" x14ac:dyDescent="0.3">
      <c r="A132" s="647" t="s">
        <v>2</v>
      </c>
      <c r="B132" s="648"/>
      <c r="C132" s="645"/>
      <c r="D132" s="645"/>
      <c r="E132" s="645"/>
      <c r="F132" s="645"/>
      <c r="G132" s="645"/>
      <c r="H132" s="645"/>
      <c r="I132" s="645"/>
      <c r="J132" s="645"/>
      <c r="K132" s="645"/>
      <c r="L132" s="645"/>
      <c r="M132" s="645"/>
      <c r="N132" s="645"/>
      <c r="O132" s="645"/>
      <c r="P132" s="645"/>
      <c r="Q132" s="25"/>
      <c r="R132" s="660"/>
      <c r="S132" s="661"/>
      <c r="T132" s="662"/>
    </row>
    <row r="133" spans="1:20" ht="14.1" customHeight="1" x14ac:dyDescent="0.3">
      <c r="A133" s="632" t="s">
        <v>37</v>
      </c>
      <c r="B133" s="633"/>
      <c r="C133" s="642"/>
      <c r="D133" s="642"/>
      <c r="E133" s="642"/>
      <c r="F133" s="642"/>
      <c r="G133" s="642"/>
      <c r="H133" s="642"/>
      <c r="I133" s="642"/>
      <c r="J133" s="642"/>
      <c r="K133" s="642"/>
      <c r="L133" s="642"/>
      <c r="M133" s="642"/>
      <c r="N133" s="642"/>
      <c r="O133" s="642"/>
      <c r="P133" s="642"/>
      <c r="Q133" s="25"/>
      <c r="R133" s="643"/>
      <c r="S133" s="644"/>
      <c r="T133" s="27" t="s">
        <v>91</v>
      </c>
    </row>
    <row r="134" spans="1:20" ht="14.1" customHeight="1" x14ac:dyDescent="0.3">
      <c r="A134" s="639" t="s">
        <v>12</v>
      </c>
      <c r="B134" s="640"/>
      <c r="C134" s="641"/>
      <c r="D134" s="641"/>
      <c r="E134" s="641"/>
      <c r="F134" s="641"/>
      <c r="G134" s="641"/>
      <c r="H134" s="641"/>
      <c r="I134" s="641"/>
      <c r="J134" s="641"/>
      <c r="K134" s="641"/>
      <c r="L134" s="641"/>
      <c r="M134" s="641"/>
      <c r="N134" s="641"/>
      <c r="O134" s="641"/>
      <c r="P134" s="641"/>
      <c r="Q134" s="26"/>
      <c r="R134" s="635" t="s">
        <v>34</v>
      </c>
      <c r="S134" s="636"/>
      <c r="T134" s="60">
        <f>T71+C134+E134+G134+I134+K134+O134</f>
        <v>167593</v>
      </c>
    </row>
    <row r="135" spans="1:20" ht="14.1" customHeight="1" x14ac:dyDescent="0.3">
      <c r="A135" s="637" t="s">
        <v>3</v>
      </c>
      <c r="B135" s="638"/>
      <c r="C135" s="634"/>
      <c r="D135" s="634"/>
      <c r="E135" s="634">
        <f>E134*E131*12</f>
        <v>0</v>
      </c>
      <c r="F135" s="634"/>
      <c r="G135" s="634">
        <f>G134*G131*12</f>
        <v>0</v>
      </c>
      <c r="H135" s="634"/>
      <c r="I135" s="634">
        <f>I134*I131*12</f>
        <v>0</v>
      </c>
      <c r="J135" s="634"/>
      <c r="K135" s="634">
        <f>K134*K131*12</f>
        <v>0</v>
      </c>
      <c r="L135" s="634"/>
      <c r="M135" s="634">
        <f>M134*M131*12</f>
        <v>0</v>
      </c>
      <c r="N135" s="634"/>
      <c r="O135" s="634">
        <f>O134*O131*12</f>
        <v>0</v>
      </c>
      <c r="P135" s="634"/>
      <c r="Q135" s="26"/>
      <c r="R135" s="635" t="s">
        <v>33</v>
      </c>
      <c r="S135" s="636"/>
      <c r="T135" s="51">
        <f>T72+C135+E135+G135+I135+K135+O135</f>
        <v>45652620</v>
      </c>
    </row>
    <row r="136" spans="1:20" ht="14.1" customHeight="1" x14ac:dyDescent="0.3">
      <c r="A136" s="637" t="s">
        <v>4</v>
      </c>
      <c r="B136" s="638"/>
      <c r="C136" s="634"/>
      <c r="D136" s="634"/>
      <c r="E136" s="634">
        <f ca="1">E134*F131</f>
        <v>0</v>
      </c>
      <c r="F136" s="634"/>
      <c r="G136" s="634">
        <f ca="1">G134*H131</f>
        <v>0</v>
      </c>
      <c r="H136" s="634"/>
      <c r="I136" s="634">
        <f ca="1">I134*J131</f>
        <v>0</v>
      </c>
      <c r="J136" s="634"/>
      <c r="K136" s="634">
        <f ca="1">K134*L131</f>
        <v>0</v>
      </c>
      <c r="L136" s="634"/>
      <c r="M136" s="634">
        <f ca="1">M134*N131</f>
        <v>0</v>
      </c>
      <c r="N136" s="634"/>
      <c r="O136" s="634">
        <f ca="1">O134*P131</f>
        <v>0</v>
      </c>
      <c r="P136" s="634"/>
      <c r="Q136" s="26"/>
      <c r="R136" s="635" t="s">
        <v>31</v>
      </c>
      <c r="S136" s="636"/>
      <c r="T136" s="51">
        <f ca="1">T73+C136+E136+G136+I136+K136+O136</f>
        <v>2385666</v>
      </c>
    </row>
    <row r="137" spans="1:20" ht="14.1" customHeight="1" thickBot="1" x14ac:dyDescent="0.35">
      <c r="A137" s="632" t="s">
        <v>18</v>
      </c>
      <c r="B137" s="633"/>
      <c r="C137" s="634"/>
      <c r="D137" s="634"/>
      <c r="E137" s="634">
        <f ca="1">E135-E136</f>
        <v>0</v>
      </c>
      <c r="F137" s="634"/>
      <c r="G137" s="634">
        <f ca="1">G135-G136</f>
        <v>0</v>
      </c>
      <c r="H137" s="634"/>
      <c r="I137" s="634">
        <f ca="1">I135-I136</f>
        <v>0</v>
      </c>
      <c r="J137" s="634"/>
      <c r="K137" s="634">
        <f ca="1">K135-K136</f>
        <v>0</v>
      </c>
      <c r="L137" s="634"/>
      <c r="M137" s="634">
        <f ca="1">M135-M136</f>
        <v>0</v>
      </c>
      <c r="N137" s="634"/>
      <c r="O137" s="634">
        <f ca="1">O135-O136</f>
        <v>0</v>
      </c>
      <c r="P137" s="634"/>
      <c r="Q137" s="26"/>
      <c r="R137" s="619" t="s">
        <v>35</v>
      </c>
      <c r="S137" s="620"/>
      <c r="T137" s="52">
        <f ca="1">T74+C137+E137+G137+I137+K137+O137</f>
        <v>43266954</v>
      </c>
    </row>
    <row r="138" spans="1:20" ht="14.1" customHeight="1" x14ac:dyDescent="0.3">
      <c r="A138" s="621" t="s">
        <v>202</v>
      </c>
      <c r="B138" s="457" t="s">
        <v>149</v>
      </c>
      <c r="C138" s="386"/>
      <c r="D138" s="385"/>
      <c r="E138" s="386"/>
      <c r="F138" s="387"/>
      <c r="G138" s="386"/>
      <c r="H138" s="388"/>
      <c r="I138" s="386"/>
      <c r="J138" s="388"/>
      <c r="K138" s="386"/>
      <c r="L138" s="385"/>
      <c r="M138" s="386"/>
      <c r="N138" s="389"/>
      <c r="O138" s="390"/>
      <c r="P138" s="389"/>
      <c r="Q138" s="6"/>
      <c r="R138" s="621" t="s">
        <v>202</v>
      </c>
      <c r="S138" s="352" t="s">
        <v>149</v>
      </c>
      <c r="T138" s="182">
        <f t="shared" ref="T138:T149" si="13">T75+C138+E138+G138+I138+K138+M138+O138</f>
        <v>50000000</v>
      </c>
    </row>
    <row r="139" spans="1:20" ht="14.1" customHeight="1" x14ac:dyDescent="0.3">
      <c r="A139" s="622"/>
      <c r="B139" s="458" t="s">
        <v>150</v>
      </c>
      <c r="C139" s="392"/>
      <c r="D139" s="391"/>
      <c r="E139" s="392"/>
      <c r="F139" s="393"/>
      <c r="G139" s="392"/>
      <c r="H139" s="394"/>
      <c r="I139" s="392"/>
      <c r="J139" s="394"/>
      <c r="K139" s="392"/>
      <c r="L139" s="391"/>
      <c r="M139" s="392"/>
      <c r="N139" s="395"/>
      <c r="O139" s="396"/>
      <c r="P139" s="395"/>
      <c r="Q139" s="6"/>
      <c r="R139" s="622"/>
      <c r="S139" s="353" t="s">
        <v>150</v>
      </c>
      <c r="T139" s="183">
        <f t="shared" si="13"/>
        <v>200000</v>
      </c>
    </row>
    <row r="140" spans="1:20" ht="14.1" customHeight="1" x14ac:dyDescent="0.3">
      <c r="A140" s="622"/>
      <c r="B140" s="458" t="s">
        <v>151</v>
      </c>
      <c r="C140" s="392"/>
      <c r="D140" s="391"/>
      <c r="E140" s="392"/>
      <c r="F140" s="393"/>
      <c r="G140" s="392"/>
      <c r="H140" s="394"/>
      <c r="I140" s="392"/>
      <c r="J140" s="394"/>
      <c r="K140" s="392"/>
      <c r="L140" s="391"/>
      <c r="M140" s="392"/>
      <c r="N140" s="395"/>
      <c r="O140" s="396"/>
      <c r="P140" s="395"/>
      <c r="Q140" s="6"/>
      <c r="R140" s="622"/>
      <c r="S140" s="353" t="s">
        <v>151</v>
      </c>
      <c r="T140" s="183">
        <f t="shared" si="13"/>
        <v>50000000</v>
      </c>
    </row>
    <row r="141" spans="1:20" ht="14.1" customHeight="1" x14ac:dyDescent="0.3">
      <c r="A141" s="622"/>
      <c r="B141" s="458" t="s">
        <v>148</v>
      </c>
      <c r="C141" s="392"/>
      <c r="D141" s="391"/>
      <c r="E141" s="392"/>
      <c r="F141" s="393"/>
      <c r="G141" s="392"/>
      <c r="H141" s="394"/>
      <c r="I141" s="392"/>
      <c r="J141" s="394"/>
      <c r="K141" s="392"/>
      <c r="L141" s="391"/>
      <c r="M141" s="392"/>
      <c r="N141" s="395"/>
      <c r="O141" s="396"/>
      <c r="P141" s="395"/>
      <c r="Q141" s="6"/>
      <c r="R141" s="622"/>
      <c r="S141" s="353" t="s">
        <v>148</v>
      </c>
      <c r="T141" s="183">
        <f t="shared" si="13"/>
        <v>200000</v>
      </c>
    </row>
    <row r="142" spans="1:20" ht="14.1" customHeight="1" thickBot="1" x14ac:dyDescent="0.35">
      <c r="A142" s="623"/>
      <c r="B142" s="459" t="s">
        <v>89</v>
      </c>
      <c r="C142" s="398"/>
      <c r="D142" s="397"/>
      <c r="E142" s="398"/>
      <c r="F142" s="399"/>
      <c r="G142" s="398"/>
      <c r="H142" s="400"/>
      <c r="I142" s="398"/>
      <c r="J142" s="400"/>
      <c r="K142" s="398"/>
      <c r="L142" s="397"/>
      <c r="M142" s="398"/>
      <c r="N142" s="401"/>
      <c r="O142" s="402"/>
      <c r="P142" s="401"/>
      <c r="Q142" s="6"/>
      <c r="R142" s="623"/>
      <c r="S142" s="354" t="s">
        <v>89</v>
      </c>
      <c r="T142" s="184">
        <f t="shared" si="13"/>
        <v>3500000</v>
      </c>
    </row>
    <row r="143" spans="1:20" ht="14.1" customHeight="1" x14ac:dyDescent="0.3">
      <c r="A143" s="624" t="s">
        <v>50</v>
      </c>
      <c r="B143" s="460" t="s">
        <v>203</v>
      </c>
      <c r="C143" s="386"/>
      <c r="D143" s="403"/>
      <c r="E143" s="386"/>
      <c r="F143" s="388"/>
      <c r="G143" s="386"/>
      <c r="H143" s="388"/>
      <c r="I143" s="386"/>
      <c r="J143" s="388"/>
      <c r="K143" s="386"/>
      <c r="L143" s="405"/>
      <c r="M143" s="386"/>
      <c r="N143" s="385"/>
      <c r="O143" s="386"/>
      <c r="P143" s="389"/>
      <c r="Q143" s="6"/>
      <c r="R143" s="626" t="s">
        <v>50</v>
      </c>
      <c r="S143" s="490" t="s">
        <v>168</v>
      </c>
      <c r="T143" s="182">
        <f t="shared" si="13"/>
        <v>50000000</v>
      </c>
    </row>
    <row r="144" spans="1:20" ht="14.1" customHeight="1" x14ac:dyDescent="0.3">
      <c r="A144" s="625"/>
      <c r="B144" s="481" t="s">
        <v>205</v>
      </c>
      <c r="C144" s="392"/>
      <c r="D144" s="407"/>
      <c r="E144" s="392"/>
      <c r="F144" s="404"/>
      <c r="G144" s="392"/>
      <c r="H144" s="404"/>
      <c r="I144" s="392"/>
      <c r="J144" s="404"/>
      <c r="K144" s="392"/>
      <c r="L144" s="408"/>
      <c r="M144" s="392"/>
      <c r="N144" s="406"/>
      <c r="O144" s="409"/>
      <c r="P144" s="410"/>
      <c r="Q144" s="6"/>
      <c r="R144" s="627"/>
      <c r="S144" s="491" t="s">
        <v>205</v>
      </c>
      <c r="T144" s="183">
        <f t="shared" si="13"/>
        <v>10000000</v>
      </c>
    </row>
    <row r="145" spans="1:20" ht="14.1" customHeight="1" thickBot="1" x14ac:dyDescent="0.35">
      <c r="A145" s="625"/>
      <c r="B145" s="553" t="s">
        <v>211</v>
      </c>
      <c r="C145" s="398"/>
      <c r="D145" s="564"/>
      <c r="E145" s="398"/>
      <c r="F145" s="534"/>
      <c r="G145" s="398"/>
      <c r="H145" s="534"/>
      <c r="I145" s="398"/>
      <c r="J145" s="534"/>
      <c r="K145" s="398"/>
      <c r="L145" s="436"/>
      <c r="M145" s="435"/>
      <c r="N145" s="437"/>
      <c r="O145" s="435"/>
      <c r="P145" s="565"/>
      <c r="Q145" s="6"/>
      <c r="R145" s="627"/>
      <c r="S145" s="566" t="s">
        <v>211</v>
      </c>
      <c r="T145" s="184">
        <f t="shared" si="13"/>
        <v>0</v>
      </c>
    </row>
    <row r="146" spans="1:20" ht="14.1" customHeight="1" x14ac:dyDescent="0.3">
      <c r="A146" s="625"/>
      <c r="B146" s="554" t="s">
        <v>163</v>
      </c>
      <c r="C146" s="409"/>
      <c r="D146" s="407"/>
      <c r="E146" s="409"/>
      <c r="F146" s="404"/>
      <c r="G146" s="409"/>
      <c r="H146" s="404"/>
      <c r="I146" s="409"/>
      <c r="J146" s="404"/>
      <c r="K146" s="409"/>
      <c r="L146" s="408"/>
      <c r="M146" s="409"/>
      <c r="N146" s="406"/>
      <c r="O146" s="409"/>
      <c r="P146" s="410"/>
      <c r="Q146" s="6"/>
      <c r="R146" s="627"/>
      <c r="S146" s="343" t="s">
        <v>163</v>
      </c>
      <c r="T146" s="182">
        <f t="shared" si="13"/>
        <v>10000000</v>
      </c>
    </row>
    <row r="147" spans="1:20" ht="14.1" customHeight="1" x14ac:dyDescent="0.3">
      <c r="A147" s="625"/>
      <c r="B147" s="555" t="s">
        <v>162</v>
      </c>
      <c r="C147" s="392"/>
      <c r="D147" s="407"/>
      <c r="E147" s="392"/>
      <c r="F147" s="404"/>
      <c r="G147" s="392"/>
      <c r="H147" s="404"/>
      <c r="I147" s="392"/>
      <c r="J147" s="404"/>
      <c r="K147" s="392"/>
      <c r="L147" s="408"/>
      <c r="M147" s="409"/>
      <c r="N147" s="406"/>
      <c r="O147" s="409"/>
      <c r="P147" s="410"/>
      <c r="Q147" s="6"/>
      <c r="R147" s="627"/>
      <c r="S147" s="326" t="s">
        <v>162</v>
      </c>
      <c r="T147" s="183">
        <f t="shared" si="13"/>
        <v>10000000</v>
      </c>
    </row>
    <row r="148" spans="1:20" ht="14.1" customHeight="1" x14ac:dyDescent="0.3">
      <c r="A148" s="625"/>
      <c r="B148" s="556" t="s">
        <v>164</v>
      </c>
      <c r="C148" s="392"/>
      <c r="D148" s="407"/>
      <c r="E148" s="392"/>
      <c r="F148" s="404"/>
      <c r="G148" s="392"/>
      <c r="H148" s="404"/>
      <c r="I148" s="392"/>
      <c r="J148" s="404"/>
      <c r="K148" s="392"/>
      <c r="L148" s="408"/>
      <c r="M148" s="409"/>
      <c r="N148" s="406"/>
      <c r="O148" s="409"/>
      <c r="P148" s="410"/>
      <c r="Q148" s="6"/>
      <c r="R148" s="627"/>
      <c r="S148" s="343" t="s">
        <v>164</v>
      </c>
      <c r="T148" s="183">
        <f t="shared" si="13"/>
        <v>10000000</v>
      </c>
    </row>
    <row r="149" spans="1:20" ht="14.1" customHeight="1" x14ac:dyDescent="0.3">
      <c r="A149" s="625"/>
      <c r="B149" s="555" t="s">
        <v>165</v>
      </c>
      <c r="C149" s="392"/>
      <c r="D149" s="407"/>
      <c r="E149" s="392"/>
      <c r="F149" s="404"/>
      <c r="G149" s="392"/>
      <c r="H149" s="404"/>
      <c r="I149" s="392"/>
      <c r="J149" s="404"/>
      <c r="K149" s="392"/>
      <c r="L149" s="408"/>
      <c r="M149" s="409"/>
      <c r="N149" s="406"/>
      <c r="O149" s="409"/>
      <c r="P149" s="410"/>
      <c r="Q149" s="6"/>
      <c r="R149" s="627"/>
      <c r="S149" s="326" t="s">
        <v>165</v>
      </c>
      <c r="T149" s="183">
        <f t="shared" si="13"/>
        <v>50000000</v>
      </c>
    </row>
    <row r="150" spans="1:20" ht="14.1" customHeight="1" x14ac:dyDescent="0.3">
      <c r="A150" s="625"/>
      <c r="B150" s="555" t="s">
        <v>184</v>
      </c>
      <c r="C150" s="392"/>
      <c r="D150" s="407"/>
      <c r="E150" s="392"/>
      <c r="F150" s="404"/>
      <c r="G150" s="392"/>
      <c r="H150" s="404"/>
      <c r="I150" s="392"/>
      <c r="J150" s="404"/>
      <c r="K150" s="392"/>
      <c r="L150" s="408"/>
      <c r="M150" s="409"/>
      <c r="N150" s="406"/>
      <c r="O150" s="409"/>
      <c r="P150" s="410"/>
      <c r="Q150" s="6"/>
      <c r="R150" s="627"/>
      <c r="S150" s="326" t="s">
        <v>184</v>
      </c>
      <c r="T150" s="183">
        <f>T88+C150+E150+G150+I150+K150+O150</f>
        <v>20000000</v>
      </c>
    </row>
    <row r="151" spans="1:20" ht="14.1" customHeight="1" x14ac:dyDescent="0.3">
      <c r="A151" s="625"/>
      <c r="B151" s="555" t="s">
        <v>185</v>
      </c>
      <c r="C151" s="392"/>
      <c r="D151" s="407"/>
      <c r="E151" s="392"/>
      <c r="F151" s="404"/>
      <c r="G151" s="392"/>
      <c r="H151" s="404"/>
      <c r="I151" s="392"/>
      <c r="J151" s="404"/>
      <c r="K151" s="392"/>
      <c r="L151" s="408"/>
      <c r="M151" s="409"/>
      <c r="N151" s="406"/>
      <c r="O151" s="409"/>
      <c r="P151" s="410"/>
      <c r="Q151" s="6"/>
      <c r="R151" s="627"/>
      <c r="S151" s="326" t="s">
        <v>185</v>
      </c>
      <c r="T151" s="183">
        <f t="shared" ref="T151:T185" si="14">T88+C151+E151+G151+I151+K151+M151+O151</f>
        <v>20000000</v>
      </c>
    </row>
    <row r="152" spans="1:20" ht="14.1" customHeight="1" x14ac:dyDescent="0.3">
      <c r="A152" s="625"/>
      <c r="B152" s="556" t="s">
        <v>166</v>
      </c>
      <c r="C152" s="392"/>
      <c r="D152" s="407"/>
      <c r="E152" s="411"/>
      <c r="F152" s="406"/>
      <c r="G152" s="411"/>
      <c r="H152" s="404"/>
      <c r="I152" s="411"/>
      <c r="J152" s="404"/>
      <c r="K152" s="411"/>
      <c r="L152" s="408"/>
      <c r="M152" s="412"/>
      <c r="N152" s="406"/>
      <c r="O152" s="409"/>
      <c r="P152" s="410"/>
      <c r="Q152" s="6"/>
      <c r="R152" s="627"/>
      <c r="S152" s="343" t="s">
        <v>166</v>
      </c>
      <c r="T152" s="183">
        <f t="shared" si="14"/>
        <v>7000000</v>
      </c>
    </row>
    <row r="153" spans="1:20" ht="14.1" customHeight="1" x14ac:dyDescent="0.3">
      <c r="A153" s="625"/>
      <c r="B153" s="555" t="s">
        <v>167</v>
      </c>
      <c r="C153" s="411"/>
      <c r="D153" s="413"/>
      <c r="E153" s="411"/>
      <c r="F153" s="406"/>
      <c r="G153" s="411"/>
      <c r="H153" s="404"/>
      <c r="I153" s="411"/>
      <c r="J153" s="404"/>
      <c r="K153" s="411"/>
      <c r="L153" s="408"/>
      <c r="M153" s="412"/>
      <c r="N153" s="406"/>
      <c r="O153" s="412"/>
      <c r="P153" s="414"/>
      <c r="Q153" s="6"/>
      <c r="R153" s="627"/>
      <c r="S153" s="326" t="s">
        <v>167</v>
      </c>
      <c r="T153" s="183">
        <f t="shared" si="14"/>
        <v>70000000</v>
      </c>
    </row>
    <row r="154" spans="1:20" ht="14.1" customHeight="1" thickBot="1" x14ac:dyDescent="0.35">
      <c r="A154" s="625"/>
      <c r="B154" s="557" t="s">
        <v>186</v>
      </c>
      <c r="C154" s="398"/>
      <c r="D154" s="397"/>
      <c r="E154" s="398"/>
      <c r="F154" s="415"/>
      <c r="G154" s="398"/>
      <c r="H154" s="404"/>
      <c r="I154" s="398"/>
      <c r="J154" s="404"/>
      <c r="K154" s="398"/>
      <c r="L154" s="408"/>
      <c r="M154" s="398"/>
      <c r="N154" s="406"/>
      <c r="O154" s="402"/>
      <c r="P154" s="401"/>
      <c r="Q154" s="6"/>
      <c r="R154" s="627"/>
      <c r="S154" s="327" t="s">
        <v>186</v>
      </c>
      <c r="T154" s="184">
        <f t="shared" si="14"/>
        <v>50000000</v>
      </c>
    </row>
    <row r="155" spans="1:20" ht="14.1" customHeight="1" x14ac:dyDescent="0.3">
      <c r="A155" s="628" t="s">
        <v>19</v>
      </c>
      <c r="B155" s="461" t="s">
        <v>193</v>
      </c>
      <c r="C155" s="392"/>
      <c r="D155" s="385"/>
      <c r="E155" s="392"/>
      <c r="F155" s="388"/>
      <c r="G155" s="392"/>
      <c r="H155" s="388"/>
      <c r="I155" s="392"/>
      <c r="J155" s="388"/>
      <c r="K155" s="392"/>
      <c r="L155" s="405"/>
      <c r="M155" s="386"/>
      <c r="N155" s="385"/>
      <c r="O155" s="396"/>
      <c r="P155" s="389"/>
      <c r="Q155" s="6"/>
      <c r="R155" s="630" t="s">
        <v>19</v>
      </c>
      <c r="S155" s="379" t="s">
        <v>51</v>
      </c>
      <c r="T155" s="182">
        <f t="shared" si="14"/>
        <v>10000000</v>
      </c>
    </row>
    <row r="156" spans="1:20" ht="14.1" customHeight="1" x14ac:dyDescent="0.3">
      <c r="A156" s="629"/>
      <c r="B156" s="462" t="s">
        <v>194</v>
      </c>
      <c r="C156" s="392"/>
      <c r="D156" s="406"/>
      <c r="E156" s="409"/>
      <c r="F156" s="404"/>
      <c r="G156" s="392"/>
      <c r="H156" s="404"/>
      <c r="I156" s="392"/>
      <c r="J156" s="404"/>
      <c r="K156" s="392"/>
      <c r="L156" s="408"/>
      <c r="M156" s="409"/>
      <c r="N156" s="406"/>
      <c r="O156" s="396"/>
      <c r="P156" s="410"/>
      <c r="Q156" s="6"/>
      <c r="R156" s="631"/>
      <c r="S156" s="380" t="s">
        <v>43</v>
      </c>
      <c r="T156" s="183">
        <f t="shared" si="14"/>
        <v>10000000</v>
      </c>
    </row>
    <row r="157" spans="1:20" ht="14.1" customHeight="1" thickBot="1" x14ac:dyDescent="0.35">
      <c r="A157" s="629"/>
      <c r="B157" s="463" t="s">
        <v>195</v>
      </c>
      <c r="C157" s="412"/>
      <c r="D157" s="416"/>
      <c r="E157" s="412"/>
      <c r="F157" s="417"/>
      <c r="G157" s="412"/>
      <c r="H157" s="417"/>
      <c r="I157" s="412"/>
      <c r="J157" s="417"/>
      <c r="K157" s="412"/>
      <c r="L157" s="418"/>
      <c r="M157" s="412"/>
      <c r="N157" s="416"/>
      <c r="O157" s="419"/>
      <c r="P157" s="414"/>
      <c r="Q157" s="6"/>
      <c r="R157" s="631"/>
      <c r="S157" s="381" t="s">
        <v>53</v>
      </c>
      <c r="T157" s="184">
        <f t="shared" si="14"/>
        <v>40000000</v>
      </c>
    </row>
    <row r="158" spans="1:20" ht="14.1" customHeight="1" x14ac:dyDescent="0.3">
      <c r="A158" s="629"/>
      <c r="B158" s="461" t="s">
        <v>196</v>
      </c>
      <c r="C158" s="386"/>
      <c r="D158" s="385"/>
      <c r="E158" s="386"/>
      <c r="F158" s="388"/>
      <c r="G158" s="386"/>
      <c r="H158" s="388"/>
      <c r="I158" s="386"/>
      <c r="J158" s="388"/>
      <c r="K158" s="386"/>
      <c r="L158" s="405"/>
      <c r="M158" s="386"/>
      <c r="N158" s="385"/>
      <c r="O158" s="390"/>
      <c r="P158" s="389"/>
      <c r="Q158" s="6"/>
      <c r="R158" s="631"/>
      <c r="S158" s="358" t="s">
        <v>65</v>
      </c>
      <c r="T158" s="182">
        <f t="shared" si="14"/>
        <v>10000000</v>
      </c>
    </row>
    <row r="159" spans="1:20" ht="14.1" customHeight="1" x14ac:dyDescent="0.3">
      <c r="A159" s="629"/>
      <c r="B159" s="488" t="s">
        <v>197</v>
      </c>
      <c r="C159" s="392"/>
      <c r="D159" s="406"/>
      <c r="E159" s="392"/>
      <c r="F159" s="404"/>
      <c r="G159" s="392"/>
      <c r="H159" s="404"/>
      <c r="I159" s="392"/>
      <c r="J159" s="404"/>
      <c r="K159" s="392"/>
      <c r="L159" s="408"/>
      <c r="M159" s="392"/>
      <c r="N159" s="406"/>
      <c r="O159" s="396"/>
      <c r="P159" s="410"/>
      <c r="Q159" s="6"/>
      <c r="R159" s="631"/>
      <c r="S159" s="359" t="s">
        <v>8</v>
      </c>
      <c r="T159" s="183">
        <f t="shared" si="14"/>
        <v>20000000</v>
      </c>
    </row>
    <row r="160" spans="1:20" ht="14.1" customHeight="1" thickBot="1" x14ac:dyDescent="0.35">
      <c r="A160" s="629"/>
      <c r="B160" s="489" t="s">
        <v>198</v>
      </c>
      <c r="C160" s="398"/>
      <c r="D160" s="397"/>
      <c r="E160" s="398"/>
      <c r="F160" s="400"/>
      <c r="G160" s="398"/>
      <c r="H160" s="400"/>
      <c r="I160" s="398"/>
      <c r="J160" s="400"/>
      <c r="K160" s="398"/>
      <c r="L160" s="420"/>
      <c r="M160" s="398"/>
      <c r="N160" s="397"/>
      <c r="O160" s="402"/>
      <c r="P160" s="421"/>
      <c r="Q160" s="6"/>
      <c r="R160" s="631"/>
      <c r="S160" s="360" t="s">
        <v>5</v>
      </c>
      <c r="T160" s="184">
        <f t="shared" si="14"/>
        <v>40000000</v>
      </c>
    </row>
    <row r="161" spans="1:20" ht="14.1" customHeight="1" x14ac:dyDescent="0.3">
      <c r="A161" s="629"/>
      <c r="B161" s="461" t="s">
        <v>210</v>
      </c>
      <c r="C161" s="386"/>
      <c r="D161" s="385"/>
      <c r="E161" s="386"/>
      <c r="F161" s="388"/>
      <c r="G161" s="386"/>
      <c r="H161" s="388"/>
      <c r="I161" s="386"/>
      <c r="J161" s="388"/>
      <c r="K161" s="386"/>
      <c r="L161" s="405"/>
      <c r="M161" s="386"/>
      <c r="N161" s="385"/>
      <c r="O161" s="390"/>
      <c r="P161" s="389"/>
      <c r="Q161" s="6"/>
      <c r="R161" s="631"/>
      <c r="S161" s="361" t="s">
        <v>199</v>
      </c>
      <c r="T161" s="182">
        <f t="shared" si="14"/>
        <v>10000000</v>
      </c>
    </row>
    <row r="162" spans="1:20" ht="14.1" customHeight="1" x14ac:dyDescent="0.3">
      <c r="A162" s="629"/>
      <c r="B162" s="488" t="s">
        <v>200</v>
      </c>
      <c r="C162" s="392"/>
      <c r="D162" s="406"/>
      <c r="E162" s="392"/>
      <c r="F162" s="404"/>
      <c r="G162" s="392"/>
      <c r="H162" s="404"/>
      <c r="I162" s="392"/>
      <c r="J162" s="404"/>
      <c r="K162" s="392"/>
      <c r="L162" s="408"/>
      <c r="M162" s="392"/>
      <c r="N162" s="406"/>
      <c r="O162" s="396"/>
      <c r="P162" s="410"/>
      <c r="Q162" s="6"/>
      <c r="R162" s="631"/>
      <c r="S162" s="362" t="s">
        <v>200</v>
      </c>
      <c r="T162" s="183">
        <f t="shared" si="14"/>
        <v>10000000</v>
      </c>
    </row>
    <row r="163" spans="1:20" ht="14.1" customHeight="1" thickBot="1" x14ac:dyDescent="0.35">
      <c r="A163" s="629"/>
      <c r="B163" s="489" t="s">
        <v>209</v>
      </c>
      <c r="C163" s="398"/>
      <c r="D163" s="397"/>
      <c r="E163" s="398"/>
      <c r="F163" s="400"/>
      <c r="G163" s="398"/>
      <c r="H163" s="400"/>
      <c r="I163" s="398"/>
      <c r="J163" s="400"/>
      <c r="K163" s="398"/>
      <c r="L163" s="420"/>
      <c r="M163" s="398"/>
      <c r="N163" s="397"/>
      <c r="O163" s="402"/>
      <c r="P163" s="421"/>
      <c r="Q163" s="6"/>
      <c r="R163" s="631"/>
      <c r="S163" s="363" t="s">
        <v>201</v>
      </c>
      <c r="T163" s="184">
        <f t="shared" si="14"/>
        <v>10000000</v>
      </c>
    </row>
    <row r="164" spans="1:20" ht="14.1" customHeight="1" x14ac:dyDescent="0.3">
      <c r="A164" s="611" t="s">
        <v>16</v>
      </c>
      <c r="B164" s="464" t="s">
        <v>36</v>
      </c>
      <c r="C164" s="386"/>
      <c r="D164" s="422"/>
      <c r="E164" s="386"/>
      <c r="F164" s="388"/>
      <c r="G164" s="386"/>
      <c r="H164" s="388"/>
      <c r="I164" s="386"/>
      <c r="J164" s="388"/>
      <c r="K164" s="386"/>
      <c r="L164" s="405"/>
      <c r="M164" s="386"/>
      <c r="N164" s="385"/>
      <c r="O164" s="390"/>
      <c r="P164" s="389"/>
      <c r="Q164" s="6"/>
      <c r="R164" s="611" t="s">
        <v>16</v>
      </c>
      <c r="S164" s="364" t="s">
        <v>36</v>
      </c>
      <c r="T164" s="182">
        <f t="shared" si="14"/>
        <v>30000000</v>
      </c>
    </row>
    <row r="165" spans="1:20" ht="14.1" customHeight="1" x14ac:dyDescent="0.3">
      <c r="A165" s="612"/>
      <c r="B165" s="465" t="s">
        <v>81</v>
      </c>
      <c r="C165" s="392"/>
      <c r="D165" s="423"/>
      <c r="E165" s="392"/>
      <c r="F165" s="424"/>
      <c r="G165" s="392"/>
      <c r="H165" s="394"/>
      <c r="I165" s="392"/>
      <c r="J165" s="394"/>
      <c r="K165" s="392"/>
      <c r="L165" s="425"/>
      <c r="M165" s="392"/>
      <c r="N165" s="391"/>
      <c r="O165" s="396"/>
      <c r="P165" s="395"/>
      <c r="Q165" s="6"/>
      <c r="R165" s="612"/>
      <c r="S165" s="365" t="s">
        <v>81</v>
      </c>
      <c r="T165" s="183">
        <f t="shared" si="14"/>
        <v>30000000</v>
      </c>
    </row>
    <row r="166" spans="1:20" ht="14.1" customHeight="1" x14ac:dyDescent="0.3">
      <c r="A166" s="612"/>
      <c r="B166" s="465" t="s">
        <v>78</v>
      </c>
      <c r="C166" s="392"/>
      <c r="D166" s="426"/>
      <c r="E166" s="392"/>
      <c r="F166" s="426"/>
      <c r="G166" s="392"/>
      <c r="H166" s="391"/>
      <c r="I166" s="392"/>
      <c r="J166" s="391"/>
      <c r="K166" s="392"/>
      <c r="L166" s="425"/>
      <c r="M166" s="392"/>
      <c r="N166" s="391"/>
      <c r="O166" s="396"/>
      <c r="P166" s="395"/>
      <c r="Q166" s="6"/>
      <c r="R166" s="612"/>
      <c r="S166" s="365" t="s">
        <v>78</v>
      </c>
      <c r="T166" s="183">
        <f t="shared" si="14"/>
        <v>100000000</v>
      </c>
    </row>
    <row r="167" spans="1:20" ht="14.1" customHeight="1" thickBot="1" x14ac:dyDescent="0.35">
      <c r="A167" s="613"/>
      <c r="B167" s="466" t="s">
        <v>87</v>
      </c>
      <c r="C167" s="398"/>
      <c r="D167" s="427"/>
      <c r="E167" s="398"/>
      <c r="F167" s="427"/>
      <c r="G167" s="392"/>
      <c r="H167" s="397"/>
      <c r="I167" s="392"/>
      <c r="J167" s="397"/>
      <c r="K167" s="392"/>
      <c r="L167" s="420"/>
      <c r="M167" s="398"/>
      <c r="N167" s="397"/>
      <c r="O167" s="402"/>
      <c r="P167" s="401"/>
      <c r="Q167" s="6"/>
      <c r="R167" s="613"/>
      <c r="S167" s="366" t="s">
        <v>87</v>
      </c>
      <c r="T167" s="184">
        <f t="shared" si="14"/>
        <v>100000000</v>
      </c>
    </row>
    <row r="168" spans="1:20" ht="14.1" customHeight="1" x14ac:dyDescent="0.3">
      <c r="A168" s="614" t="s">
        <v>47</v>
      </c>
      <c r="B168" s="467" t="s">
        <v>48</v>
      </c>
      <c r="C168" s="409"/>
      <c r="D168" s="428"/>
      <c r="E168" s="386"/>
      <c r="F168" s="388"/>
      <c r="G168" s="386"/>
      <c r="H168" s="385"/>
      <c r="I168" s="386"/>
      <c r="J168" s="385"/>
      <c r="K168" s="386"/>
      <c r="L168" s="405"/>
      <c r="M168" s="386"/>
      <c r="N168" s="385"/>
      <c r="O168" s="390"/>
      <c r="P168" s="389"/>
      <c r="Q168" s="6"/>
      <c r="R168" s="614" t="s">
        <v>47</v>
      </c>
      <c r="S168" s="367" t="s">
        <v>48</v>
      </c>
      <c r="T168" s="182">
        <f t="shared" si="14"/>
        <v>100000000</v>
      </c>
    </row>
    <row r="169" spans="1:20" ht="14.1" customHeight="1" x14ac:dyDescent="0.3">
      <c r="A169" s="615"/>
      <c r="B169" s="468" t="s">
        <v>44</v>
      </c>
      <c r="C169" s="392"/>
      <c r="D169" s="424"/>
      <c r="E169" s="392"/>
      <c r="F169" s="394"/>
      <c r="G169" s="392"/>
      <c r="H169" s="391"/>
      <c r="I169" s="392"/>
      <c r="J169" s="391"/>
      <c r="K169" s="392"/>
      <c r="L169" s="425"/>
      <c r="M169" s="392"/>
      <c r="N169" s="391"/>
      <c r="O169" s="396"/>
      <c r="P169" s="395"/>
      <c r="Q169" s="6"/>
      <c r="R169" s="615"/>
      <c r="S169" s="368" t="s">
        <v>44</v>
      </c>
      <c r="T169" s="183">
        <f t="shared" si="14"/>
        <v>0</v>
      </c>
    </row>
    <row r="170" spans="1:20" ht="14.1" customHeight="1" thickBot="1" x14ac:dyDescent="0.35">
      <c r="A170" s="616"/>
      <c r="B170" s="469" t="s">
        <v>54</v>
      </c>
      <c r="C170" s="398"/>
      <c r="D170" s="429"/>
      <c r="E170" s="398"/>
      <c r="F170" s="400"/>
      <c r="G170" s="398"/>
      <c r="H170" s="397"/>
      <c r="I170" s="398"/>
      <c r="J170" s="397"/>
      <c r="K170" s="398"/>
      <c r="L170" s="420"/>
      <c r="M170" s="398"/>
      <c r="N170" s="397"/>
      <c r="O170" s="430"/>
      <c r="P170" s="410"/>
      <c r="Q170" s="6"/>
      <c r="R170" s="616"/>
      <c r="S170" s="369" t="s">
        <v>54</v>
      </c>
      <c r="T170" s="184">
        <f t="shared" si="14"/>
        <v>1000000</v>
      </c>
    </row>
    <row r="171" spans="1:20" ht="14.1" customHeight="1" x14ac:dyDescent="0.3">
      <c r="A171" s="617" t="s">
        <v>39</v>
      </c>
      <c r="B171" s="470" t="s">
        <v>44</v>
      </c>
      <c r="C171" s="386"/>
      <c r="D171" s="403"/>
      <c r="E171" s="386"/>
      <c r="F171" s="404"/>
      <c r="G171" s="386"/>
      <c r="H171" s="406"/>
      <c r="I171" s="386"/>
      <c r="J171" s="406"/>
      <c r="K171" s="386"/>
      <c r="L171" s="405"/>
      <c r="M171" s="409"/>
      <c r="N171" s="406"/>
      <c r="O171" s="390"/>
      <c r="P171" s="389"/>
      <c r="Q171" s="6"/>
      <c r="R171" s="617" t="s">
        <v>39</v>
      </c>
      <c r="S171" s="480" t="s">
        <v>44</v>
      </c>
      <c r="T171" s="182">
        <f t="shared" si="14"/>
        <v>500000</v>
      </c>
    </row>
    <row r="172" spans="1:20" ht="14.1" customHeight="1" x14ac:dyDescent="0.3">
      <c r="A172" s="618"/>
      <c r="B172" s="470" t="s">
        <v>54</v>
      </c>
      <c r="C172" s="392"/>
      <c r="D172" s="426"/>
      <c r="E172" s="392"/>
      <c r="F172" s="394"/>
      <c r="G172" s="392"/>
      <c r="H172" s="391"/>
      <c r="I172" s="392"/>
      <c r="J172" s="391"/>
      <c r="K172" s="392"/>
      <c r="L172" s="425"/>
      <c r="M172" s="392"/>
      <c r="N172" s="406"/>
      <c r="O172" s="396"/>
      <c r="P172" s="395"/>
      <c r="Q172" s="6"/>
      <c r="R172" s="618"/>
      <c r="S172" s="480" t="s">
        <v>54</v>
      </c>
      <c r="T172" s="183">
        <f t="shared" si="14"/>
        <v>1300000</v>
      </c>
    </row>
    <row r="173" spans="1:20" ht="14.1" customHeight="1" x14ac:dyDescent="0.3">
      <c r="A173" s="618"/>
      <c r="B173" s="470" t="s">
        <v>204</v>
      </c>
      <c r="C173" s="392"/>
      <c r="D173" s="426"/>
      <c r="E173" s="392"/>
      <c r="F173" s="404"/>
      <c r="G173" s="392"/>
      <c r="H173" s="406"/>
      <c r="I173" s="392"/>
      <c r="J173" s="406"/>
      <c r="K173" s="392"/>
      <c r="L173" s="408"/>
      <c r="M173" s="392"/>
      <c r="N173" s="406"/>
      <c r="O173" s="396"/>
      <c r="P173" s="395"/>
      <c r="Q173" s="6"/>
      <c r="R173" s="618"/>
      <c r="S173" s="480" t="s">
        <v>204</v>
      </c>
      <c r="T173" s="183">
        <f t="shared" si="14"/>
        <v>10000000</v>
      </c>
    </row>
    <row r="174" spans="1:20" ht="14.1" customHeight="1" thickBot="1" x14ac:dyDescent="0.35">
      <c r="A174" s="618"/>
      <c r="B174" s="471" t="s">
        <v>113</v>
      </c>
      <c r="C174" s="411"/>
      <c r="D174" s="427"/>
      <c r="E174" s="411"/>
      <c r="F174" s="417"/>
      <c r="G174" s="411"/>
      <c r="H174" s="416"/>
      <c r="I174" s="411"/>
      <c r="J174" s="416"/>
      <c r="K174" s="411"/>
      <c r="L174" s="431"/>
      <c r="M174" s="411"/>
      <c r="N174" s="432"/>
      <c r="O174" s="433"/>
      <c r="P174" s="421"/>
      <c r="Q174" s="6"/>
      <c r="R174" s="618"/>
      <c r="S174" s="513" t="s">
        <v>113</v>
      </c>
      <c r="T174" s="184">
        <f t="shared" si="14"/>
        <v>0</v>
      </c>
    </row>
    <row r="175" spans="1:20" ht="14.1" customHeight="1" x14ac:dyDescent="0.3">
      <c r="A175" s="603" t="s">
        <v>215</v>
      </c>
      <c r="B175" s="472" t="s">
        <v>45</v>
      </c>
      <c r="C175" s="386"/>
      <c r="D175" s="403"/>
      <c r="E175" s="386"/>
      <c r="F175" s="388"/>
      <c r="G175" s="386"/>
      <c r="H175" s="385"/>
      <c r="I175" s="386"/>
      <c r="J175" s="385"/>
      <c r="K175" s="386"/>
      <c r="L175" s="405"/>
      <c r="M175" s="386"/>
      <c r="N175" s="385"/>
      <c r="O175" s="390"/>
      <c r="P175" s="389"/>
      <c r="Q175" s="6"/>
      <c r="R175" s="603" t="s">
        <v>215</v>
      </c>
      <c r="S175" s="483" t="s">
        <v>45</v>
      </c>
      <c r="T175" s="182">
        <f t="shared" si="14"/>
        <v>700000</v>
      </c>
    </row>
    <row r="176" spans="1:20" ht="14.1" customHeight="1" thickBot="1" x14ac:dyDescent="0.35">
      <c r="A176" s="604"/>
      <c r="B176" s="482" t="s">
        <v>42</v>
      </c>
      <c r="C176" s="435"/>
      <c r="D176" s="434"/>
      <c r="E176" s="435"/>
      <c r="F176" s="400"/>
      <c r="G176" s="435"/>
      <c r="H176" s="397"/>
      <c r="I176" s="435"/>
      <c r="J176" s="397"/>
      <c r="K176" s="435"/>
      <c r="L176" s="436"/>
      <c r="M176" s="435"/>
      <c r="N176" s="437"/>
      <c r="O176" s="438"/>
      <c r="P176" s="401"/>
      <c r="Q176" s="6"/>
      <c r="R176" s="604"/>
      <c r="S176" s="503" t="s">
        <v>42</v>
      </c>
      <c r="T176" s="184">
        <f t="shared" si="14"/>
        <v>200000</v>
      </c>
    </row>
    <row r="177" spans="1:20" ht="14.1" customHeight="1" x14ac:dyDescent="0.3">
      <c r="A177" s="605" t="s">
        <v>206</v>
      </c>
      <c r="B177" s="484" t="s">
        <v>207</v>
      </c>
      <c r="C177" s="412"/>
      <c r="D177" s="439"/>
      <c r="E177" s="412"/>
      <c r="F177" s="417"/>
      <c r="G177" s="412"/>
      <c r="H177" s="416"/>
      <c r="I177" s="412"/>
      <c r="J177" s="416"/>
      <c r="K177" s="412"/>
      <c r="L177" s="418"/>
      <c r="M177" s="412"/>
      <c r="N177" s="416"/>
      <c r="O177" s="419"/>
      <c r="P177" s="414"/>
      <c r="Q177" s="6"/>
      <c r="R177" s="605" t="s">
        <v>206</v>
      </c>
      <c r="S177" s="486" t="s">
        <v>207</v>
      </c>
      <c r="T177" s="182">
        <f t="shared" si="14"/>
        <v>0</v>
      </c>
    </row>
    <row r="178" spans="1:20" ht="14.1" customHeight="1" thickBot="1" x14ac:dyDescent="0.35">
      <c r="A178" s="606"/>
      <c r="B178" s="485" t="s">
        <v>208</v>
      </c>
      <c r="C178" s="412"/>
      <c r="D178" s="439"/>
      <c r="E178" s="412"/>
      <c r="F178" s="417"/>
      <c r="G178" s="412"/>
      <c r="H178" s="416"/>
      <c r="I178" s="412"/>
      <c r="J178" s="416"/>
      <c r="K178" s="412"/>
      <c r="L178" s="418"/>
      <c r="M178" s="412"/>
      <c r="N178" s="416"/>
      <c r="O178" s="419"/>
      <c r="P178" s="414"/>
      <c r="Q178" s="6"/>
      <c r="R178" s="607"/>
      <c r="S178" s="559" t="s">
        <v>208</v>
      </c>
      <c r="T178" s="184">
        <f t="shared" si="14"/>
        <v>0</v>
      </c>
    </row>
    <row r="179" spans="1:20" ht="14.1" customHeight="1" x14ac:dyDescent="0.3">
      <c r="A179" s="608" t="s">
        <v>125</v>
      </c>
      <c r="B179" s="473" t="s">
        <v>126</v>
      </c>
      <c r="C179" s="386"/>
      <c r="D179" s="422"/>
      <c r="E179" s="386"/>
      <c r="F179" s="388"/>
      <c r="G179" s="386"/>
      <c r="H179" s="405"/>
      <c r="I179" s="386"/>
      <c r="J179" s="385"/>
      <c r="K179" s="386"/>
      <c r="L179" s="405"/>
      <c r="M179" s="386"/>
      <c r="N179" s="385"/>
      <c r="O179" s="390"/>
      <c r="P179" s="389"/>
      <c r="Q179" s="6"/>
      <c r="R179" s="610" t="s">
        <v>125</v>
      </c>
      <c r="S179" s="562" t="s">
        <v>126</v>
      </c>
      <c r="T179" s="182">
        <f t="shared" si="14"/>
        <v>0</v>
      </c>
    </row>
    <row r="180" spans="1:20" ht="14.1" customHeight="1" x14ac:dyDescent="0.3">
      <c r="A180" s="608"/>
      <c r="B180" s="474" t="s">
        <v>127</v>
      </c>
      <c r="C180" s="412"/>
      <c r="D180" s="439"/>
      <c r="E180" s="412"/>
      <c r="F180" s="404"/>
      <c r="G180" s="412"/>
      <c r="H180" s="408"/>
      <c r="I180" s="412"/>
      <c r="J180" s="406"/>
      <c r="K180" s="412"/>
      <c r="L180" s="418"/>
      <c r="M180" s="412"/>
      <c r="N180" s="416"/>
      <c r="O180" s="419"/>
      <c r="P180" s="414"/>
      <c r="Q180" s="6"/>
      <c r="R180" s="608"/>
      <c r="S180" s="504" t="s">
        <v>127</v>
      </c>
      <c r="T180" s="183">
        <f t="shared" si="14"/>
        <v>0</v>
      </c>
    </row>
    <row r="181" spans="1:20" ht="14.1" customHeight="1" thickBot="1" x14ac:dyDescent="0.35">
      <c r="A181" s="609"/>
      <c r="B181" s="475" t="s">
        <v>128</v>
      </c>
      <c r="C181" s="398"/>
      <c r="D181" s="440"/>
      <c r="E181" s="398"/>
      <c r="F181" s="404"/>
      <c r="G181" s="398"/>
      <c r="H181" s="408"/>
      <c r="I181" s="398"/>
      <c r="J181" s="406"/>
      <c r="K181" s="398"/>
      <c r="L181" s="420"/>
      <c r="M181" s="398"/>
      <c r="N181" s="397"/>
      <c r="O181" s="402"/>
      <c r="P181" s="401"/>
      <c r="Q181" s="6"/>
      <c r="R181" s="609"/>
      <c r="S181" s="505" t="s">
        <v>128</v>
      </c>
      <c r="T181" s="184">
        <f t="shared" si="14"/>
        <v>0</v>
      </c>
    </row>
    <row r="182" spans="1:20" ht="14.1" customHeight="1" x14ac:dyDescent="0.3">
      <c r="A182" s="582" t="s">
        <v>52</v>
      </c>
      <c r="B182" s="476" t="s">
        <v>41</v>
      </c>
      <c r="C182" s="386"/>
      <c r="D182" s="441"/>
      <c r="E182" s="390"/>
      <c r="F182" s="388"/>
      <c r="G182" s="386"/>
      <c r="H182" s="405"/>
      <c r="I182" s="386"/>
      <c r="J182" s="385"/>
      <c r="K182" s="386"/>
      <c r="L182" s="405"/>
      <c r="M182" s="386"/>
      <c r="N182" s="385"/>
      <c r="O182" s="396"/>
      <c r="P182" s="389"/>
      <c r="Q182" s="6"/>
      <c r="R182" s="582" t="s">
        <v>52</v>
      </c>
      <c r="S182" s="377" t="s">
        <v>41</v>
      </c>
      <c r="T182" s="182">
        <f t="shared" si="14"/>
        <v>30000000</v>
      </c>
    </row>
    <row r="183" spans="1:20" ht="14.1" customHeight="1" x14ac:dyDescent="0.3">
      <c r="A183" s="583"/>
      <c r="B183" s="476" t="s">
        <v>11</v>
      </c>
      <c r="C183" s="392"/>
      <c r="D183" s="442"/>
      <c r="E183" s="396"/>
      <c r="F183" s="394"/>
      <c r="G183" s="392"/>
      <c r="H183" s="425"/>
      <c r="I183" s="392"/>
      <c r="J183" s="443"/>
      <c r="K183" s="392"/>
      <c r="L183" s="425"/>
      <c r="M183" s="392"/>
      <c r="N183" s="391"/>
      <c r="O183" s="396"/>
      <c r="P183" s="395"/>
      <c r="Q183" s="6"/>
      <c r="R183" s="583"/>
      <c r="S183" s="377" t="s">
        <v>11</v>
      </c>
      <c r="T183" s="183">
        <f t="shared" si="14"/>
        <v>30000000</v>
      </c>
    </row>
    <row r="184" spans="1:20" ht="14.1" customHeight="1" thickBot="1" x14ac:dyDescent="0.35">
      <c r="A184" s="584"/>
      <c r="B184" s="477" t="s">
        <v>27</v>
      </c>
      <c r="C184" s="409"/>
      <c r="D184" s="423"/>
      <c r="E184" s="430"/>
      <c r="F184" s="404"/>
      <c r="G184" s="409"/>
      <c r="H184" s="408"/>
      <c r="I184" s="409"/>
      <c r="J184" s="391"/>
      <c r="K184" s="409"/>
      <c r="L184" s="408"/>
      <c r="M184" s="409"/>
      <c r="N184" s="406"/>
      <c r="O184" s="396"/>
      <c r="P184" s="395"/>
      <c r="Q184" s="6"/>
      <c r="R184" s="584"/>
      <c r="S184" s="378" t="s">
        <v>27</v>
      </c>
      <c r="T184" s="184">
        <f t="shared" si="14"/>
        <v>200000000</v>
      </c>
    </row>
    <row r="185" spans="1:20" ht="14.1" customHeight="1" thickBot="1" x14ac:dyDescent="0.35">
      <c r="A185" s="585" t="s">
        <v>30</v>
      </c>
      <c r="B185" s="586"/>
      <c r="C185" s="445"/>
      <c r="D185" s="444"/>
      <c r="E185" s="445"/>
      <c r="F185" s="446"/>
      <c r="G185" s="445"/>
      <c r="H185" s="447"/>
      <c r="I185" s="445"/>
      <c r="J185" s="448"/>
      <c r="K185" s="445"/>
      <c r="L185" s="447"/>
      <c r="M185" s="445"/>
      <c r="N185" s="448"/>
      <c r="O185" s="449"/>
      <c r="P185" s="450"/>
      <c r="Q185" s="6"/>
      <c r="R185" s="585" t="s">
        <v>30</v>
      </c>
      <c r="S185" s="587"/>
      <c r="T185" s="184">
        <f t="shared" si="14"/>
        <v>100000000</v>
      </c>
    </row>
    <row r="186" spans="1:20" ht="14.1" customHeight="1" x14ac:dyDescent="0.3">
      <c r="A186" s="588" t="s">
        <v>38</v>
      </c>
      <c r="B186" s="589"/>
      <c r="C186" s="451"/>
      <c r="D186" s="385"/>
      <c r="E186" s="451"/>
      <c r="F186" s="391"/>
      <c r="G186" s="451"/>
      <c r="H186" s="405"/>
      <c r="I186" s="451"/>
      <c r="J186" s="452"/>
      <c r="K186" s="453"/>
      <c r="L186" s="405"/>
      <c r="M186" s="451"/>
      <c r="N186" s="408"/>
      <c r="O186" s="451"/>
      <c r="P186" s="389"/>
      <c r="Q186" s="6"/>
      <c r="R186" s="594" t="s">
        <v>38</v>
      </c>
      <c r="S186" s="597"/>
      <c r="T186" s="598"/>
    </row>
    <row r="187" spans="1:20" ht="14.1" customHeight="1" x14ac:dyDescent="0.3">
      <c r="A187" s="590"/>
      <c r="B187" s="591"/>
      <c r="C187" s="453"/>
      <c r="D187" s="391"/>
      <c r="E187" s="453"/>
      <c r="F187" s="406"/>
      <c r="G187" s="453"/>
      <c r="H187" s="425"/>
      <c r="I187" s="453"/>
      <c r="J187" s="391"/>
      <c r="K187" s="454"/>
      <c r="L187" s="425"/>
      <c r="M187" s="453"/>
      <c r="N187" s="425"/>
      <c r="O187" s="453"/>
      <c r="P187" s="395"/>
      <c r="Q187" s="6"/>
      <c r="R187" s="595"/>
      <c r="S187" s="599"/>
      <c r="T187" s="600"/>
    </row>
    <row r="188" spans="1:20" ht="14.1" customHeight="1" x14ac:dyDescent="0.3">
      <c r="A188" s="590"/>
      <c r="B188" s="591"/>
      <c r="C188" s="453"/>
      <c r="D188" s="391"/>
      <c r="E188" s="453"/>
      <c r="F188" s="406"/>
      <c r="G188" s="453"/>
      <c r="H188" s="425"/>
      <c r="I188" s="453"/>
      <c r="J188" s="406"/>
      <c r="K188" s="453"/>
      <c r="L188" s="391"/>
      <c r="M188" s="453"/>
      <c r="N188" s="408"/>
      <c r="O188" s="453"/>
      <c r="P188" s="395"/>
      <c r="Q188" s="6"/>
      <c r="R188" s="595"/>
      <c r="S188" s="599"/>
      <c r="T188" s="600"/>
    </row>
    <row r="189" spans="1:20" ht="14.1" customHeight="1" thickBot="1" x14ac:dyDescent="0.35">
      <c r="A189" s="592"/>
      <c r="B189" s="593"/>
      <c r="C189" s="455"/>
      <c r="D189" s="397"/>
      <c r="E189" s="455"/>
      <c r="F189" s="456"/>
      <c r="G189" s="455"/>
      <c r="H189" s="420"/>
      <c r="I189" s="455"/>
      <c r="J189" s="400"/>
      <c r="K189" s="455"/>
      <c r="L189" s="400"/>
      <c r="M189" s="455"/>
      <c r="N189" s="397"/>
      <c r="O189" s="455"/>
      <c r="P189" s="401"/>
      <c r="Q189" s="6"/>
      <c r="R189" s="596"/>
      <c r="S189" s="601"/>
      <c r="T189" s="602"/>
    </row>
    <row r="190" spans="1:20" ht="21" customHeight="1" x14ac:dyDescent="0.3">
      <c r="A190" s="652" t="str">
        <f>A127</f>
        <v>홍길동 보장분석</v>
      </c>
      <c r="B190" s="653"/>
      <c r="C190" s="649"/>
      <c r="D190" s="649"/>
      <c r="E190" s="649"/>
      <c r="F190" s="649"/>
      <c r="G190" s="649"/>
      <c r="H190" s="649"/>
      <c r="I190" s="649"/>
      <c r="J190" s="649"/>
      <c r="K190" s="649"/>
      <c r="L190" s="649"/>
      <c r="M190" s="649"/>
      <c r="N190" s="649"/>
      <c r="O190" s="649"/>
      <c r="P190" s="649"/>
      <c r="Q190" s="138"/>
      <c r="R190" s="650" t="s">
        <v>15</v>
      </c>
      <c r="S190" s="651"/>
      <c r="T190" s="137">
        <f ca="1">T127</f>
        <v>46140</v>
      </c>
    </row>
    <row r="191" spans="1:20" ht="14.1" customHeight="1" x14ac:dyDescent="0.3">
      <c r="A191" s="647" t="s">
        <v>49</v>
      </c>
      <c r="B191" s="648"/>
      <c r="C191" s="645"/>
      <c r="D191" s="645"/>
      <c r="E191" s="645"/>
      <c r="F191" s="645"/>
      <c r="G191" s="645"/>
      <c r="H191" s="645"/>
      <c r="I191" s="645"/>
      <c r="J191" s="645"/>
      <c r="K191" s="645"/>
      <c r="L191" s="645"/>
      <c r="M191" s="645"/>
      <c r="N191" s="645"/>
      <c r="O191" s="645"/>
      <c r="P191" s="645"/>
      <c r="Q191" s="25"/>
      <c r="R191" s="654"/>
      <c r="S191" s="655"/>
      <c r="T191" s="656"/>
    </row>
    <row r="192" spans="1:20" ht="14.1" customHeight="1" x14ac:dyDescent="0.3">
      <c r="A192" s="637" t="s">
        <v>28</v>
      </c>
      <c r="B192" s="638"/>
      <c r="C192" s="645"/>
      <c r="D192" s="645"/>
      <c r="E192" s="645"/>
      <c r="F192" s="645"/>
      <c r="G192" s="645"/>
      <c r="H192" s="645"/>
      <c r="I192" s="645"/>
      <c r="J192" s="645"/>
      <c r="K192" s="645"/>
      <c r="L192" s="645"/>
      <c r="M192" s="645"/>
      <c r="N192" s="645"/>
      <c r="O192" s="646"/>
      <c r="P192" s="646"/>
      <c r="Q192" s="25"/>
      <c r="R192" s="657"/>
      <c r="S192" s="658"/>
      <c r="T192" s="659"/>
    </row>
    <row r="193" spans="1:20" ht="14.1" customHeight="1" x14ac:dyDescent="0.3">
      <c r="A193" s="647" t="s">
        <v>17</v>
      </c>
      <c r="B193" s="648"/>
      <c r="C193" s="646"/>
      <c r="D193" s="645"/>
      <c r="E193" s="646"/>
      <c r="F193" s="646"/>
      <c r="G193" s="646"/>
      <c r="H193" s="646"/>
      <c r="I193" s="646"/>
      <c r="J193" s="645"/>
      <c r="K193" s="646"/>
      <c r="L193" s="645"/>
      <c r="M193" s="646"/>
      <c r="N193" s="645"/>
      <c r="O193" s="646"/>
      <c r="P193" s="646"/>
      <c r="Q193" s="25"/>
      <c r="R193" s="657"/>
      <c r="S193" s="658"/>
      <c r="T193" s="659"/>
    </row>
    <row r="194" spans="1:20" ht="14.1" customHeight="1" x14ac:dyDescent="0.3">
      <c r="A194" s="647" t="s">
        <v>23</v>
      </c>
      <c r="B194" s="648"/>
      <c r="C194" s="383"/>
      <c r="D194" s="382"/>
      <c r="E194" s="383"/>
      <c r="F194" s="382">
        <f ca="1">IF(DATEDIF(E193,$T$1,"m")&lt;E194*12,DATEDIF(E193,$T$1,"m"),E194*12)</f>
        <v>0</v>
      </c>
      <c r="G194" s="383"/>
      <c r="H194" s="382">
        <f ca="1">IF(DATEDIF(G193,$T$1,"m")&lt;G194*12,DATEDIF(G193,$T$1,"m"),G194*12)</f>
        <v>0</v>
      </c>
      <c r="I194" s="383"/>
      <c r="J194" s="382">
        <f ca="1">IF(DATEDIF(I193,$T$1,"m")&lt;I194*12,DATEDIF(I193,$T$1,"m"),I194*12)</f>
        <v>0</v>
      </c>
      <c r="K194" s="383"/>
      <c r="L194" s="382">
        <f ca="1">IF(DATEDIF(K193,$T$1,"m")&lt;K194*12,DATEDIF(K193,$T$1,"m"),K194*12)</f>
        <v>0</v>
      </c>
      <c r="M194" s="383"/>
      <c r="N194" s="384">
        <f ca="1">IF(DATEDIF(M193,$T$1,"m")&lt;M194*12,DATEDIF(M193,$T$1,"m"),M194*12)</f>
        <v>0</v>
      </c>
      <c r="O194" s="383"/>
      <c r="P194" s="382">
        <f ca="1">IF(DATEDIF(O193,$T$1,"m")&lt;O194*12,DATEDIF(O193,$T$1,"m"),O194*12)</f>
        <v>0</v>
      </c>
      <c r="Q194" s="25"/>
      <c r="R194" s="657"/>
      <c r="S194" s="658"/>
      <c r="T194" s="659"/>
    </row>
    <row r="195" spans="1:20" ht="14.1" customHeight="1" x14ac:dyDescent="0.3">
      <c r="A195" s="647" t="s">
        <v>2</v>
      </c>
      <c r="B195" s="648"/>
      <c r="C195" s="645"/>
      <c r="D195" s="645"/>
      <c r="E195" s="645"/>
      <c r="F195" s="645"/>
      <c r="G195" s="645"/>
      <c r="H195" s="645"/>
      <c r="I195" s="645"/>
      <c r="J195" s="645"/>
      <c r="K195" s="645"/>
      <c r="L195" s="645"/>
      <c r="M195" s="645"/>
      <c r="N195" s="645"/>
      <c r="O195" s="645"/>
      <c r="P195" s="645"/>
      <c r="Q195" s="25"/>
      <c r="R195" s="660"/>
      <c r="S195" s="661"/>
      <c r="T195" s="662"/>
    </row>
    <row r="196" spans="1:20" ht="14.1" customHeight="1" x14ac:dyDescent="0.3">
      <c r="A196" s="632" t="s">
        <v>37</v>
      </c>
      <c r="B196" s="633"/>
      <c r="C196" s="642"/>
      <c r="D196" s="642"/>
      <c r="E196" s="642"/>
      <c r="F196" s="642"/>
      <c r="G196" s="642"/>
      <c r="H196" s="642"/>
      <c r="I196" s="642"/>
      <c r="J196" s="642"/>
      <c r="K196" s="642"/>
      <c r="L196" s="642"/>
      <c r="M196" s="642"/>
      <c r="N196" s="642"/>
      <c r="O196" s="642"/>
      <c r="P196" s="642"/>
      <c r="Q196" s="25"/>
      <c r="R196" s="643"/>
      <c r="S196" s="644"/>
      <c r="T196" s="27" t="s">
        <v>91</v>
      </c>
    </row>
    <row r="197" spans="1:20" ht="14.1" customHeight="1" x14ac:dyDescent="0.3">
      <c r="A197" s="639" t="s">
        <v>12</v>
      </c>
      <c r="B197" s="640"/>
      <c r="C197" s="641"/>
      <c r="D197" s="641"/>
      <c r="E197" s="641"/>
      <c r="F197" s="641"/>
      <c r="G197" s="641"/>
      <c r="H197" s="641"/>
      <c r="I197" s="641"/>
      <c r="J197" s="641"/>
      <c r="K197" s="641"/>
      <c r="L197" s="641"/>
      <c r="M197" s="641"/>
      <c r="N197" s="641"/>
      <c r="O197" s="641"/>
      <c r="P197" s="641"/>
      <c r="Q197" s="26"/>
      <c r="R197" s="635" t="s">
        <v>34</v>
      </c>
      <c r="S197" s="636"/>
      <c r="T197" s="60">
        <f>T134+C197+E197+G197+I197+K197+O197</f>
        <v>167593</v>
      </c>
    </row>
    <row r="198" spans="1:20" ht="14.1" customHeight="1" x14ac:dyDescent="0.3">
      <c r="A198" s="637" t="s">
        <v>3</v>
      </c>
      <c r="B198" s="638"/>
      <c r="C198" s="634"/>
      <c r="D198" s="634"/>
      <c r="E198" s="634">
        <f>E197*E194*12</f>
        <v>0</v>
      </c>
      <c r="F198" s="634"/>
      <c r="G198" s="634">
        <f>G197*G194*12</f>
        <v>0</v>
      </c>
      <c r="H198" s="634"/>
      <c r="I198" s="634">
        <f>I197*I194*12</f>
        <v>0</v>
      </c>
      <c r="J198" s="634"/>
      <c r="K198" s="634">
        <f>K197*K194*12</f>
        <v>0</v>
      </c>
      <c r="L198" s="634"/>
      <c r="M198" s="634">
        <f>M197*M194*12</f>
        <v>0</v>
      </c>
      <c r="N198" s="634"/>
      <c r="O198" s="634">
        <f>O197*O194*12</f>
        <v>0</v>
      </c>
      <c r="P198" s="634"/>
      <c r="Q198" s="26"/>
      <c r="R198" s="635" t="s">
        <v>33</v>
      </c>
      <c r="S198" s="636"/>
      <c r="T198" s="51">
        <f>T135+C198+E198+G198+I198+K198+O198</f>
        <v>45652620</v>
      </c>
    </row>
    <row r="199" spans="1:20" ht="14.1" customHeight="1" x14ac:dyDescent="0.3">
      <c r="A199" s="637" t="s">
        <v>4</v>
      </c>
      <c r="B199" s="638"/>
      <c r="C199" s="634"/>
      <c r="D199" s="634"/>
      <c r="E199" s="634">
        <f ca="1">E197*F194</f>
        <v>0</v>
      </c>
      <c r="F199" s="634"/>
      <c r="G199" s="634">
        <f ca="1">G197*H194</f>
        <v>0</v>
      </c>
      <c r="H199" s="634"/>
      <c r="I199" s="634">
        <f ca="1">I197*J194</f>
        <v>0</v>
      </c>
      <c r="J199" s="634"/>
      <c r="K199" s="634">
        <f ca="1">K197*L194</f>
        <v>0</v>
      </c>
      <c r="L199" s="634"/>
      <c r="M199" s="634">
        <f ca="1">M197*N194</f>
        <v>0</v>
      </c>
      <c r="N199" s="634"/>
      <c r="O199" s="634">
        <f ca="1">O197*P194</f>
        <v>0</v>
      </c>
      <c r="P199" s="634"/>
      <c r="Q199" s="26"/>
      <c r="R199" s="635" t="s">
        <v>31</v>
      </c>
      <c r="S199" s="636"/>
      <c r="T199" s="51">
        <f ca="1">T136+C199+E199+G199+I199+K199+O199</f>
        <v>2385666</v>
      </c>
    </row>
    <row r="200" spans="1:20" ht="14.1" customHeight="1" thickBot="1" x14ac:dyDescent="0.35">
      <c r="A200" s="632" t="s">
        <v>18</v>
      </c>
      <c r="B200" s="633"/>
      <c r="C200" s="634"/>
      <c r="D200" s="634"/>
      <c r="E200" s="634">
        <f ca="1">E198-E199</f>
        <v>0</v>
      </c>
      <c r="F200" s="634"/>
      <c r="G200" s="634">
        <f ca="1">G198-G199</f>
        <v>0</v>
      </c>
      <c r="H200" s="634"/>
      <c r="I200" s="634">
        <f ca="1">I198-I199</f>
        <v>0</v>
      </c>
      <c r="J200" s="634"/>
      <c r="K200" s="634">
        <f ca="1">K198-K199</f>
        <v>0</v>
      </c>
      <c r="L200" s="634"/>
      <c r="M200" s="634">
        <f ca="1">M198-M199</f>
        <v>0</v>
      </c>
      <c r="N200" s="634"/>
      <c r="O200" s="634">
        <f ca="1">O198-O199</f>
        <v>0</v>
      </c>
      <c r="P200" s="634"/>
      <c r="Q200" s="26"/>
      <c r="R200" s="619" t="s">
        <v>35</v>
      </c>
      <c r="S200" s="620"/>
      <c r="T200" s="52">
        <f ca="1">T137+C200+E200+G200+I200+K200+O200</f>
        <v>43266954</v>
      </c>
    </row>
    <row r="201" spans="1:20" ht="14.1" customHeight="1" x14ac:dyDescent="0.3">
      <c r="A201" s="621" t="s">
        <v>202</v>
      </c>
      <c r="B201" s="457" t="s">
        <v>149</v>
      </c>
      <c r="C201" s="386"/>
      <c r="D201" s="385"/>
      <c r="E201" s="386"/>
      <c r="F201" s="387"/>
      <c r="G201" s="386"/>
      <c r="H201" s="388"/>
      <c r="I201" s="386"/>
      <c r="J201" s="388"/>
      <c r="K201" s="386"/>
      <c r="L201" s="385"/>
      <c r="M201" s="386"/>
      <c r="N201" s="389"/>
      <c r="O201" s="390"/>
      <c r="P201" s="389"/>
      <c r="Q201" s="6"/>
      <c r="R201" s="621" t="s">
        <v>202</v>
      </c>
      <c r="S201" s="352" t="s">
        <v>149</v>
      </c>
      <c r="T201" s="182">
        <f t="shared" ref="T201:T248" si="15">T138+C201+E201+G201+I201+K201+M201+O201</f>
        <v>50000000</v>
      </c>
    </row>
    <row r="202" spans="1:20" ht="14.1" customHeight="1" x14ac:dyDescent="0.3">
      <c r="A202" s="622"/>
      <c r="B202" s="458" t="s">
        <v>150</v>
      </c>
      <c r="C202" s="392"/>
      <c r="D202" s="391"/>
      <c r="E202" s="392"/>
      <c r="F202" s="393"/>
      <c r="G202" s="392"/>
      <c r="H202" s="394"/>
      <c r="I202" s="392"/>
      <c r="J202" s="394"/>
      <c r="K202" s="392"/>
      <c r="L202" s="391"/>
      <c r="M202" s="392"/>
      <c r="N202" s="395"/>
      <c r="O202" s="396"/>
      <c r="P202" s="395"/>
      <c r="Q202" s="6"/>
      <c r="R202" s="622"/>
      <c r="S202" s="353" t="s">
        <v>150</v>
      </c>
      <c r="T202" s="183">
        <f t="shared" si="15"/>
        <v>200000</v>
      </c>
    </row>
    <row r="203" spans="1:20" ht="14.1" customHeight="1" x14ac:dyDescent="0.3">
      <c r="A203" s="622"/>
      <c r="B203" s="458" t="s">
        <v>151</v>
      </c>
      <c r="C203" s="392"/>
      <c r="D203" s="391"/>
      <c r="E203" s="392"/>
      <c r="F203" s="393"/>
      <c r="G203" s="392"/>
      <c r="H203" s="394"/>
      <c r="I203" s="392"/>
      <c r="J203" s="394"/>
      <c r="K203" s="392"/>
      <c r="L203" s="391"/>
      <c r="M203" s="392"/>
      <c r="N203" s="395"/>
      <c r="O203" s="396"/>
      <c r="P203" s="395"/>
      <c r="Q203" s="6"/>
      <c r="R203" s="622"/>
      <c r="S203" s="353" t="s">
        <v>151</v>
      </c>
      <c r="T203" s="183">
        <f t="shared" si="15"/>
        <v>50000000</v>
      </c>
    </row>
    <row r="204" spans="1:20" ht="14.1" customHeight="1" x14ac:dyDescent="0.3">
      <c r="A204" s="622"/>
      <c r="B204" s="458" t="s">
        <v>148</v>
      </c>
      <c r="C204" s="392"/>
      <c r="D204" s="391"/>
      <c r="E204" s="392"/>
      <c r="F204" s="393"/>
      <c r="G204" s="392"/>
      <c r="H204" s="394"/>
      <c r="I204" s="392"/>
      <c r="J204" s="394"/>
      <c r="K204" s="392"/>
      <c r="L204" s="391"/>
      <c r="M204" s="392"/>
      <c r="N204" s="395"/>
      <c r="O204" s="396"/>
      <c r="P204" s="395"/>
      <c r="Q204" s="6"/>
      <c r="R204" s="622"/>
      <c r="S204" s="353" t="s">
        <v>148</v>
      </c>
      <c r="T204" s="183">
        <f t="shared" si="15"/>
        <v>200000</v>
      </c>
    </row>
    <row r="205" spans="1:20" ht="14.1" customHeight="1" thickBot="1" x14ac:dyDescent="0.35">
      <c r="A205" s="623"/>
      <c r="B205" s="459" t="s">
        <v>89</v>
      </c>
      <c r="C205" s="398"/>
      <c r="D205" s="397"/>
      <c r="E205" s="398"/>
      <c r="F205" s="399"/>
      <c r="G205" s="398"/>
      <c r="H205" s="400"/>
      <c r="I205" s="398"/>
      <c r="J205" s="400"/>
      <c r="K205" s="398"/>
      <c r="L205" s="397"/>
      <c r="M205" s="398"/>
      <c r="N205" s="401"/>
      <c r="O205" s="402"/>
      <c r="P205" s="401"/>
      <c r="Q205" s="6"/>
      <c r="R205" s="623"/>
      <c r="S205" s="354" t="s">
        <v>89</v>
      </c>
      <c r="T205" s="184">
        <f t="shared" si="15"/>
        <v>3500000</v>
      </c>
    </row>
    <row r="206" spans="1:20" ht="14.1" customHeight="1" x14ac:dyDescent="0.3">
      <c r="A206" s="624" t="s">
        <v>50</v>
      </c>
      <c r="B206" s="460" t="s">
        <v>203</v>
      </c>
      <c r="C206" s="386"/>
      <c r="D206" s="403"/>
      <c r="E206" s="386"/>
      <c r="F206" s="388"/>
      <c r="G206" s="386"/>
      <c r="H206" s="388"/>
      <c r="I206" s="386"/>
      <c r="J206" s="388"/>
      <c r="K206" s="386"/>
      <c r="L206" s="405"/>
      <c r="M206" s="386"/>
      <c r="N206" s="385"/>
      <c r="O206" s="386"/>
      <c r="P206" s="389"/>
      <c r="Q206" s="6"/>
      <c r="R206" s="626" t="s">
        <v>50</v>
      </c>
      <c r="S206" s="490" t="s">
        <v>168</v>
      </c>
      <c r="T206" s="182">
        <f t="shared" si="15"/>
        <v>50000000</v>
      </c>
    </row>
    <row r="207" spans="1:20" ht="14.1" customHeight="1" x14ac:dyDescent="0.3">
      <c r="A207" s="625"/>
      <c r="B207" s="481" t="s">
        <v>205</v>
      </c>
      <c r="C207" s="392"/>
      <c r="D207" s="407"/>
      <c r="E207" s="392"/>
      <c r="F207" s="404"/>
      <c r="G207" s="392"/>
      <c r="H207" s="404"/>
      <c r="I207" s="392"/>
      <c r="J207" s="404"/>
      <c r="K207" s="392"/>
      <c r="L207" s="408"/>
      <c r="M207" s="392"/>
      <c r="N207" s="406"/>
      <c r="O207" s="409"/>
      <c r="P207" s="410"/>
      <c r="Q207" s="6"/>
      <c r="R207" s="627"/>
      <c r="S207" s="491" t="s">
        <v>205</v>
      </c>
      <c r="T207" s="183">
        <f t="shared" si="15"/>
        <v>10000000</v>
      </c>
    </row>
    <row r="208" spans="1:20" ht="14.1" customHeight="1" thickBot="1" x14ac:dyDescent="0.35">
      <c r="A208" s="625"/>
      <c r="B208" s="553" t="s">
        <v>211</v>
      </c>
      <c r="C208" s="398"/>
      <c r="D208" s="564"/>
      <c r="E208" s="398"/>
      <c r="F208" s="534"/>
      <c r="G208" s="398"/>
      <c r="H208" s="534"/>
      <c r="I208" s="398"/>
      <c r="J208" s="534"/>
      <c r="K208" s="398"/>
      <c r="L208" s="436"/>
      <c r="M208" s="435"/>
      <c r="N208" s="437"/>
      <c r="O208" s="435"/>
      <c r="P208" s="565"/>
      <c r="Q208" s="6"/>
      <c r="R208" s="627"/>
      <c r="S208" s="566" t="s">
        <v>211</v>
      </c>
      <c r="T208" s="183">
        <f t="shared" si="15"/>
        <v>0</v>
      </c>
    </row>
    <row r="209" spans="1:20" ht="14.1" customHeight="1" x14ac:dyDescent="0.3">
      <c r="A209" s="625"/>
      <c r="B209" s="554" t="s">
        <v>163</v>
      </c>
      <c r="C209" s="409"/>
      <c r="D209" s="407"/>
      <c r="E209" s="409"/>
      <c r="F209" s="404"/>
      <c r="G209" s="409"/>
      <c r="H209" s="404"/>
      <c r="I209" s="409"/>
      <c r="J209" s="404"/>
      <c r="K209" s="409"/>
      <c r="L209" s="408"/>
      <c r="M209" s="409"/>
      <c r="N209" s="406"/>
      <c r="O209" s="409"/>
      <c r="P209" s="410"/>
      <c r="Q209" s="6"/>
      <c r="R209" s="627"/>
      <c r="S209" s="343" t="s">
        <v>163</v>
      </c>
      <c r="T209" s="182">
        <f t="shared" si="15"/>
        <v>10000000</v>
      </c>
    </row>
    <row r="210" spans="1:20" ht="14.1" customHeight="1" x14ac:dyDescent="0.3">
      <c r="A210" s="625"/>
      <c r="B210" s="555" t="s">
        <v>162</v>
      </c>
      <c r="C210" s="392"/>
      <c r="D210" s="407"/>
      <c r="E210" s="392"/>
      <c r="F210" s="404"/>
      <c r="G210" s="392"/>
      <c r="H210" s="404"/>
      <c r="I210" s="392"/>
      <c r="J210" s="404"/>
      <c r="K210" s="392"/>
      <c r="L210" s="408"/>
      <c r="M210" s="409"/>
      <c r="N210" s="406"/>
      <c r="O210" s="409"/>
      <c r="P210" s="410"/>
      <c r="Q210" s="6"/>
      <c r="R210" s="627"/>
      <c r="S210" s="326" t="s">
        <v>162</v>
      </c>
      <c r="T210" s="183">
        <f t="shared" si="15"/>
        <v>10000000</v>
      </c>
    </row>
    <row r="211" spans="1:20" ht="14.1" customHeight="1" x14ac:dyDescent="0.3">
      <c r="A211" s="625"/>
      <c r="B211" s="556" t="s">
        <v>164</v>
      </c>
      <c r="C211" s="392"/>
      <c r="D211" s="407"/>
      <c r="E211" s="392"/>
      <c r="F211" s="404"/>
      <c r="G211" s="392"/>
      <c r="H211" s="404"/>
      <c r="I211" s="392"/>
      <c r="J211" s="404"/>
      <c r="K211" s="392"/>
      <c r="L211" s="408"/>
      <c r="M211" s="409"/>
      <c r="N211" s="406"/>
      <c r="O211" s="409"/>
      <c r="P211" s="410"/>
      <c r="Q211" s="6"/>
      <c r="R211" s="627"/>
      <c r="S211" s="343" t="s">
        <v>164</v>
      </c>
      <c r="T211" s="183">
        <f t="shared" si="15"/>
        <v>10000000</v>
      </c>
    </row>
    <row r="212" spans="1:20" ht="14.1" customHeight="1" x14ac:dyDescent="0.3">
      <c r="A212" s="625"/>
      <c r="B212" s="555" t="s">
        <v>165</v>
      </c>
      <c r="C212" s="392"/>
      <c r="D212" s="407"/>
      <c r="E212" s="392"/>
      <c r="F212" s="404"/>
      <c r="G212" s="392"/>
      <c r="H212" s="404"/>
      <c r="I212" s="392"/>
      <c r="J212" s="404"/>
      <c r="K212" s="392"/>
      <c r="L212" s="408"/>
      <c r="M212" s="409"/>
      <c r="N212" s="406"/>
      <c r="O212" s="409"/>
      <c r="P212" s="410"/>
      <c r="Q212" s="6"/>
      <c r="R212" s="627"/>
      <c r="S212" s="326" t="s">
        <v>165</v>
      </c>
      <c r="T212" s="183">
        <f t="shared" si="15"/>
        <v>50000000</v>
      </c>
    </row>
    <row r="213" spans="1:20" ht="14.1" customHeight="1" x14ac:dyDescent="0.3">
      <c r="A213" s="625"/>
      <c r="B213" s="555" t="s">
        <v>184</v>
      </c>
      <c r="C213" s="392"/>
      <c r="D213" s="407"/>
      <c r="E213" s="392"/>
      <c r="F213" s="404"/>
      <c r="G213" s="392"/>
      <c r="H213" s="404"/>
      <c r="I213" s="392"/>
      <c r="J213" s="404"/>
      <c r="K213" s="392"/>
      <c r="L213" s="408"/>
      <c r="M213" s="409"/>
      <c r="N213" s="406"/>
      <c r="O213" s="409"/>
      <c r="P213" s="410"/>
      <c r="Q213" s="6"/>
      <c r="R213" s="627"/>
      <c r="S213" s="326" t="s">
        <v>184</v>
      </c>
      <c r="T213" s="183">
        <f t="shared" si="15"/>
        <v>20000000</v>
      </c>
    </row>
    <row r="214" spans="1:20" ht="14.1" customHeight="1" x14ac:dyDescent="0.3">
      <c r="A214" s="625"/>
      <c r="B214" s="555" t="s">
        <v>185</v>
      </c>
      <c r="C214" s="392"/>
      <c r="D214" s="407"/>
      <c r="E214" s="392"/>
      <c r="F214" s="404"/>
      <c r="G214" s="392"/>
      <c r="H214" s="404"/>
      <c r="I214" s="392"/>
      <c r="J214" s="404"/>
      <c r="K214" s="392"/>
      <c r="L214" s="408"/>
      <c r="M214" s="409"/>
      <c r="N214" s="406"/>
      <c r="O214" s="409"/>
      <c r="P214" s="410"/>
      <c r="Q214" s="6"/>
      <c r="R214" s="627"/>
      <c r="S214" s="326" t="s">
        <v>185</v>
      </c>
      <c r="T214" s="183">
        <f t="shared" si="15"/>
        <v>20000000</v>
      </c>
    </row>
    <row r="215" spans="1:20" ht="14.1" customHeight="1" x14ac:dyDescent="0.3">
      <c r="A215" s="625"/>
      <c r="B215" s="556" t="s">
        <v>166</v>
      </c>
      <c r="C215" s="392"/>
      <c r="D215" s="407"/>
      <c r="E215" s="411"/>
      <c r="F215" s="406"/>
      <c r="G215" s="411"/>
      <c r="H215" s="404"/>
      <c r="I215" s="411"/>
      <c r="J215" s="404"/>
      <c r="K215" s="411"/>
      <c r="L215" s="408"/>
      <c r="M215" s="412"/>
      <c r="N215" s="406"/>
      <c r="O215" s="409"/>
      <c r="P215" s="410"/>
      <c r="Q215" s="6"/>
      <c r="R215" s="627"/>
      <c r="S215" s="343" t="s">
        <v>166</v>
      </c>
      <c r="T215" s="183">
        <f t="shared" si="15"/>
        <v>7000000</v>
      </c>
    </row>
    <row r="216" spans="1:20" ht="14.1" customHeight="1" x14ac:dyDescent="0.3">
      <c r="A216" s="625"/>
      <c r="B216" s="555" t="s">
        <v>167</v>
      </c>
      <c r="C216" s="411"/>
      <c r="D216" s="413"/>
      <c r="E216" s="411"/>
      <c r="F216" s="406"/>
      <c r="G216" s="411"/>
      <c r="H216" s="404"/>
      <c r="I216" s="411"/>
      <c r="J216" s="404"/>
      <c r="K216" s="411"/>
      <c r="L216" s="408"/>
      <c r="M216" s="412"/>
      <c r="N216" s="406"/>
      <c r="O216" s="412"/>
      <c r="P216" s="414"/>
      <c r="Q216" s="6"/>
      <c r="R216" s="627"/>
      <c r="S216" s="326" t="s">
        <v>167</v>
      </c>
      <c r="T216" s="183">
        <f t="shared" si="15"/>
        <v>70000000</v>
      </c>
    </row>
    <row r="217" spans="1:20" ht="14.1" customHeight="1" thickBot="1" x14ac:dyDescent="0.35">
      <c r="A217" s="625"/>
      <c r="B217" s="557" t="s">
        <v>186</v>
      </c>
      <c r="C217" s="398"/>
      <c r="D217" s="397"/>
      <c r="E217" s="398"/>
      <c r="F217" s="415"/>
      <c r="G217" s="398"/>
      <c r="H217" s="404"/>
      <c r="I217" s="398"/>
      <c r="J217" s="404"/>
      <c r="K217" s="398"/>
      <c r="L217" s="408"/>
      <c r="M217" s="398"/>
      <c r="N217" s="406"/>
      <c r="O217" s="402"/>
      <c r="P217" s="401"/>
      <c r="Q217" s="6"/>
      <c r="R217" s="627"/>
      <c r="S217" s="327" t="s">
        <v>186</v>
      </c>
      <c r="T217" s="184">
        <f t="shared" si="15"/>
        <v>50000000</v>
      </c>
    </row>
    <row r="218" spans="1:20" ht="14.1" customHeight="1" x14ac:dyDescent="0.3">
      <c r="A218" s="628" t="s">
        <v>19</v>
      </c>
      <c r="B218" s="461" t="s">
        <v>193</v>
      </c>
      <c r="C218" s="392"/>
      <c r="D218" s="385"/>
      <c r="E218" s="392"/>
      <c r="F218" s="388"/>
      <c r="G218" s="392"/>
      <c r="H218" s="388"/>
      <c r="I218" s="392"/>
      <c r="J218" s="388"/>
      <c r="K218" s="392"/>
      <c r="L218" s="405"/>
      <c r="M218" s="386"/>
      <c r="N218" s="385"/>
      <c r="O218" s="396"/>
      <c r="P218" s="389"/>
      <c r="Q218" s="6"/>
      <c r="R218" s="630" t="s">
        <v>19</v>
      </c>
      <c r="S218" s="379" t="s">
        <v>51</v>
      </c>
      <c r="T218" s="182">
        <f t="shared" si="15"/>
        <v>10000000</v>
      </c>
    </row>
    <row r="219" spans="1:20" ht="14.1" customHeight="1" x14ac:dyDescent="0.3">
      <c r="A219" s="629"/>
      <c r="B219" s="462" t="s">
        <v>194</v>
      </c>
      <c r="C219" s="392"/>
      <c r="D219" s="406"/>
      <c r="E219" s="409"/>
      <c r="F219" s="404"/>
      <c r="G219" s="392"/>
      <c r="H219" s="404"/>
      <c r="I219" s="392"/>
      <c r="J219" s="404"/>
      <c r="K219" s="392"/>
      <c r="L219" s="408"/>
      <c r="M219" s="409"/>
      <c r="N219" s="406"/>
      <c r="O219" s="396"/>
      <c r="P219" s="410"/>
      <c r="Q219" s="6"/>
      <c r="R219" s="631"/>
      <c r="S219" s="380" t="s">
        <v>43</v>
      </c>
      <c r="T219" s="183">
        <f t="shared" si="15"/>
        <v>10000000</v>
      </c>
    </row>
    <row r="220" spans="1:20" ht="14.1" customHeight="1" thickBot="1" x14ac:dyDescent="0.35">
      <c r="A220" s="629"/>
      <c r="B220" s="463" t="s">
        <v>195</v>
      </c>
      <c r="C220" s="412"/>
      <c r="D220" s="416"/>
      <c r="E220" s="412"/>
      <c r="F220" s="417"/>
      <c r="G220" s="412"/>
      <c r="H220" s="417"/>
      <c r="I220" s="412"/>
      <c r="J220" s="417"/>
      <c r="K220" s="412"/>
      <c r="L220" s="418"/>
      <c r="M220" s="412"/>
      <c r="N220" s="416"/>
      <c r="O220" s="419"/>
      <c r="P220" s="414"/>
      <c r="Q220" s="6"/>
      <c r="R220" s="631"/>
      <c r="S220" s="381" t="s">
        <v>53</v>
      </c>
      <c r="T220" s="183">
        <f t="shared" si="15"/>
        <v>40000000</v>
      </c>
    </row>
    <row r="221" spans="1:20" ht="14.1" customHeight="1" x14ac:dyDescent="0.3">
      <c r="A221" s="629"/>
      <c r="B221" s="461" t="s">
        <v>196</v>
      </c>
      <c r="C221" s="386"/>
      <c r="D221" s="385"/>
      <c r="E221" s="386"/>
      <c r="F221" s="388"/>
      <c r="G221" s="386"/>
      <c r="H221" s="388"/>
      <c r="I221" s="386"/>
      <c r="J221" s="388"/>
      <c r="K221" s="386"/>
      <c r="L221" s="405"/>
      <c r="M221" s="386"/>
      <c r="N221" s="385"/>
      <c r="O221" s="390"/>
      <c r="P221" s="389"/>
      <c r="Q221" s="6"/>
      <c r="R221" s="631"/>
      <c r="S221" s="358" t="s">
        <v>65</v>
      </c>
      <c r="T221" s="182">
        <f t="shared" si="15"/>
        <v>10000000</v>
      </c>
    </row>
    <row r="222" spans="1:20" ht="14.1" customHeight="1" x14ac:dyDescent="0.3">
      <c r="A222" s="629"/>
      <c r="B222" s="488" t="s">
        <v>197</v>
      </c>
      <c r="C222" s="392"/>
      <c r="D222" s="406"/>
      <c r="E222" s="392"/>
      <c r="F222" s="404"/>
      <c r="G222" s="392"/>
      <c r="H222" s="404"/>
      <c r="I222" s="392"/>
      <c r="J222" s="404"/>
      <c r="K222" s="392"/>
      <c r="L222" s="408"/>
      <c r="M222" s="392"/>
      <c r="N222" s="406"/>
      <c r="O222" s="396"/>
      <c r="P222" s="410"/>
      <c r="Q222" s="6"/>
      <c r="R222" s="631"/>
      <c r="S222" s="359" t="s">
        <v>8</v>
      </c>
      <c r="T222" s="183">
        <f t="shared" si="15"/>
        <v>20000000</v>
      </c>
    </row>
    <row r="223" spans="1:20" ht="14.1" customHeight="1" thickBot="1" x14ac:dyDescent="0.35">
      <c r="A223" s="629"/>
      <c r="B223" s="489" t="s">
        <v>198</v>
      </c>
      <c r="C223" s="398"/>
      <c r="D223" s="397"/>
      <c r="E223" s="398"/>
      <c r="F223" s="400"/>
      <c r="G223" s="398"/>
      <c r="H223" s="400"/>
      <c r="I223" s="398"/>
      <c r="J223" s="400"/>
      <c r="K223" s="398"/>
      <c r="L223" s="420"/>
      <c r="M223" s="398"/>
      <c r="N223" s="397"/>
      <c r="O223" s="402"/>
      <c r="P223" s="421"/>
      <c r="Q223" s="6"/>
      <c r="R223" s="631"/>
      <c r="S223" s="360" t="s">
        <v>5</v>
      </c>
      <c r="T223" s="183">
        <f t="shared" si="15"/>
        <v>40000000</v>
      </c>
    </row>
    <row r="224" spans="1:20" ht="14.1" customHeight="1" x14ac:dyDescent="0.3">
      <c r="A224" s="629"/>
      <c r="B224" s="461" t="s">
        <v>210</v>
      </c>
      <c r="C224" s="386"/>
      <c r="D224" s="385"/>
      <c r="E224" s="386"/>
      <c r="F224" s="388"/>
      <c r="G224" s="386"/>
      <c r="H224" s="388"/>
      <c r="I224" s="386"/>
      <c r="J224" s="388"/>
      <c r="K224" s="386"/>
      <c r="L224" s="405"/>
      <c r="M224" s="386"/>
      <c r="N224" s="385"/>
      <c r="O224" s="390"/>
      <c r="P224" s="389"/>
      <c r="Q224" s="6"/>
      <c r="R224" s="631"/>
      <c r="S224" s="361" t="s">
        <v>199</v>
      </c>
      <c r="T224" s="182">
        <f t="shared" si="15"/>
        <v>10000000</v>
      </c>
    </row>
    <row r="225" spans="1:20" ht="14.1" customHeight="1" x14ac:dyDescent="0.3">
      <c r="A225" s="629"/>
      <c r="B225" s="488" t="s">
        <v>200</v>
      </c>
      <c r="C225" s="392"/>
      <c r="D225" s="406"/>
      <c r="E225" s="392"/>
      <c r="F225" s="404"/>
      <c r="G225" s="392"/>
      <c r="H225" s="404"/>
      <c r="I225" s="392"/>
      <c r="J225" s="404"/>
      <c r="K225" s="392"/>
      <c r="L225" s="408"/>
      <c r="M225" s="392"/>
      <c r="N225" s="406"/>
      <c r="O225" s="396"/>
      <c r="P225" s="410"/>
      <c r="Q225" s="6"/>
      <c r="R225" s="631"/>
      <c r="S225" s="362" t="s">
        <v>200</v>
      </c>
      <c r="T225" s="183">
        <f t="shared" si="15"/>
        <v>10000000</v>
      </c>
    </row>
    <row r="226" spans="1:20" ht="14.1" customHeight="1" thickBot="1" x14ac:dyDescent="0.35">
      <c r="A226" s="629"/>
      <c r="B226" s="489" t="s">
        <v>209</v>
      </c>
      <c r="C226" s="398"/>
      <c r="D226" s="397"/>
      <c r="E226" s="398"/>
      <c r="F226" s="400"/>
      <c r="G226" s="398"/>
      <c r="H226" s="400"/>
      <c r="I226" s="398"/>
      <c r="J226" s="400"/>
      <c r="K226" s="398"/>
      <c r="L226" s="420"/>
      <c r="M226" s="398"/>
      <c r="N226" s="397"/>
      <c r="O226" s="402"/>
      <c r="P226" s="421"/>
      <c r="Q226" s="6"/>
      <c r="R226" s="631"/>
      <c r="S226" s="363" t="s">
        <v>201</v>
      </c>
      <c r="T226" s="183">
        <f t="shared" si="15"/>
        <v>10000000</v>
      </c>
    </row>
    <row r="227" spans="1:20" ht="14.1" customHeight="1" x14ac:dyDescent="0.3">
      <c r="A227" s="611" t="s">
        <v>16</v>
      </c>
      <c r="B227" s="464" t="s">
        <v>36</v>
      </c>
      <c r="C227" s="386"/>
      <c r="D227" s="422"/>
      <c r="E227" s="386"/>
      <c r="F227" s="388"/>
      <c r="G227" s="386"/>
      <c r="H227" s="388"/>
      <c r="I227" s="386"/>
      <c r="J227" s="388"/>
      <c r="K227" s="386"/>
      <c r="L227" s="405"/>
      <c r="M227" s="386"/>
      <c r="N227" s="385"/>
      <c r="O227" s="390"/>
      <c r="P227" s="389"/>
      <c r="Q227" s="6"/>
      <c r="R227" s="611" t="s">
        <v>16</v>
      </c>
      <c r="S227" s="364" t="s">
        <v>36</v>
      </c>
      <c r="T227" s="182">
        <f t="shared" si="15"/>
        <v>30000000</v>
      </c>
    </row>
    <row r="228" spans="1:20" ht="14.1" customHeight="1" x14ac:dyDescent="0.3">
      <c r="A228" s="612"/>
      <c r="B228" s="465" t="s">
        <v>81</v>
      </c>
      <c r="C228" s="392"/>
      <c r="D228" s="423"/>
      <c r="E228" s="392"/>
      <c r="F228" s="424"/>
      <c r="G228" s="392"/>
      <c r="H228" s="394"/>
      <c r="I228" s="392"/>
      <c r="J228" s="394"/>
      <c r="K228" s="392"/>
      <c r="L228" s="425"/>
      <c r="M228" s="392"/>
      <c r="N228" s="391"/>
      <c r="O228" s="396"/>
      <c r="P228" s="395"/>
      <c r="Q228" s="6"/>
      <c r="R228" s="612"/>
      <c r="S228" s="365" t="s">
        <v>81</v>
      </c>
      <c r="T228" s="183">
        <f t="shared" si="15"/>
        <v>30000000</v>
      </c>
    </row>
    <row r="229" spans="1:20" ht="14.1" customHeight="1" x14ac:dyDescent="0.3">
      <c r="A229" s="612"/>
      <c r="B229" s="465" t="s">
        <v>78</v>
      </c>
      <c r="C229" s="392"/>
      <c r="D229" s="426"/>
      <c r="E229" s="392"/>
      <c r="F229" s="426"/>
      <c r="G229" s="392"/>
      <c r="H229" s="391"/>
      <c r="I229" s="392"/>
      <c r="J229" s="391"/>
      <c r="K229" s="392"/>
      <c r="L229" s="425"/>
      <c r="M229" s="392"/>
      <c r="N229" s="391"/>
      <c r="O229" s="396"/>
      <c r="P229" s="395"/>
      <c r="Q229" s="6"/>
      <c r="R229" s="612"/>
      <c r="S229" s="365" t="s">
        <v>78</v>
      </c>
      <c r="T229" s="183">
        <f t="shared" si="15"/>
        <v>100000000</v>
      </c>
    </row>
    <row r="230" spans="1:20" ht="14.1" customHeight="1" thickBot="1" x14ac:dyDescent="0.35">
      <c r="A230" s="613"/>
      <c r="B230" s="466" t="s">
        <v>87</v>
      </c>
      <c r="C230" s="398"/>
      <c r="D230" s="427"/>
      <c r="E230" s="398"/>
      <c r="F230" s="427"/>
      <c r="G230" s="392"/>
      <c r="H230" s="397"/>
      <c r="I230" s="392"/>
      <c r="J230" s="397"/>
      <c r="K230" s="392"/>
      <c r="L230" s="420"/>
      <c r="M230" s="398"/>
      <c r="N230" s="397"/>
      <c r="O230" s="402"/>
      <c r="P230" s="401"/>
      <c r="Q230" s="6"/>
      <c r="R230" s="613"/>
      <c r="S230" s="366" t="s">
        <v>87</v>
      </c>
      <c r="T230" s="183">
        <f t="shared" si="15"/>
        <v>100000000</v>
      </c>
    </row>
    <row r="231" spans="1:20" ht="14.1" customHeight="1" x14ac:dyDescent="0.3">
      <c r="A231" s="614" t="s">
        <v>47</v>
      </c>
      <c r="B231" s="467" t="s">
        <v>48</v>
      </c>
      <c r="C231" s="409"/>
      <c r="D231" s="428"/>
      <c r="E231" s="386"/>
      <c r="F231" s="388"/>
      <c r="G231" s="386"/>
      <c r="H231" s="385"/>
      <c r="I231" s="386"/>
      <c r="J231" s="385"/>
      <c r="K231" s="386"/>
      <c r="L231" s="405"/>
      <c r="M231" s="386"/>
      <c r="N231" s="385"/>
      <c r="O231" s="390"/>
      <c r="P231" s="389"/>
      <c r="Q231" s="6"/>
      <c r="R231" s="614" t="s">
        <v>47</v>
      </c>
      <c r="S231" s="367" t="s">
        <v>48</v>
      </c>
      <c r="T231" s="182">
        <f t="shared" si="15"/>
        <v>100000000</v>
      </c>
    </row>
    <row r="232" spans="1:20" ht="14.1" customHeight="1" x14ac:dyDescent="0.3">
      <c r="A232" s="615"/>
      <c r="B232" s="468" t="s">
        <v>44</v>
      </c>
      <c r="C232" s="392"/>
      <c r="D232" s="424"/>
      <c r="E232" s="392"/>
      <c r="F232" s="394"/>
      <c r="G232" s="392"/>
      <c r="H232" s="391"/>
      <c r="I232" s="392"/>
      <c r="J232" s="391"/>
      <c r="K232" s="392"/>
      <c r="L232" s="425"/>
      <c r="M232" s="392"/>
      <c r="N232" s="391"/>
      <c r="O232" s="396"/>
      <c r="P232" s="395"/>
      <c r="Q232" s="6"/>
      <c r="R232" s="615"/>
      <c r="S232" s="368" t="s">
        <v>44</v>
      </c>
      <c r="T232" s="183">
        <f t="shared" si="15"/>
        <v>0</v>
      </c>
    </row>
    <row r="233" spans="1:20" ht="14.1" customHeight="1" thickBot="1" x14ac:dyDescent="0.35">
      <c r="A233" s="616"/>
      <c r="B233" s="469" t="s">
        <v>54</v>
      </c>
      <c r="C233" s="398"/>
      <c r="D233" s="429"/>
      <c r="E233" s="398"/>
      <c r="F233" s="400"/>
      <c r="G233" s="398"/>
      <c r="H233" s="397"/>
      <c r="I233" s="398"/>
      <c r="J233" s="397"/>
      <c r="K233" s="398"/>
      <c r="L233" s="420"/>
      <c r="M233" s="398"/>
      <c r="N233" s="397"/>
      <c r="O233" s="430"/>
      <c r="P233" s="410"/>
      <c r="Q233" s="6"/>
      <c r="R233" s="616"/>
      <c r="S233" s="369" t="s">
        <v>54</v>
      </c>
      <c r="T233" s="183">
        <f t="shared" si="15"/>
        <v>1000000</v>
      </c>
    </row>
    <row r="234" spans="1:20" ht="14.1" customHeight="1" x14ac:dyDescent="0.3">
      <c r="A234" s="617" t="s">
        <v>39</v>
      </c>
      <c r="B234" s="470" t="s">
        <v>44</v>
      </c>
      <c r="C234" s="386"/>
      <c r="D234" s="403"/>
      <c r="E234" s="386"/>
      <c r="F234" s="404"/>
      <c r="G234" s="386"/>
      <c r="H234" s="406"/>
      <c r="I234" s="386"/>
      <c r="J234" s="406"/>
      <c r="K234" s="386"/>
      <c r="L234" s="405"/>
      <c r="M234" s="409"/>
      <c r="N234" s="406"/>
      <c r="O234" s="390"/>
      <c r="P234" s="389"/>
      <c r="Q234" s="6"/>
      <c r="R234" s="617" t="s">
        <v>39</v>
      </c>
      <c r="S234" s="480" t="s">
        <v>44</v>
      </c>
      <c r="T234" s="182">
        <f t="shared" si="15"/>
        <v>500000</v>
      </c>
    </row>
    <row r="235" spans="1:20" ht="14.1" customHeight="1" x14ac:dyDescent="0.3">
      <c r="A235" s="618"/>
      <c r="B235" s="470" t="s">
        <v>54</v>
      </c>
      <c r="C235" s="392"/>
      <c r="D235" s="426"/>
      <c r="E235" s="392"/>
      <c r="F235" s="394"/>
      <c r="G235" s="392"/>
      <c r="H235" s="391"/>
      <c r="I235" s="392"/>
      <c r="J235" s="391"/>
      <c r="K235" s="392"/>
      <c r="L235" s="425"/>
      <c r="M235" s="392"/>
      <c r="N235" s="406"/>
      <c r="O235" s="396"/>
      <c r="P235" s="395"/>
      <c r="Q235" s="6"/>
      <c r="R235" s="618"/>
      <c r="S235" s="480" t="s">
        <v>54</v>
      </c>
      <c r="T235" s="183">
        <f t="shared" si="15"/>
        <v>1300000</v>
      </c>
    </row>
    <row r="236" spans="1:20" ht="14.1" customHeight="1" x14ac:dyDescent="0.3">
      <c r="A236" s="618"/>
      <c r="B236" s="470" t="s">
        <v>204</v>
      </c>
      <c r="C236" s="392"/>
      <c r="D236" s="426"/>
      <c r="E236" s="392"/>
      <c r="F236" s="404"/>
      <c r="G236" s="392"/>
      <c r="H236" s="406"/>
      <c r="I236" s="392"/>
      <c r="J236" s="406"/>
      <c r="K236" s="392"/>
      <c r="L236" s="408"/>
      <c r="M236" s="392"/>
      <c r="N236" s="406"/>
      <c r="O236" s="396"/>
      <c r="P236" s="395"/>
      <c r="Q236" s="6"/>
      <c r="R236" s="618"/>
      <c r="S236" s="480" t="s">
        <v>204</v>
      </c>
      <c r="T236" s="183">
        <f t="shared" si="15"/>
        <v>10000000</v>
      </c>
    </row>
    <row r="237" spans="1:20" ht="14.1" customHeight="1" thickBot="1" x14ac:dyDescent="0.35">
      <c r="A237" s="618"/>
      <c r="B237" s="471" t="s">
        <v>113</v>
      </c>
      <c r="C237" s="411"/>
      <c r="D237" s="427"/>
      <c r="E237" s="411"/>
      <c r="F237" s="417"/>
      <c r="G237" s="411"/>
      <c r="H237" s="416"/>
      <c r="I237" s="411"/>
      <c r="J237" s="416"/>
      <c r="K237" s="411"/>
      <c r="L237" s="431"/>
      <c r="M237" s="411"/>
      <c r="N237" s="432"/>
      <c r="O237" s="433"/>
      <c r="P237" s="421"/>
      <c r="Q237" s="6"/>
      <c r="R237" s="618"/>
      <c r="S237" s="513" t="s">
        <v>113</v>
      </c>
      <c r="T237" s="183">
        <f t="shared" si="15"/>
        <v>0</v>
      </c>
    </row>
    <row r="238" spans="1:20" ht="14.1" customHeight="1" x14ac:dyDescent="0.3">
      <c r="A238" s="603" t="s">
        <v>215</v>
      </c>
      <c r="B238" s="472" t="s">
        <v>45</v>
      </c>
      <c r="C238" s="386"/>
      <c r="D238" s="403"/>
      <c r="E238" s="386"/>
      <c r="F238" s="388"/>
      <c r="G238" s="386"/>
      <c r="H238" s="385"/>
      <c r="I238" s="386"/>
      <c r="J238" s="385"/>
      <c r="K238" s="386"/>
      <c r="L238" s="405"/>
      <c r="M238" s="386"/>
      <c r="N238" s="385"/>
      <c r="O238" s="390"/>
      <c r="P238" s="389"/>
      <c r="Q238" s="6"/>
      <c r="R238" s="603" t="s">
        <v>215</v>
      </c>
      <c r="S238" s="483" t="s">
        <v>45</v>
      </c>
      <c r="T238" s="182">
        <f t="shared" si="15"/>
        <v>700000</v>
      </c>
    </row>
    <row r="239" spans="1:20" ht="14.1" customHeight="1" thickBot="1" x14ac:dyDescent="0.35">
      <c r="A239" s="604"/>
      <c r="B239" s="482" t="s">
        <v>42</v>
      </c>
      <c r="C239" s="435"/>
      <c r="D239" s="434"/>
      <c r="E239" s="435"/>
      <c r="F239" s="400"/>
      <c r="G239" s="435"/>
      <c r="H239" s="397"/>
      <c r="I239" s="435"/>
      <c r="J239" s="397"/>
      <c r="K239" s="435"/>
      <c r="L239" s="436"/>
      <c r="M239" s="435"/>
      <c r="N239" s="437"/>
      <c r="O239" s="438"/>
      <c r="P239" s="401"/>
      <c r="Q239" s="6"/>
      <c r="R239" s="604"/>
      <c r="S239" s="503" t="s">
        <v>42</v>
      </c>
      <c r="T239" s="183">
        <f t="shared" si="15"/>
        <v>200000</v>
      </c>
    </row>
    <row r="240" spans="1:20" ht="14.1" customHeight="1" x14ac:dyDescent="0.3">
      <c r="A240" s="605" t="s">
        <v>206</v>
      </c>
      <c r="B240" s="484" t="s">
        <v>207</v>
      </c>
      <c r="C240" s="412"/>
      <c r="D240" s="439"/>
      <c r="E240" s="412"/>
      <c r="F240" s="417"/>
      <c r="G240" s="412"/>
      <c r="H240" s="416"/>
      <c r="I240" s="412"/>
      <c r="J240" s="416"/>
      <c r="K240" s="412"/>
      <c r="L240" s="418"/>
      <c r="M240" s="412"/>
      <c r="N240" s="416"/>
      <c r="O240" s="419"/>
      <c r="P240" s="414"/>
      <c r="Q240" s="6"/>
      <c r="R240" s="605" t="s">
        <v>206</v>
      </c>
      <c r="S240" s="486" t="s">
        <v>207</v>
      </c>
      <c r="T240" s="182">
        <f t="shared" si="15"/>
        <v>0</v>
      </c>
    </row>
    <row r="241" spans="1:20" ht="14.1" customHeight="1" thickBot="1" x14ac:dyDescent="0.35">
      <c r="A241" s="606"/>
      <c r="B241" s="485" t="s">
        <v>208</v>
      </c>
      <c r="C241" s="412"/>
      <c r="D241" s="439"/>
      <c r="E241" s="412"/>
      <c r="F241" s="417"/>
      <c r="G241" s="412"/>
      <c r="H241" s="416"/>
      <c r="I241" s="412"/>
      <c r="J241" s="416"/>
      <c r="K241" s="412"/>
      <c r="L241" s="418"/>
      <c r="M241" s="412"/>
      <c r="N241" s="416"/>
      <c r="O241" s="419"/>
      <c r="P241" s="414"/>
      <c r="Q241" s="6"/>
      <c r="R241" s="607"/>
      <c r="S241" s="559" t="s">
        <v>208</v>
      </c>
      <c r="T241" s="183">
        <f t="shared" si="15"/>
        <v>0</v>
      </c>
    </row>
    <row r="242" spans="1:20" ht="14.1" customHeight="1" x14ac:dyDescent="0.3">
      <c r="A242" s="608" t="s">
        <v>125</v>
      </c>
      <c r="B242" s="473" t="s">
        <v>126</v>
      </c>
      <c r="C242" s="386"/>
      <c r="D242" s="422"/>
      <c r="E242" s="386"/>
      <c r="F242" s="388"/>
      <c r="G242" s="386"/>
      <c r="H242" s="405"/>
      <c r="I242" s="386"/>
      <c r="J242" s="385"/>
      <c r="K242" s="386"/>
      <c r="L242" s="405"/>
      <c r="M242" s="386"/>
      <c r="N242" s="385"/>
      <c r="O242" s="390"/>
      <c r="P242" s="389"/>
      <c r="Q242" s="6"/>
      <c r="R242" s="610" t="s">
        <v>125</v>
      </c>
      <c r="S242" s="562" t="s">
        <v>126</v>
      </c>
      <c r="T242" s="182">
        <f t="shared" si="15"/>
        <v>0</v>
      </c>
    </row>
    <row r="243" spans="1:20" ht="14.1" customHeight="1" x14ac:dyDescent="0.3">
      <c r="A243" s="608"/>
      <c r="B243" s="474" t="s">
        <v>127</v>
      </c>
      <c r="C243" s="412"/>
      <c r="D243" s="439"/>
      <c r="E243" s="412"/>
      <c r="F243" s="404"/>
      <c r="G243" s="412"/>
      <c r="H243" s="408"/>
      <c r="I243" s="412"/>
      <c r="J243" s="406"/>
      <c r="K243" s="412"/>
      <c r="L243" s="418"/>
      <c r="M243" s="412"/>
      <c r="N243" s="416"/>
      <c r="O243" s="419"/>
      <c r="P243" s="414"/>
      <c r="Q243" s="6"/>
      <c r="R243" s="608"/>
      <c r="S243" s="504" t="s">
        <v>127</v>
      </c>
      <c r="T243" s="183">
        <f t="shared" si="15"/>
        <v>0</v>
      </c>
    </row>
    <row r="244" spans="1:20" ht="14.1" customHeight="1" thickBot="1" x14ac:dyDescent="0.35">
      <c r="A244" s="609"/>
      <c r="B244" s="475" t="s">
        <v>128</v>
      </c>
      <c r="C244" s="398"/>
      <c r="D244" s="440"/>
      <c r="E244" s="398"/>
      <c r="F244" s="404"/>
      <c r="G244" s="398"/>
      <c r="H244" s="408"/>
      <c r="I244" s="398"/>
      <c r="J244" s="406"/>
      <c r="K244" s="398"/>
      <c r="L244" s="420"/>
      <c r="M244" s="398"/>
      <c r="N244" s="397"/>
      <c r="O244" s="402"/>
      <c r="P244" s="401"/>
      <c r="Q244" s="6"/>
      <c r="R244" s="609"/>
      <c r="S244" s="505" t="s">
        <v>128</v>
      </c>
      <c r="T244" s="183">
        <f t="shared" si="15"/>
        <v>0</v>
      </c>
    </row>
    <row r="245" spans="1:20" ht="14.1" customHeight="1" x14ac:dyDescent="0.3">
      <c r="A245" s="582" t="s">
        <v>52</v>
      </c>
      <c r="B245" s="476" t="s">
        <v>41</v>
      </c>
      <c r="C245" s="386"/>
      <c r="D245" s="441"/>
      <c r="E245" s="390"/>
      <c r="F245" s="388"/>
      <c r="G245" s="386"/>
      <c r="H245" s="405"/>
      <c r="I245" s="386"/>
      <c r="J245" s="385"/>
      <c r="K245" s="386"/>
      <c r="L245" s="405"/>
      <c r="M245" s="386"/>
      <c r="N245" s="385"/>
      <c r="O245" s="396"/>
      <c r="P245" s="389"/>
      <c r="Q245" s="6"/>
      <c r="R245" s="582" t="s">
        <v>52</v>
      </c>
      <c r="S245" s="377" t="s">
        <v>41</v>
      </c>
      <c r="T245" s="182">
        <f t="shared" si="15"/>
        <v>30000000</v>
      </c>
    </row>
    <row r="246" spans="1:20" ht="14.1" customHeight="1" x14ac:dyDescent="0.3">
      <c r="A246" s="583"/>
      <c r="B246" s="476" t="s">
        <v>11</v>
      </c>
      <c r="C246" s="392"/>
      <c r="D246" s="442"/>
      <c r="E246" s="396"/>
      <c r="F246" s="394"/>
      <c r="G246" s="392"/>
      <c r="H246" s="425"/>
      <c r="I246" s="392"/>
      <c r="J246" s="443"/>
      <c r="K246" s="392"/>
      <c r="L246" s="425"/>
      <c r="M246" s="392"/>
      <c r="N246" s="391"/>
      <c r="O246" s="396"/>
      <c r="P246" s="395"/>
      <c r="Q246" s="6"/>
      <c r="R246" s="583"/>
      <c r="S246" s="377" t="s">
        <v>11</v>
      </c>
      <c r="T246" s="183">
        <f t="shared" si="15"/>
        <v>30000000</v>
      </c>
    </row>
    <row r="247" spans="1:20" ht="14.1" customHeight="1" thickBot="1" x14ac:dyDescent="0.35">
      <c r="A247" s="584"/>
      <c r="B247" s="477" t="s">
        <v>27</v>
      </c>
      <c r="C247" s="409"/>
      <c r="D247" s="423"/>
      <c r="E247" s="430"/>
      <c r="F247" s="404"/>
      <c r="G247" s="409"/>
      <c r="H247" s="408"/>
      <c r="I247" s="409"/>
      <c r="J247" s="391"/>
      <c r="K247" s="409"/>
      <c r="L247" s="408"/>
      <c r="M247" s="409"/>
      <c r="N247" s="406"/>
      <c r="O247" s="396"/>
      <c r="P247" s="395"/>
      <c r="Q247" s="6"/>
      <c r="R247" s="584"/>
      <c r="S247" s="378" t="s">
        <v>27</v>
      </c>
      <c r="T247" s="183">
        <f t="shared" si="15"/>
        <v>200000000</v>
      </c>
    </row>
    <row r="248" spans="1:20" ht="14.1" customHeight="1" thickBot="1" x14ac:dyDescent="0.35">
      <c r="A248" s="585" t="s">
        <v>30</v>
      </c>
      <c r="B248" s="586"/>
      <c r="C248" s="445"/>
      <c r="D248" s="444"/>
      <c r="E248" s="445"/>
      <c r="F248" s="446"/>
      <c r="G248" s="445"/>
      <c r="H248" s="447"/>
      <c r="I248" s="445"/>
      <c r="J248" s="448"/>
      <c r="K248" s="445"/>
      <c r="L248" s="447"/>
      <c r="M248" s="445"/>
      <c r="N248" s="448"/>
      <c r="O248" s="449"/>
      <c r="P248" s="450"/>
      <c r="Q248" s="6"/>
      <c r="R248" s="585" t="s">
        <v>30</v>
      </c>
      <c r="S248" s="587"/>
      <c r="T248" s="182">
        <f t="shared" si="15"/>
        <v>100000000</v>
      </c>
    </row>
    <row r="249" spans="1:20" ht="14.1" customHeight="1" x14ac:dyDescent="0.3">
      <c r="A249" s="588" t="s">
        <v>38</v>
      </c>
      <c r="B249" s="589"/>
      <c r="C249" s="451"/>
      <c r="D249" s="385"/>
      <c r="E249" s="451"/>
      <c r="F249" s="391"/>
      <c r="G249" s="451"/>
      <c r="H249" s="405"/>
      <c r="I249" s="451"/>
      <c r="J249" s="452"/>
      <c r="K249" s="453"/>
      <c r="L249" s="405"/>
      <c r="M249" s="451"/>
      <c r="N249" s="408"/>
      <c r="O249" s="451"/>
      <c r="P249" s="389"/>
      <c r="Q249" s="6"/>
      <c r="R249" s="594" t="s">
        <v>38</v>
      </c>
      <c r="S249" s="597"/>
      <c r="T249" s="598"/>
    </row>
    <row r="250" spans="1:20" ht="14.1" customHeight="1" x14ac:dyDescent="0.3">
      <c r="A250" s="590"/>
      <c r="B250" s="591"/>
      <c r="C250" s="453"/>
      <c r="D250" s="391"/>
      <c r="E250" s="453"/>
      <c r="F250" s="406"/>
      <c r="G250" s="453"/>
      <c r="H250" s="425"/>
      <c r="I250" s="453"/>
      <c r="J250" s="391"/>
      <c r="K250" s="454"/>
      <c r="L250" s="425"/>
      <c r="M250" s="453"/>
      <c r="N250" s="425"/>
      <c r="O250" s="453"/>
      <c r="P250" s="395"/>
      <c r="Q250" s="6"/>
      <c r="R250" s="595"/>
      <c r="S250" s="599"/>
      <c r="T250" s="600"/>
    </row>
    <row r="251" spans="1:20" ht="14.1" customHeight="1" x14ac:dyDescent="0.3">
      <c r="A251" s="590"/>
      <c r="B251" s="591"/>
      <c r="C251" s="453"/>
      <c r="D251" s="391"/>
      <c r="E251" s="453"/>
      <c r="F251" s="406"/>
      <c r="G251" s="453"/>
      <c r="H251" s="425"/>
      <c r="I251" s="453"/>
      <c r="J251" s="406"/>
      <c r="K251" s="453"/>
      <c r="L251" s="391"/>
      <c r="M251" s="453"/>
      <c r="N251" s="408"/>
      <c r="O251" s="453"/>
      <c r="P251" s="395"/>
      <c r="Q251" s="6"/>
      <c r="R251" s="595"/>
      <c r="S251" s="599"/>
      <c r="T251" s="600"/>
    </row>
    <row r="252" spans="1:20" ht="14.1" customHeight="1" thickBot="1" x14ac:dyDescent="0.35">
      <c r="A252" s="592"/>
      <c r="B252" s="593"/>
      <c r="C252" s="455"/>
      <c r="D252" s="397"/>
      <c r="E252" s="455"/>
      <c r="F252" s="456"/>
      <c r="G252" s="455"/>
      <c r="H252" s="420"/>
      <c r="I252" s="455"/>
      <c r="J252" s="400"/>
      <c r="K252" s="455"/>
      <c r="L252" s="400"/>
      <c r="M252" s="455"/>
      <c r="N252" s="397"/>
      <c r="O252" s="455"/>
      <c r="P252" s="401"/>
      <c r="Q252" s="6"/>
      <c r="R252" s="596"/>
      <c r="S252" s="601"/>
      <c r="T252" s="602"/>
    </row>
    <row r="253" spans="1:20" ht="18.95" customHeight="1" x14ac:dyDescent="0.3">
      <c r="A253" s="652" t="str">
        <f>A190</f>
        <v>홍길동 보장분석</v>
      </c>
      <c r="B253" s="653"/>
      <c r="C253" s="649"/>
      <c r="D253" s="649"/>
      <c r="E253" s="649"/>
      <c r="F253" s="649"/>
      <c r="G253" s="649"/>
      <c r="H253" s="649"/>
      <c r="I253" s="649"/>
      <c r="J253" s="649"/>
      <c r="K253" s="649"/>
      <c r="L253" s="649"/>
      <c r="M253" s="649"/>
      <c r="N253" s="649"/>
      <c r="O253" s="649"/>
      <c r="P253" s="649"/>
      <c r="Q253" s="138"/>
      <c r="R253" s="650" t="s">
        <v>15</v>
      </c>
      <c r="S253" s="651"/>
      <c r="T253" s="137">
        <f ca="1">T190</f>
        <v>46140</v>
      </c>
    </row>
    <row r="254" spans="1:20" ht="14.1" customHeight="1" x14ac:dyDescent="0.3">
      <c r="A254" s="647" t="s">
        <v>49</v>
      </c>
      <c r="B254" s="648"/>
      <c r="C254" s="645"/>
      <c r="D254" s="645"/>
      <c r="E254" s="645"/>
      <c r="F254" s="645"/>
      <c r="G254" s="645"/>
      <c r="H254" s="645"/>
      <c r="I254" s="645"/>
      <c r="J254" s="645"/>
      <c r="K254" s="645"/>
      <c r="L254" s="645"/>
      <c r="M254" s="645"/>
      <c r="N254" s="645"/>
      <c r="O254" s="645"/>
      <c r="P254" s="645"/>
      <c r="Q254" s="25"/>
      <c r="R254" s="654"/>
      <c r="S254" s="655"/>
      <c r="T254" s="656"/>
    </row>
    <row r="255" spans="1:20" ht="14.1" customHeight="1" x14ac:dyDescent="0.3">
      <c r="A255" s="637" t="s">
        <v>28</v>
      </c>
      <c r="B255" s="638"/>
      <c r="C255" s="645"/>
      <c r="D255" s="645"/>
      <c r="E255" s="645"/>
      <c r="F255" s="645"/>
      <c r="G255" s="645"/>
      <c r="H255" s="645"/>
      <c r="I255" s="645"/>
      <c r="J255" s="645"/>
      <c r="K255" s="645"/>
      <c r="L255" s="645"/>
      <c r="M255" s="645"/>
      <c r="N255" s="645"/>
      <c r="O255" s="646"/>
      <c r="P255" s="646"/>
      <c r="Q255" s="25"/>
      <c r="R255" s="657"/>
      <c r="S255" s="658"/>
      <c r="T255" s="659"/>
    </row>
    <row r="256" spans="1:20" ht="14.1" customHeight="1" x14ac:dyDescent="0.3">
      <c r="A256" s="647" t="s">
        <v>17</v>
      </c>
      <c r="B256" s="648"/>
      <c r="C256" s="646"/>
      <c r="D256" s="645"/>
      <c r="E256" s="646"/>
      <c r="F256" s="646"/>
      <c r="G256" s="646"/>
      <c r="H256" s="646"/>
      <c r="I256" s="646"/>
      <c r="J256" s="645"/>
      <c r="K256" s="646"/>
      <c r="L256" s="645"/>
      <c r="M256" s="646"/>
      <c r="N256" s="645"/>
      <c r="O256" s="646"/>
      <c r="P256" s="646"/>
      <c r="Q256" s="25"/>
      <c r="R256" s="657"/>
      <c r="S256" s="658"/>
      <c r="T256" s="659"/>
    </row>
    <row r="257" spans="1:20" ht="14.1" customHeight="1" x14ac:dyDescent="0.3">
      <c r="A257" s="647" t="s">
        <v>23</v>
      </c>
      <c r="B257" s="648"/>
      <c r="C257" s="383"/>
      <c r="D257" s="382"/>
      <c r="E257" s="383"/>
      <c r="F257" s="382">
        <f ca="1">IF(DATEDIF(E256,$T$1,"m")&lt;E257*12,DATEDIF(E256,$T$1,"m"),E257*12)</f>
        <v>0</v>
      </c>
      <c r="G257" s="383"/>
      <c r="H257" s="382">
        <f ca="1">IF(DATEDIF(G256,$T$1,"m")&lt;G257*12,DATEDIF(G256,$T$1,"m"),G257*12)</f>
        <v>0</v>
      </c>
      <c r="I257" s="383"/>
      <c r="J257" s="382">
        <f ca="1">IF(DATEDIF(I256,$T$1,"m")&lt;I257*12,DATEDIF(I256,$T$1,"m"),I257*12)</f>
        <v>0</v>
      </c>
      <c r="K257" s="383"/>
      <c r="L257" s="382">
        <f ca="1">IF(DATEDIF(K256,$T$1,"m")&lt;K257*12,DATEDIF(K256,$T$1,"m"),K257*12)</f>
        <v>0</v>
      </c>
      <c r="M257" s="383"/>
      <c r="N257" s="384">
        <f ca="1">IF(DATEDIF(M256,$T$1,"m")&lt;M257*12,DATEDIF(M256,$T$1,"m"),M257*12)</f>
        <v>0</v>
      </c>
      <c r="O257" s="383"/>
      <c r="P257" s="382">
        <f ca="1">IF(DATEDIF(O256,$T$1,"m")&lt;O257*12,DATEDIF(O256,$T$1,"m"),O257*12)</f>
        <v>0</v>
      </c>
      <c r="Q257" s="25"/>
      <c r="R257" s="657"/>
      <c r="S257" s="658"/>
      <c r="T257" s="659"/>
    </row>
    <row r="258" spans="1:20" ht="14.1" customHeight="1" x14ac:dyDescent="0.3">
      <c r="A258" s="647" t="s">
        <v>2</v>
      </c>
      <c r="B258" s="648"/>
      <c r="C258" s="645"/>
      <c r="D258" s="645"/>
      <c r="E258" s="645"/>
      <c r="F258" s="645"/>
      <c r="G258" s="645"/>
      <c r="H258" s="645"/>
      <c r="I258" s="645"/>
      <c r="J258" s="645"/>
      <c r="K258" s="645"/>
      <c r="L258" s="645"/>
      <c r="M258" s="645"/>
      <c r="N258" s="645"/>
      <c r="O258" s="645"/>
      <c r="P258" s="645"/>
      <c r="Q258" s="25"/>
      <c r="R258" s="660"/>
      <c r="S258" s="661"/>
      <c r="T258" s="662"/>
    </row>
    <row r="259" spans="1:20" ht="14.1" customHeight="1" x14ac:dyDescent="0.3">
      <c r="A259" s="632" t="s">
        <v>37</v>
      </c>
      <c r="B259" s="633"/>
      <c r="C259" s="642"/>
      <c r="D259" s="642"/>
      <c r="E259" s="642"/>
      <c r="F259" s="642"/>
      <c r="G259" s="642"/>
      <c r="H259" s="642"/>
      <c r="I259" s="642"/>
      <c r="J259" s="642"/>
      <c r="K259" s="642"/>
      <c r="L259" s="642"/>
      <c r="M259" s="642"/>
      <c r="N259" s="642"/>
      <c r="O259" s="642"/>
      <c r="P259" s="642"/>
      <c r="Q259" s="25"/>
      <c r="R259" s="643"/>
      <c r="S259" s="644"/>
      <c r="T259" s="27" t="s">
        <v>91</v>
      </c>
    </row>
    <row r="260" spans="1:20" ht="14.1" customHeight="1" x14ac:dyDescent="0.3">
      <c r="A260" s="639" t="s">
        <v>12</v>
      </c>
      <c r="B260" s="640"/>
      <c r="C260" s="641"/>
      <c r="D260" s="641"/>
      <c r="E260" s="641"/>
      <c r="F260" s="641"/>
      <c r="G260" s="641"/>
      <c r="H260" s="641"/>
      <c r="I260" s="641"/>
      <c r="J260" s="641"/>
      <c r="K260" s="641"/>
      <c r="L260" s="641"/>
      <c r="M260" s="641"/>
      <c r="N260" s="641"/>
      <c r="O260" s="641"/>
      <c r="P260" s="641"/>
      <c r="Q260" s="26"/>
      <c r="R260" s="635" t="s">
        <v>34</v>
      </c>
      <c r="S260" s="636"/>
      <c r="T260" s="60">
        <f>T197+C260+E260+G260+I260+K260+O260</f>
        <v>167593</v>
      </c>
    </row>
    <row r="261" spans="1:20" ht="14.1" customHeight="1" x14ac:dyDescent="0.3">
      <c r="A261" s="637" t="s">
        <v>3</v>
      </c>
      <c r="B261" s="638"/>
      <c r="C261" s="634"/>
      <c r="D261" s="634"/>
      <c r="E261" s="634">
        <f>E260*E257*12</f>
        <v>0</v>
      </c>
      <c r="F261" s="634"/>
      <c r="G261" s="634">
        <f>G260*G257*12</f>
        <v>0</v>
      </c>
      <c r="H261" s="634"/>
      <c r="I261" s="634">
        <f>I260*I257*12</f>
        <v>0</v>
      </c>
      <c r="J261" s="634"/>
      <c r="K261" s="634">
        <f>K260*K257*12</f>
        <v>0</v>
      </c>
      <c r="L261" s="634"/>
      <c r="M261" s="634">
        <f>M260*M257*12</f>
        <v>0</v>
      </c>
      <c r="N261" s="634"/>
      <c r="O261" s="634">
        <f>O260*O257*12</f>
        <v>0</v>
      </c>
      <c r="P261" s="634"/>
      <c r="Q261" s="26"/>
      <c r="R261" s="635" t="s">
        <v>33</v>
      </c>
      <c r="S261" s="636"/>
      <c r="T261" s="51">
        <f>T198+C261+E261+G261+I261+K261+O261</f>
        <v>45652620</v>
      </c>
    </row>
    <row r="262" spans="1:20" ht="14.1" customHeight="1" x14ac:dyDescent="0.3">
      <c r="A262" s="637" t="s">
        <v>4</v>
      </c>
      <c r="B262" s="638"/>
      <c r="C262" s="634"/>
      <c r="D262" s="634"/>
      <c r="E262" s="634">
        <f ca="1">E260*F257</f>
        <v>0</v>
      </c>
      <c r="F262" s="634"/>
      <c r="G262" s="634">
        <f ca="1">G260*H257</f>
        <v>0</v>
      </c>
      <c r="H262" s="634"/>
      <c r="I262" s="634">
        <f ca="1">I260*J257</f>
        <v>0</v>
      </c>
      <c r="J262" s="634"/>
      <c r="K262" s="634">
        <f ca="1">K260*L257</f>
        <v>0</v>
      </c>
      <c r="L262" s="634"/>
      <c r="M262" s="634">
        <f ca="1">M260*N257</f>
        <v>0</v>
      </c>
      <c r="N262" s="634"/>
      <c r="O262" s="634">
        <f ca="1">O260*P257</f>
        <v>0</v>
      </c>
      <c r="P262" s="634"/>
      <c r="Q262" s="26"/>
      <c r="R262" s="635" t="s">
        <v>31</v>
      </c>
      <c r="S262" s="636"/>
      <c r="T262" s="51">
        <f ca="1">T199+C262+E262+G262+I262+K262+O262</f>
        <v>2385666</v>
      </c>
    </row>
    <row r="263" spans="1:20" ht="14.1" customHeight="1" thickBot="1" x14ac:dyDescent="0.35">
      <c r="A263" s="632" t="s">
        <v>18</v>
      </c>
      <c r="B263" s="633"/>
      <c r="C263" s="634"/>
      <c r="D263" s="634"/>
      <c r="E263" s="634">
        <f ca="1">E261-E262</f>
        <v>0</v>
      </c>
      <c r="F263" s="634"/>
      <c r="G263" s="634">
        <f ca="1">G261-G262</f>
        <v>0</v>
      </c>
      <c r="H263" s="634"/>
      <c r="I263" s="634">
        <f ca="1">I261-I262</f>
        <v>0</v>
      </c>
      <c r="J263" s="634"/>
      <c r="K263" s="634">
        <f ca="1">K261-K262</f>
        <v>0</v>
      </c>
      <c r="L263" s="634"/>
      <c r="M263" s="634">
        <f ca="1">M261-M262</f>
        <v>0</v>
      </c>
      <c r="N263" s="634"/>
      <c r="O263" s="634">
        <f ca="1">O261-O262</f>
        <v>0</v>
      </c>
      <c r="P263" s="634"/>
      <c r="Q263" s="26"/>
      <c r="R263" s="619" t="s">
        <v>35</v>
      </c>
      <c r="S263" s="620"/>
      <c r="T263" s="52">
        <f ca="1">T200+C263+E263+G263+I263+K263+O263</f>
        <v>43266954</v>
      </c>
    </row>
    <row r="264" spans="1:20" ht="14.1" customHeight="1" x14ac:dyDescent="0.3">
      <c r="A264" s="621" t="s">
        <v>202</v>
      </c>
      <c r="B264" s="457" t="s">
        <v>149</v>
      </c>
      <c r="C264" s="386"/>
      <c r="D264" s="385"/>
      <c r="E264" s="386"/>
      <c r="F264" s="387"/>
      <c r="G264" s="386"/>
      <c r="H264" s="388"/>
      <c r="I264" s="386"/>
      <c r="J264" s="388"/>
      <c r="K264" s="386"/>
      <c r="L264" s="385"/>
      <c r="M264" s="386"/>
      <c r="N264" s="389"/>
      <c r="O264" s="390"/>
      <c r="P264" s="389"/>
      <c r="Q264" s="6"/>
      <c r="R264" s="621" t="s">
        <v>202</v>
      </c>
      <c r="S264" s="352" t="s">
        <v>149</v>
      </c>
      <c r="T264" s="182">
        <f t="shared" ref="T264:T311" si="16">T201+C264+E264+G264+I264+K264+M264+O264</f>
        <v>50000000</v>
      </c>
    </row>
    <row r="265" spans="1:20" ht="14.1" customHeight="1" x14ac:dyDescent="0.3">
      <c r="A265" s="622"/>
      <c r="B265" s="458" t="s">
        <v>150</v>
      </c>
      <c r="C265" s="392"/>
      <c r="D265" s="391"/>
      <c r="E265" s="392"/>
      <c r="F265" s="393"/>
      <c r="G265" s="392"/>
      <c r="H265" s="394"/>
      <c r="I265" s="392"/>
      <c r="J265" s="394"/>
      <c r="K265" s="392"/>
      <c r="L265" s="391"/>
      <c r="M265" s="392"/>
      <c r="N265" s="395"/>
      <c r="O265" s="396"/>
      <c r="P265" s="395"/>
      <c r="Q265" s="6"/>
      <c r="R265" s="622"/>
      <c r="S265" s="353" t="s">
        <v>150</v>
      </c>
      <c r="T265" s="183">
        <f t="shared" si="16"/>
        <v>200000</v>
      </c>
    </row>
    <row r="266" spans="1:20" ht="14.1" customHeight="1" x14ac:dyDescent="0.3">
      <c r="A266" s="622"/>
      <c r="B266" s="458" t="s">
        <v>151</v>
      </c>
      <c r="C266" s="392"/>
      <c r="D266" s="391"/>
      <c r="E266" s="392"/>
      <c r="F266" s="393"/>
      <c r="G266" s="392"/>
      <c r="H266" s="394"/>
      <c r="I266" s="392"/>
      <c r="J266" s="394"/>
      <c r="K266" s="392"/>
      <c r="L266" s="391"/>
      <c r="M266" s="392"/>
      <c r="N266" s="395"/>
      <c r="O266" s="396"/>
      <c r="P266" s="395"/>
      <c r="Q266" s="6"/>
      <c r="R266" s="622"/>
      <c r="S266" s="353" t="s">
        <v>151</v>
      </c>
      <c r="T266" s="183">
        <f t="shared" si="16"/>
        <v>50000000</v>
      </c>
    </row>
    <row r="267" spans="1:20" ht="14.1" customHeight="1" x14ac:dyDescent="0.3">
      <c r="A267" s="622"/>
      <c r="B267" s="458" t="s">
        <v>148</v>
      </c>
      <c r="C267" s="392"/>
      <c r="D267" s="391"/>
      <c r="E267" s="392"/>
      <c r="F267" s="393"/>
      <c r="G267" s="392"/>
      <c r="H267" s="394"/>
      <c r="I267" s="392"/>
      <c r="J267" s="394"/>
      <c r="K267" s="392"/>
      <c r="L267" s="391"/>
      <c r="M267" s="392"/>
      <c r="N267" s="395"/>
      <c r="O267" s="396"/>
      <c r="P267" s="395"/>
      <c r="Q267" s="6"/>
      <c r="R267" s="622"/>
      <c r="S267" s="353" t="s">
        <v>148</v>
      </c>
      <c r="T267" s="183">
        <f t="shared" si="16"/>
        <v>200000</v>
      </c>
    </row>
    <row r="268" spans="1:20" ht="14.1" customHeight="1" thickBot="1" x14ac:dyDescent="0.35">
      <c r="A268" s="623"/>
      <c r="B268" s="459" t="s">
        <v>89</v>
      </c>
      <c r="C268" s="398"/>
      <c r="D268" s="397"/>
      <c r="E268" s="398"/>
      <c r="F268" s="399"/>
      <c r="G268" s="398"/>
      <c r="H268" s="400"/>
      <c r="I268" s="398"/>
      <c r="J268" s="400"/>
      <c r="K268" s="398"/>
      <c r="L268" s="397"/>
      <c r="M268" s="398"/>
      <c r="N268" s="401"/>
      <c r="O268" s="402"/>
      <c r="P268" s="401"/>
      <c r="Q268" s="6"/>
      <c r="R268" s="623"/>
      <c r="S268" s="354" t="s">
        <v>89</v>
      </c>
      <c r="T268" s="184">
        <f t="shared" si="16"/>
        <v>3500000</v>
      </c>
    </row>
    <row r="269" spans="1:20" ht="14.1" customHeight="1" x14ac:dyDescent="0.3">
      <c r="A269" s="624" t="s">
        <v>50</v>
      </c>
      <c r="B269" s="460" t="s">
        <v>203</v>
      </c>
      <c r="C269" s="386"/>
      <c r="D269" s="403"/>
      <c r="E269" s="386"/>
      <c r="F269" s="388"/>
      <c r="G269" s="386"/>
      <c r="H269" s="388"/>
      <c r="I269" s="386"/>
      <c r="J269" s="388"/>
      <c r="K269" s="386"/>
      <c r="L269" s="405"/>
      <c r="M269" s="386"/>
      <c r="N269" s="385"/>
      <c r="O269" s="386"/>
      <c r="P269" s="389"/>
      <c r="Q269" s="6"/>
      <c r="R269" s="626" t="s">
        <v>50</v>
      </c>
      <c r="S269" s="490" t="s">
        <v>168</v>
      </c>
      <c r="T269" s="182">
        <f t="shared" si="16"/>
        <v>50000000</v>
      </c>
    </row>
    <row r="270" spans="1:20" ht="14.1" customHeight="1" x14ac:dyDescent="0.3">
      <c r="A270" s="625"/>
      <c r="B270" s="481" t="s">
        <v>205</v>
      </c>
      <c r="C270" s="392"/>
      <c r="D270" s="407"/>
      <c r="E270" s="392"/>
      <c r="F270" s="404"/>
      <c r="G270" s="392"/>
      <c r="H270" s="404"/>
      <c r="I270" s="392"/>
      <c r="J270" s="404"/>
      <c r="K270" s="392"/>
      <c r="L270" s="408"/>
      <c r="M270" s="392"/>
      <c r="N270" s="406"/>
      <c r="O270" s="409"/>
      <c r="P270" s="410"/>
      <c r="Q270" s="6"/>
      <c r="R270" s="627"/>
      <c r="S270" s="491" t="s">
        <v>205</v>
      </c>
      <c r="T270" s="183">
        <f t="shared" si="16"/>
        <v>10000000</v>
      </c>
    </row>
    <row r="271" spans="1:20" ht="14.1" customHeight="1" thickBot="1" x14ac:dyDescent="0.35">
      <c r="A271" s="625"/>
      <c r="B271" s="553" t="s">
        <v>211</v>
      </c>
      <c r="C271" s="398"/>
      <c r="D271" s="564"/>
      <c r="E271" s="398"/>
      <c r="F271" s="534"/>
      <c r="G271" s="398"/>
      <c r="H271" s="534"/>
      <c r="I271" s="398"/>
      <c r="J271" s="534"/>
      <c r="K271" s="398"/>
      <c r="L271" s="436"/>
      <c r="M271" s="435"/>
      <c r="N271" s="437"/>
      <c r="O271" s="435"/>
      <c r="P271" s="565"/>
      <c r="Q271" s="6"/>
      <c r="R271" s="627"/>
      <c r="S271" s="566" t="s">
        <v>211</v>
      </c>
      <c r="T271" s="183">
        <f t="shared" si="16"/>
        <v>0</v>
      </c>
    </row>
    <row r="272" spans="1:20" ht="14.1" customHeight="1" x14ac:dyDescent="0.3">
      <c r="A272" s="625"/>
      <c r="B272" s="554" t="s">
        <v>163</v>
      </c>
      <c r="C272" s="409"/>
      <c r="D272" s="407"/>
      <c r="E272" s="409"/>
      <c r="F272" s="404"/>
      <c r="G272" s="409"/>
      <c r="H272" s="404"/>
      <c r="I272" s="409"/>
      <c r="J272" s="404"/>
      <c r="K272" s="409"/>
      <c r="L272" s="408"/>
      <c r="M272" s="409"/>
      <c r="N272" s="406"/>
      <c r="O272" s="409"/>
      <c r="P272" s="410"/>
      <c r="Q272" s="6"/>
      <c r="R272" s="627"/>
      <c r="S272" s="343" t="s">
        <v>163</v>
      </c>
      <c r="T272" s="182">
        <f t="shared" si="16"/>
        <v>10000000</v>
      </c>
    </row>
    <row r="273" spans="1:20" ht="14.1" customHeight="1" x14ac:dyDescent="0.3">
      <c r="A273" s="625"/>
      <c r="B273" s="555" t="s">
        <v>162</v>
      </c>
      <c r="C273" s="392"/>
      <c r="D273" s="407"/>
      <c r="E273" s="392"/>
      <c r="F273" s="404"/>
      <c r="G273" s="392"/>
      <c r="H273" s="404"/>
      <c r="I273" s="392"/>
      <c r="J273" s="404"/>
      <c r="K273" s="392"/>
      <c r="L273" s="408"/>
      <c r="M273" s="409"/>
      <c r="N273" s="406"/>
      <c r="O273" s="409"/>
      <c r="P273" s="410"/>
      <c r="Q273" s="6"/>
      <c r="R273" s="627"/>
      <c r="S273" s="326" t="s">
        <v>162</v>
      </c>
      <c r="T273" s="183">
        <f t="shared" si="16"/>
        <v>10000000</v>
      </c>
    </row>
    <row r="274" spans="1:20" ht="14.1" customHeight="1" x14ac:dyDescent="0.3">
      <c r="A274" s="625"/>
      <c r="B274" s="556" t="s">
        <v>164</v>
      </c>
      <c r="C274" s="392"/>
      <c r="D274" s="407"/>
      <c r="E274" s="392"/>
      <c r="F274" s="404"/>
      <c r="G274" s="392"/>
      <c r="H274" s="404"/>
      <c r="I274" s="392"/>
      <c r="J274" s="404"/>
      <c r="K274" s="392"/>
      <c r="L274" s="408"/>
      <c r="M274" s="409"/>
      <c r="N274" s="406"/>
      <c r="O274" s="409"/>
      <c r="P274" s="410"/>
      <c r="Q274" s="6"/>
      <c r="R274" s="627"/>
      <c r="S274" s="343" t="s">
        <v>164</v>
      </c>
      <c r="T274" s="183">
        <f t="shared" si="16"/>
        <v>10000000</v>
      </c>
    </row>
    <row r="275" spans="1:20" ht="14.1" customHeight="1" x14ac:dyDescent="0.3">
      <c r="A275" s="625"/>
      <c r="B275" s="555" t="s">
        <v>165</v>
      </c>
      <c r="C275" s="392"/>
      <c r="D275" s="407"/>
      <c r="E275" s="392"/>
      <c r="F275" s="404"/>
      <c r="G275" s="392"/>
      <c r="H275" s="404"/>
      <c r="I275" s="392"/>
      <c r="J275" s="404"/>
      <c r="K275" s="392"/>
      <c r="L275" s="408"/>
      <c r="M275" s="409"/>
      <c r="N275" s="406"/>
      <c r="O275" s="409"/>
      <c r="P275" s="410"/>
      <c r="Q275" s="6"/>
      <c r="R275" s="627"/>
      <c r="S275" s="326" t="s">
        <v>165</v>
      </c>
      <c r="T275" s="183">
        <f t="shared" si="16"/>
        <v>50000000</v>
      </c>
    </row>
    <row r="276" spans="1:20" ht="14.1" customHeight="1" x14ac:dyDescent="0.3">
      <c r="A276" s="625"/>
      <c r="B276" s="555" t="s">
        <v>184</v>
      </c>
      <c r="C276" s="392"/>
      <c r="D276" s="407"/>
      <c r="E276" s="392"/>
      <c r="F276" s="404"/>
      <c r="G276" s="392"/>
      <c r="H276" s="404"/>
      <c r="I276" s="392"/>
      <c r="J276" s="404"/>
      <c r="K276" s="392"/>
      <c r="L276" s="408"/>
      <c r="M276" s="409"/>
      <c r="N276" s="406"/>
      <c r="O276" s="409"/>
      <c r="P276" s="410"/>
      <c r="Q276" s="6"/>
      <c r="R276" s="627"/>
      <c r="S276" s="326" t="s">
        <v>184</v>
      </c>
      <c r="T276" s="183">
        <f t="shared" si="16"/>
        <v>20000000</v>
      </c>
    </row>
    <row r="277" spans="1:20" ht="14.1" customHeight="1" x14ac:dyDescent="0.3">
      <c r="A277" s="625"/>
      <c r="B277" s="555" t="s">
        <v>185</v>
      </c>
      <c r="C277" s="392"/>
      <c r="D277" s="407"/>
      <c r="E277" s="392"/>
      <c r="F277" s="404"/>
      <c r="G277" s="392"/>
      <c r="H277" s="404"/>
      <c r="I277" s="392"/>
      <c r="J277" s="404"/>
      <c r="K277" s="392"/>
      <c r="L277" s="408"/>
      <c r="M277" s="409"/>
      <c r="N277" s="406"/>
      <c r="O277" s="409"/>
      <c r="P277" s="410"/>
      <c r="Q277" s="6"/>
      <c r="R277" s="627"/>
      <c r="S277" s="326" t="s">
        <v>185</v>
      </c>
      <c r="T277" s="183">
        <f t="shared" si="16"/>
        <v>20000000</v>
      </c>
    </row>
    <row r="278" spans="1:20" ht="14.1" customHeight="1" x14ac:dyDescent="0.3">
      <c r="A278" s="625"/>
      <c r="B278" s="556" t="s">
        <v>166</v>
      </c>
      <c r="C278" s="392"/>
      <c r="D278" s="407"/>
      <c r="E278" s="411"/>
      <c r="F278" s="406"/>
      <c r="G278" s="411"/>
      <c r="H278" s="404"/>
      <c r="I278" s="411"/>
      <c r="J278" s="404"/>
      <c r="K278" s="411"/>
      <c r="L278" s="408"/>
      <c r="M278" s="412"/>
      <c r="N278" s="406"/>
      <c r="O278" s="409"/>
      <c r="P278" s="410"/>
      <c r="Q278" s="6"/>
      <c r="R278" s="627"/>
      <c r="S278" s="343" t="s">
        <v>166</v>
      </c>
      <c r="T278" s="183">
        <f t="shared" si="16"/>
        <v>7000000</v>
      </c>
    </row>
    <row r="279" spans="1:20" ht="14.1" customHeight="1" x14ac:dyDescent="0.3">
      <c r="A279" s="625"/>
      <c r="B279" s="555" t="s">
        <v>167</v>
      </c>
      <c r="C279" s="411"/>
      <c r="D279" s="413"/>
      <c r="E279" s="411"/>
      <c r="F279" s="406"/>
      <c r="G279" s="411"/>
      <c r="H279" s="404"/>
      <c r="I279" s="411"/>
      <c r="J279" s="404"/>
      <c r="K279" s="411"/>
      <c r="L279" s="408"/>
      <c r="M279" s="412"/>
      <c r="N279" s="406"/>
      <c r="O279" s="412"/>
      <c r="P279" s="414"/>
      <c r="Q279" s="6"/>
      <c r="R279" s="627"/>
      <c r="S279" s="326" t="s">
        <v>167</v>
      </c>
      <c r="T279" s="183">
        <f t="shared" si="16"/>
        <v>70000000</v>
      </c>
    </row>
    <row r="280" spans="1:20" ht="14.1" customHeight="1" thickBot="1" x14ac:dyDescent="0.35">
      <c r="A280" s="625"/>
      <c r="B280" s="557" t="s">
        <v>186</v>
      </c>
      <c r="C280" s="398"/>
      <c r="D280" s="397"/>
      <c r="E280" s="398"/>
      <c r="F280" s="415"/>
      <c r="G280" s="398"/>
      <c r="H280" s="404"/>
      <c r="I280" s="398"/>
      <c r="J280" s="404"/>
      <c r="K280" s="398"/>
      <c r="L280" s="408"/>
      <c r="M280" s="398"/>
      <c r="N280" s="406"/>
      <c r="O280" s="402"/>
      <c r="P280" s="401"/>
      <c r="Q280" s="6"/>
      <c r="R280" s="627"/>
      <c r="S280" s="327" t="s">
        <v>186</v>
      </c>
      <c r="T280" s="184">
        <f t="shared" si="16"/>
        <v>50000000</v>
      </c>
    </row>
    <row r="281" spans="1:20" ht="14.1" customHeight="1" x14ac:dyDescent="0.3">
      <c r="A281" s="628" t="s">
        <v>19</v>
      </c>
      <c r="B281" s="461" t="s">
        <v>193</v>
      </c>
      <c r="C281" s="392"/>
      <c r="D281" s="385"/>
      <c r="E281" s="392"/>
      <c r="F281" s="388"/>
      <c r="G281" s="392"/>
      <c r="H281" s="388"/>
      <c r="I281" s="392"/>
      <c r="J281" s="388"/>
      <c r="K281" s="392"/>
      <c r="L281" s="405"/>
      <c r="M281" s="386"/>
      <c r="N281" s="385"/>
      <c r="O281" s="396"/>
      <c r="P281" s="389"/>
      <c r="Q281" s="6"/>
      <c r="R281" s="630" t="s">
        <v>19</v>
      </c>
      <c r="S281" s="379" t="s">
        <v>51</v>
      </c>
      <c r="T281" s="182">
        <f t="shared" si="16"/>
        <v>10000000</v>
      </c>
    </row>
    <row r="282" spans="1:20" ht="14.1" customHeight="1" x14ac:dyDescent="0.3">
      <c r="A282" s="629"/>
      <c r="B282" s="462" t="s">
        <v>194</v>
      </c>
      <c r="C282" s="392"/>
      <c r="D282" s="406"/>
      <c r="E282" s="409"/>
      <c r="F282" s="404"/>
      <c r="G282" s="392"/>
      <c r="H282" s="404"/>
      <c r="I282" s="392"/>
      <c r="J282" s="404"/>
      <c r="K282" s="392"/>
      <c r="L282" s="408"/>
      <c r="M282" s="409"/>
      <c r="N282" s="406"/>
      <c r="O282" s="396"/>
      <c r="P282" s="410"/>
      <c r="Q282" s="6"/>
      <c r="R282" s="631"/>
      <c r="S282" s="380" t="s">
        <v>43</v>
      </c>
      <c r="T282" s="183">
        <f t="shared" si="16"/>
        <v>10000000</v>
      </c>
    </row>
    <row r="283" spans="1:20" ht="14.1" customHeight="1" thickBot="1" x14ac:dyDescent="0.35">
      <c r="A283" s="629"/>
      <c r="B283" s="463" t="s">
        <v>195</v>
      </c>
      <c r="C283" s="412"/>
      <c r="D283" s="416"/>
      <c r="E283" s="412"/>
      <c r="F283" s="417"/>
      <c r="G283" s="412"/>
      <c r="H283" s="417"/>
      <c r="I283" s="412"/>
      <c r="J283" s="417"/>
      <c r="K283" s="412"/>
      <c r="L283" s="418"/>
      <c r="M283" s="412"/>
      <c r="N283" s="416"/>
      <c r="O283" s="419"/>
      <c r="P283" s="414"/>
      <c r="Q283" s="6"/>
      <c r="R283" s="631"/>
      <c r="S283" s="381" t="s">
        <v>53</v>
      </c>
      <c r="T283" s="183">
        <f t="shared" si="16"/>
        <v>40000000</v>
      </c>
    </row>
    <row r="284" spans="1:20" ht="14.1" customHeight="1" x14ac:dyDescent="0.3">
      <c r="A284" s="629"/>
      <c r="B284" s="461" t="s">
        <v>196</v>
      </c>
      <c r="C284" s="386"/>
      <c r="D284" s="385"/>
      <c r="E284" s="386"/>
      <c r="F284" s="388"/>
      <c r="G284" s="386"/>
      <c r="H284" s="388"/>
      <c r="I284" s="386"/>
      <c r="J284" s="388"/>
      <c r="K284" s="386"/>
      <c r="L284" s="405"/>
      <c r="M284" s="386"/>
      <c r="N284" s="385"/>
      <c r="O284" s="390"/>
      <c r="P284" s="389"/>
      <c r="Q284" s="6"/>
      <c r="R284" s="631"/>
      <c r="S284" s="358" t="s">
        <v>65</v>
      </c>
      <c r="T284" s="182">
        <f t="shared" si="16"/>
        <v>10000000</v>
      </c>
    </row>
    <row r="285" spans="1:20" ht="14.1" customHeight="1" x14ac:dyDescent="0.3">
      <c r="A285" s="629"/>
      <c r="B285" s="488" t="s">
        <v>197</v>
      </c>
      <c r="C285" s="392"/>
      <c r="D285" s="406"/>
      <c r="E285" s="392"/>
      <c r="F285" s="404"/>
      <c r="G285" s="392"/>
      <c r="H285" s="404"/>
      <c r="I285" s="392"/>
      <c r="J285" s="404"/>
      <c r="K285" s="392"/>
      <c r="L285" s="408"/>
      <c r="M285" s="392"/>
      <c r="N285" s="406"/>
      <c r="O285" s="396"/>
      <c r="P285" s="410"/>
      <c r="Q285" s="6"/>
      <c r="R285" s="631"/>
      <c r="S285" s="359" t="s">
        <v>8</v>
      </c>
      <c r="T285" s="183">
        <f t="shared" si="16"/>
        <v>20000000</v>
      </c>
    </row>
    <row r="286" spans="1:20" ht="14.1" customHeight="1" thickBot="1" x14ac:dyDescent="0.35">
      <c r="A286" s="629"/>
      <c r="B286" s="489" t="s">
        <v>198</v>
      </c>
      <c r="C286" s="398"/>
      <c r="D286" s="397"/>
      <c r="E286" s="398"/>
      <c r="F286" s="400"/>
      <c r="G286" s="398"/>
      <c r="H286" s="400"/>
      <c r="I286" s="398"/>
      <c r="J286" s="400"/>
      <c r="K286" s="398"/>
      <c r="L286" s="420"/>
      <c r="M286" s="398"/>
      <c r="N286" s="397"/>
      <c r="O286" s="402"/>
      <c r="P286" s="421"/>
      <c r="Q286" s="6"/>
      <c r="R286" s="631"/>
      <c r="S286" s="360" t="s">
        <v>5</v>
      </c>
      <c r="T286" s="183">
        <f t="shared" si="16"/>
        <v>40000000</v>
      </c>
    </row>
    <row r="287" spans="1:20" ht="14.1" customHeight="1" x14ac:dyDescent="0.3">
      <c r="A287" s="629"/>
      <c r="B287" s="461" t="s">
        <v>210</v>
      </c>
      <c r="C287" s="386"/>
      <c r="D287" s="385"/>
      <c r="E287" s="386"/>
      <c r="F287" s="388"/>
      <c r="G287" s="386"/>
      <c r="H287" s="388"/>
      <c r="I287" s="386"/>
      <c r="J287" s="388"/>
      <c r="K287" s="386"/>
      <c r="L287" s="405"/>
      <c r="M287" s="386"/>
      <c r="N287" s="385"/>
      <c r="O287" s="390"/>
      <c r="P287" s="389"/>
      <c r="Q287" s="6"/>
      <c r="R287" s="631"/>
      <c r="S287" s="361" t="s">
        <v>199</v>
      </c>
      <c r="T287" s="182">
        <f t="shared" si="16"/>
        <v>10000000</v>
      </c>
    </row>
    <row r="288" spans="1:20" ht="14.1" customHeight="1" x14ac:dyDescent="0.3">
      <c r="A288" s="629"/>
      <c r="B288" s="488" t="s">
        <v>200</v>
      </c>
      <c r="C288" s="392"/>
      <c r="D288" s="406"/>
      <c r="E288" s="392"/>
      <c r="F288" s="404"/>
      <c r="G288" s="392"/>
      <c r="H288" s="404"/>
      <c r="I288" s="392"/>
      <c r="J288" s="404"/>
      <c r="K288" s="392"/>
      <c r="L288" s="408"/>
      <c r="M288" s="392"/>
      <c r="N288" s="406"/>
      <c r="O288" s="396"/>
      <c r="P288" s="410"/>
      <c r="Q288" s="6"/>
      <c r="R288" s="631"/>
      <c r="S288" s="362" t="s">
        <v>200</v>
      </c>
      <c r="T288" s="183">
        <f t="shared" si="16"/>
        <v>10000000</v>
      </c>
    </row>
    <row r="289" spans="1:20" ht="14.1" customHeight="1" thickBot="1" x14ac:dyDescent="0.35">
      <c r="A289" s="629"/>
      <c r="B289" s="489" t="s">
        <v>209</v>
      </c>
      <c r="C289" s="398"/>
      <c r="D289" s="397"/>
      <c r="E289" s="398"/>
      <c r="F289" s="400"/>
      <c r="G289" s="398"/>
      <c r="H289" s="400"/>
      <c r="I289" s="398"/>
      <c r="J289" s="400"/>
      <c r="K289" s="398"/>
      <c r="L289" s="420"/>
      <c r="M289" s="398"/>
      <c r="N289" s="397"/>
      <c r="O289" s="402"/>
      <c r="P289" s="421"/>
      <c r="Q289" s="6"/>
      <c r="R289" s="631"/>
      <c r="S289" s="363" t="s">
        <v>201</v>
      </c>
      <c r="T289" s="183">
        <f t="shared" si="16"/>
        <v>10000000</v>
      </c>
    </row>
    <row r="290" spans="1:20" ht="14.1" customHeight="1" x14ac:dyDescent="0.3">
      <c r="A290" s="611" t="s">
        <v>16</v>
      </c>
      <c r="B290" s="464" t="s">
        <v>36</v>
      </c>
      <c r="C290" s="386"/>
      <c r="D290" s="422"/>
      <c r="E290" s="386"/>
      <c r="F290" s="388"/>
      <c r="G290" s="386"/>
      <c r="H290" s="388"/>
      <c r="I290" s="386"/>
      <c r="J290" s="388"/>
      <c r="K290" s="386"/>
      <c r="L290" s="405"/>
      <c r="M290" s="386"/>
      <c r="N290" s="385"/>
      <c r="O290" s="390"/>
      <c r="P290" s="389"/>
      <c r="Q290" s="6"/>
      <c r="R290" s="611" t="s">
        <v>16</v>
      </c>
      <c r="S290" s="364" t="s">
        <v>36</v>
      </c>
      <c r="T290" s="182">
        <f t="shared" si="16"/>
        <v>30000000</v>
      </c>
    </row>
    <row r="291" spans="1:20" ht="14.1" customHeight="1" x14ac:dyDescent="0.3">
      <c r="A291" s="612"/>
      <c r="B291" s="465" t="s">
        <v>81</v>
      </c>
      <c r="C291" s="392"/>
      <c r="D291" s="423"/>
      <c r="E291" s="392"/>
      <c r="F291" s="424"/>
      <c r="G291" s="392"/>
      <c r="H291" s="394"/>
      <c r="I291" s="392"/>
      <c r="J291" s="394"/>
      <c r="K291" s="392"/>
      <c r="L291" s="425"/>
      <c r="M291" s="392"/>
      <c r="N291" s="391"/>
      <c r="O291" s="396"/>
      <c r="P291" s="395"/>
      <c r="Q291" s="6"/>
      <c r="R291" s="612"/>
      <c r="S291" s="365" t="s">
        <v>81</v>
      </c>
      <c r="T291" s="183">
        <f t="shared" si="16"/>
        <v>30000000</v>
      </c>
    </row>
    <row r="292" spans="1:20" ht="14.1" customHeight="1" x14ac:dyDescent="0.3">
      <c r="A292" s="612"/>
      <c r="B292" s="465" t="s">
        <v>78</v>
      </c>
      <c r="C292" s="392"/>
      <c r="D292" s="426"/>
      <c r="E292" s="392"/>
      <c r="F292" s="426"/>
      <c r="G292" s="392"/>
      <c r="H292" s="391"/>
      <c r="I292" s="392"/>
      <c r="J292" s="391"/>
      <c r="K292" s="392"/>
      <c r="L292" s="425"/>
      <c r="M292" s="392"/>
      <c r="N292" s="391"/>
      <c r="O292" s="396"/>
      <c r="P292" s="395"/>
      <c r="Q292" s="6"/>
      <c r="R292" s="612"/>
      <c r="S292" s="365" t="s">
        <v>78</v>
      </c>
      <c r="T292" s="183">
        <f t="shared" si="16"/>
        <v>100000000</v>
      </c>
    </row>
    <row r="293" spans="1:20" ht="14.1" customHeight="1" thickBot="1" x14ac:dyDescent="0.35">
      <c r="A293" s="613"/>
      <c r="B293" s="466" t="s">
        <v>87</v>
      </c>
      <c r="C293" s="398"/>
      <c r="D293" s="427"/>
      <c r="E293" s="398"/>
      <c r="F293" s="427"/>
      <c r="G293" s="392"/>
      <c r="H293" s="397"/>
      <c r="I293" s="392"/>
      <c r="J293" s="397"/>
      <c r="K293" s="392"/>
      <c r="L293" s="420"/>
      <c r="M293" s="398"/>
      <c r="N293" s="397"/>
      <c r="O293" s="402"/>
      <c r="P293" s="401"/>
      <c r="Q293" s="6"/>
      <c r="R293" s="613"/>
      <c r="S293" s="366" t="s">
        <v>87</v>
      </c>
      <c r="T293" s="183">
        <f t="shared" si="16"/>
        <v>100000000</v>
      </c>
    </row>
    <row r="294" spans="1:20" ht="14.1" customHeight="1" x14ac:dyDescent="0.3">
      <c r="A294" s="614" t="s">
        <v>47</v>
      </c>
      <c r="B294" s="467" t="s">
        <v>48</v>
      </c>
      <c r="C294" s="409"/>
      <c r="D294" s="428"/>
      <c r="E294" s="386"/>
      <c r="F294" s="388"/>
      <c r="G294" s="386"/>
      <c r="H294" s="385"/>
      <c r="I294" s="386"/>
      <c r="J294" s="385"/>
      <c r="K294" s="386"/>
      <c r="L294" s="405"/>
      <c r="M294" s="386"/>
      <c r="N294" s="385"/>
      <c r="O294" s="390"/>
      <c r="P294" s="389"/>
      <c r="Q294" s="6"/>
      <c r="R294" s="614" t="s">
        <v>47</v>
      </c>
      <c r="S294" s="367" t="s">
        <v>48</v>
      </c>
      <c r="T294" s="182">
        <f t="shared" si="16"/>
        <v>100000000</v>
      </c>
    </row>
    <row r="295" spans="1:20" ht="14.1" customHeight="1" x14ac:dyDescent="0.3">
      <c r="A295" s="615"/>
      <c r="B295" s="468" t="s">
        <v>44</v>
      </c>
      <c r="C295" s="392"/>
      <c r="D295" s="424"/>
      <c r="E295" s="392"/>
      <c r="F295" s="394"/>
      <c r="G295" s="392"/>
      <c r="H295" s="391"/>
      <c r="I295" s="392"/>
      <c r="J295" s="391"/>
      <c r="K295" s="392"/>
      <c r="L295" s="425"/>
      <c r="M295" s="392"/>
      <c r="N295" s="391"/>
      <c r="O295" s="396"/>
      <c r="P295" s="395"/>
      <c r="Q295" s="6"/>
      <c r="R295" s="615"/>
      <c r="S295" s="368" t="s">
        <v>44</v>
      </c>
      <c r="T295" s="183">
        <f t="shared" si="16"/>
        <v>0</v>
      </c>
    </row>
    <row r="296" spans="1:20" ht="14.1" customHeight="1" thickBot="1" x14ac:dyDescent="0.35">
      <c r="A296" s="616"/>
      <c r="B296" s="469" t="s">
        <v>54</v>
      </c>
      <c r="C296" s="398"/>
      <c r="D296" s="429"/>
      <c r="E296" s="398"/>
      <c r="F296" s="400"/>
      <c r="G296" s="398"/>
      <c r="H296" s="397"/>
      <c r="I296" s="398"/>
      <c r="J296" s="397"/>
      <c r="K296" s="398"/>
      <c r="L296" s="420"/>
      <c r="M296" s="398"/>
      <c r="N296" s="397"/>
      <c r="O296" s="430"/>
      <c r="P296" s="410"/>
      <c r="Q296" s="6"/>
      <c r="R296" s="616"/>
      <c r="S296" s="369" t="s">
        <v>54</v>
      </c>
      <c r="T296" s="183">
        <f t="shared" si="16"/>
        <v>1000000</v>
      </c>
    </row>
    <row r="297" spans="1:20" ht="14.1" customHeight="1" x14ac:dyDescent="0.3">
      <c r="A297" s="617" t="s">
        <v>39</v>
      </c>
      <c r="B297" s="470" t="s">
        <v>44</v>
      </c>
      <c r="C297" s="386"/>
      <c r="D297" s="403"/>
      <c r="E297" s="386"/>
      <c r="F297" s="404"/>
      <c r="G297" s="386"/>
      <c r="H297" s="406"/>
      <c r="I297" s="386"/>
      <c r="J297" s="406"/>
      <c r="K297" s="386"/>
      <c r="L297" s="405"/>
      <c r="M297" s="409"/>
      <c r="N297" s="406"/>
      <c r="O297" s="390"/>
      <c r="P297" s="389"/>
      <c r="Q297" s="6"/>
      <c r="R297" s="617" t="s">
        <v>39</v>
      </c>
      <c r="S297" s="480" t="s">
        <v>44</v>
      </c>
      <c r="T297" s="182">
        <f t="shared" si="16"/>
        <v>500000</v>
      </c>
    </row>
    <row r="298" spans="1:20" ht="14.1" customHeight="1" x14ac:dyDescent="0.3">
      <c r="A298" s="618"/>
      <c r="B298" s="470" t="s">
        <v>54</v>
      </c>
      <c r="C298" s="392"/>
      <c r="D298" s="426"/>
      <c r="E298" s="392"/>
      <c r="F298" s="394"/>
      <c r="G298" s="392"/>
      <c r="H298" s="391"/>
      <c r="I298" s="392"/>
      <c r="J298" s="391"/>
      <c r="K298" s="392"/>
      <c r="L298" s="425"/>
      <c r="M298" s="392"/>
      <c r="N298" s="406"/>
      <c r="O298" s="396"/>
      <c r="P298" s="395"/>
      <c r="Q298" s="6"/>
      <c r="R298" s="618"/>
      <c r="S298" s="480" t="s">
        <v>54</v>
      </c>
      <c r="T298" s="183">
        <f t="shared" si="16"/>
        <v>1300000</v>
      </c>
    </row>
    <row r="299" spans="1:20" ht="14.1" customHeight="1" x14ac:dyDescent="0.3">
      <c r="A299" s="618"/>
      <c r="B299" s="470" t="s">
        <v>204</v>
      </c>
      <c r="C299" s="392"/>
      <c r="D299" s="426"/>
      <c r="E299" s="392"/>
      <c r="F299" s="404"/>
      <c r="G299" s="392"/>
      <c r="H299" s="406"/>
      <c r="I299" s="392"/>
      <c r="J299" s="406"/>
      <c r="K299" s="392"/>
      <c r="L299" s="408"/>
      <c r="M299" s="392"/>
      <c r="N299" s="406"/>
      <c r="O299" s="396"/>
      <c r="P299" s="395"/>
      <c r="Q299" s="6"/>
      <c r="R299" s="618"/>
      <c r="S299" s="480" t="s">
        <v>204</v>
      </c>
      <c r="T299" s="183">
        <f t="shared" si="16"/>
        <v>10000000</v>
      </c>
    </row>
    <row r="300" spans="1:20" ht="14.1" customHeight="1" thickBot="1" x14ac:dyDescent="0.35">
      <c r="A300" s="618"/>
      <c r="B300" s="471" t="s">
        <v>113</v>
      </c>
      <c r="C300" s="411"/>
      <c r="D300" s="427"/>
      <c r="E300" s="411"/>
      <c r="F300" s="417"/>
      <c r="G300" s="411"/>
      <c r="H300" s="416"/>
      <c r="I300" s="411"/>
      <c r="J300" s="416"/>
      <c r="K300" s="411"/>
      <c r="L300" s="431"/>
      <c r="M300" s="411"/>
      <c r="N300" s="432"/>
      <c r="O300" s="433"/>
      <c r="P300" s="421"/>
      <c r="Q300" s="6"/>
      <c r="R300" s="618"/>
      <c r="S300" s="513" t="s">
        <v>113</v>
      </c>
      <c r="T300" s="183">
        <f t="shared" si="16"/>
        <v>0</v>
      </c>
    </row>
    <row r="301" spans="1:20" ht="14.1" customHeight="1" x14ac:dyDescent="0.3">
      <c r="A301" s="603" t="s">
        <v>215</v>
      </c>
      <c r="B301" s="472" t="s">
        <v>45</v>
      </c>
      <c r="C301" s="386"/>
      <c r="D301" s="403"/>
      <c r="E301" s="386"/>
      <c r="F301" s="388"/>
      <c r="G301" s="386"/>
      <c r="H301" s="385"/>
      <c r="I301" s="386"/>
      <c r="J301" s="385"/>
      <c r="K301" s="386"/>
      <c r="L301" s="405"/>
      <c r="M301" s="386"/>
      <c r="N301" s="385"/>
      <c r="O301" s="390"/>
      <c r="P301" s="389"/>
      <c r="Q301" s="6"/>
      <c r="R301" s="603" t="s">
        <v>215</v>
      </c>
      <c r="S301" s="483" t="s">
        <v>45</v>
      </c>
      <c r="T301" s="182">
        <f t="shared" si="16"/>
        <v>700000</v>
      </c>
    </row>
    <row r="302" spans="1:20" ht="14.1" customHeight="1" thickBot="1" x14ac:dyDescent="0.35">
      <c r="A302" s="604"/>
      <c r="B302" s="482" t="s">
        <v>42</v>
      </c>
      <c r="C302" s="435"/>
      <c r="D302" s="434"/>
      <c r="E302" s="435"/>
      <c r="F302" s="400"/>
      <c r="G302" s="435"/>
      <c r="H302" s="397"/>
      <c r="I302" s="435"/>
      <c r="J302" s="397"/>
      <c r="K302" s="435"/>
      <c r="L302" s="436"/>
      <c r="M302" s="435"/>
      <c r="N302" s="437"/>
      <c r="O302" s="438"/>
      <c r="P302" s="401"/>
      <c r="Q302" s="6"/>
      <c r="R302" s="604"/>
      <c r="S302" s="503" t="s">
        <v>42</v>
      </c>
      <c r="T302" s="183">
        <f t="shared" si="16"/>
        <v>200000</v>
      </c>
    </row>
    <row r="303" spans="1:20" ht="14.1" customHeight="1" x14ac:dyDescent="0.3">
      <c r="A303" s="605" t="s">
        <v>206</v>
      </c>
      <c r="B303" s="484" t="s">
        <v>207</v>
      </c>
      <c r="C303" s="412"/>
      <c r="D303" s="439"/>
      <c r="E303" s="412"/>
      <c r="F303" s="417"/>
      <c r="G303" s="412"/>
      <c r="H303" s="416"/>
      <c r="I303" s="412"/>
      <c r="J303" s="416"/>
      <c r="K303" s="412"/>
      <c r="L303" s="418"/>
      <c r="M303" s="412"/>
      <c r="N303" s="416"/>
      <c r="O303" s="419"/>
      <c r="P303" s="414"/>
      <c r="Q303" s="6"/>
      <c r="R303" s="605" t="s">
        <v>206</v>
      </c>
      <c r="S303" s="486" t="s">
        <v>207</v>
      </c>
      <c r="T303" s="182">
        <f t="shared" si="16"/>
        <v>0</v>
      </c>
    </row>
    <row r="304" spans="1:20" ht="14.1" customHeight="1" thickBot="1" x14ac:dyDescent="0.35">
      <c r="A304" s="606"/>
      <c r="B304" s="485" t="s">
        <v>208</v>
      </c>
      <c r="C304" s="412"/>
      <c r="D304" s="439"/>
      <c r="E304" s="412"/>
      <c r="F304" s="417"/>
      <c r="G304" s="412"/>
      <c r="H304" s="416"/>
      <c r="I304" s="412"/>
      <c r="J304" s="416"/>
      <c r="K304" s="412"/>
      <c r="L304" s="418"/>
      <c r="M304" s="412"/>
      <c r="N304" s="416"/>
      <c r="O304" s="419"/>
      <c r="P304" s="414"/>
      <c r="Q304" s="6"/>
      <c r="R304" s="607"/>
      <c r="S304" s="559" t="s">
        <v>208</v>
      </c>
      <c r="T304" s="183">
        <f t="shared" si="16"/>
        <v>0</v>
      </c>
    </row>
    <row r="305" spans="1:20" ht="14.1" customHeight="1" x14ac:dyDescent="0.3">
      <c r="A305" s="608" t="s">
        <v>125</v>
      </c>
      <c r="B305" s="473" t="s">
        <v>126</v>
      </c>
      <c r="C305" s="386"/>
      <c r="D305" s="422"/>
      <c r="E305" s="386"/>
      <c r="F305" s="388"/>
      <c r="G305" s="386"/>
      <c r="H305" s="405"/>
      <c r="I305" s="386"/>
      <c r="J305" s="385"/>
      <c r="K305" s="386"/>
      <c r="L305" s="405"/>
      <c r="M305" s="386"/>
      <c r="N305" s="385"/>
      <c r="O305" s="390"/>
      <c r="P305" s="389"/>
      <c r="Q305" s="6"/>
      <c r="R305" s="610" t="s">
        <v>125</v>
      </c>
      <c r="S305" s="562" t="s">
        <v>126</v>
      </c>
      <c r="T305" s="182">
        <f t="shared" si="16"/>
        <v>0</v>
      </c>
    </row>
    <row r="306" spans="1:20" ht="14.1" customHeight="1" x14ac:dyDescent="0.3">
      <c r="A306" s="608"/>
      <c r="B306" s="474" t="s">
        <v>127</v>
      </c>
      <c r="C306" s="412"/>
      <c r="D306" s="439"/>
      <c r="E306" s="412"/>
      <c r="F306" s="404"/>
      <c r="G306" s="412"/>
      <c r="H306" s="408"/>
      <c r="I306" s="412"/>
      <c r="J306" s="406"/>
      <c r="K306" s="412"/>
      <c r="L306" s="418"/>
      <c r="M306" s="412"/>
      <c r="N306" s="416"/>
      <c r="O306" s="419"/>
      <c r="P306" s="414"/>
      <c r="Q306" s="6"/>
      <c r="R306" s="608"/>
      <c r="S306" s="504" t="s">
        <v>127</v>
      </c>
      <c r="T306" s="183">
        <f t="shared" si="16"/>
        <v>0</v>
      </c>
    </row>
    <row r="307" spans="1:20" ht="14.1" customHeight="1" thickBot="1" x14ac:dyDescent="0.35">
      <c r="A307" s="609"/>
      <c r="B307" s="475" t="s">
        <v>128</v>
      </c>
      <c r="C307" s="398"/>
      <c r="D307" s="440"/>
      <c r="E307" s="398"/>
      <c r="F307" s="404"/>
      <c r="G307" s="398"/>
      <c r="H307" s="408"/>
      <c r="I307" s="398"/>
      <c r="J307" s="406"/>
      <c r="K307" s="398"/>
      <c r="L307" s="420"/>
      <c r="M307" s="398"/>
      <c r="N307" s="397"/>
      <c r="O307" s="402"/>
      <c r="P307" s="401"/>
      <c r="Q307" s="6"/>
      <c r="R307" s="609"/>
      <c r="S307" s="505" t="s">
        <v>128</v>
      </c>
      <c r="T307" s="183">
        <f t="shared" si="16"/>
        <v>0</v>
      </c>
    </row>
    <row r="308" spans="1:20" ht="14.1" customHeight="1" x14ac:dyDescent="0.3">
      <c r="A308" s="582" t="s">
        <v>52</v>
      </c>
      <c r="B308" s="476" t="s">
        <v>41</v>
      </c>
      <c r="C308" s="386"/>
      <c r="D308" s="441"/>
      <c r="E308" s="390"/>
      <c r="F308" s="388"/>
      <c r="G308" s="386"/>
      <c r="H308" s="405"/>
      <c r="I308" s="386"/>
      <c r="J308" s="385"/>
      <c r="K308" s="386"/>
      <c r="L308" s="405"/>
      <c r="M308" s="386"/>
      <c r="N308" s="385"/>
      <c r="O308" s="396"/>
      <c r="P308" s="389"/>
      <c r="Q308" s="6"/>
      <c r="R308" s="582" t="s">
        <v>52</v>
      </c>
      <c r="S308" s="377" t="s">
        <v>41</v>
      </c>
      <c r="T308" s="182">
        <f t="shared" si="16"/>
        <v>30000000</v>
      </c>
    </row>
    <row r="309" spans="1:20" ht="14.1" customHeight="1" x14ac:dyDescent="0.3">
      <c r="A309" s="583"/>
      <c r="B309" s="476" t="s">
        <v>11</v>
      </c>
      <c r="C309" s="392"/>
      <c r="D309" s="442"/>
      <c r="E309" s="396"/>
      <c r="F309" s="394"/>
      <c r="G309" s="392"/>
      <c r="H309" s="425"/>
      <c r="I309" s="392"/>
      <c r="J309" s="443"/>
      <c r="K309" s="392"/>
      <c r="L309" s="425"/>
      <c r="M309" s="392"/>
      <c r="N309" s="391"/>
      <c r="O309" s="396"/>
      <c r="P309" s="395"/>
      <c r="Q309" s="6"/>
      <c r="R309" s="583"/>
      <c r="S309" s="377" t="s">
        <v>11</v>
      </c>
      <c r="T309" s="183">
        <f t="shared" si="16"/>
        <v>30000000</v>
      </c>
    </row>
    <row r="310" spans="1:20" ht="14.1" customHeight="1" thickBot="1" x14ac:dyDescent="0.35">
      <c r="A310" s="584"/>
      <c r="B310" s="477" t="s">
        <v>27</v>
      </c>
      <c r="C310" s="409"/>
      <c r="D310" s="423"/>
      <c r="E310" s="430"/>
      <c r="F310" s="404"/>
      <c r="G310" s="409"/>
      <c r="H310" s="408"/>
      <c r="I310" s="409"/>
      <c r="J310" s="391"/>
      <c r="K310" s="409"/>
      <c r="L310" s="408"/>
      <c r="M310" s="409"/>
      <c r="N310" s="406"/>
      <c r="O310" s="396"/>
      <c r="P310" s="395"/>
      <c r="Q310" s="6"/>
      <c r="R310" s="584"/>
      <c r="S310" s="378" t="s">
        <v>27</v>
      </c>
      <c r="T310" s="183">
        <f t="shared" si="16"/>
        <v>200000000</v>
      </c>
    </row>
    <row r="311" spans="1:20" ht="14.1" customHeight="1" thickBot="1" x14ac:dyDescent="0.35">
      <c r="A311" s="585" t="s">
        <v>30</v>
      </c>
      <c r="B311" s="586"/>
      <c r="C311" s="445"/>
      <c r="D311" s="444"/>
      <c r="E311" s="445"/>
      <c r="F311" s="446"/>
      <c r="G311" s="445"/>
      <c r="H311" s="447"/>
      <c r="I311" s="445"/>
      <c r="J311" s="448"/>
      <c r="K311" s="445"/>
      <c r="L311" s="447"/>
      <c r="M311" s="445"/>
      <c r="N311" s="448"/>
      <c r="O311" s="449"/>
      <c r="P311" s="450"/>
      <c r="Q311" s="6"/>
      <c r="R311" s="585" t="s">
        <v>30</v>
      </c>
      <c r="S311" s="587"/>
      <c r="T311" s="182">
        <f t="shared" si="16"/>
        <v>100000000</v>
      </c>
    </row>
    <row r="312" spans="1:20" ht="14.1" customHeight="1" x14ac:dyDescent="0.3">
      <c r="A312" s="588" t="s">
        <v>38</v>
      </c>
      <c r="B312" s="589"/>
      <c r="C312" s="451"/>
      <c r="D312" s="385"/>
      <c r="E312" s="451"/>
      <c r="F312" s="391"/>
      <c r="G312" s="451"/>
      <c r="H312" s="405"/>
      <c r="I312" s="451"/>
      <c r="J312" s="452"/>
      <c r="K312" s="453"/>
      <c r="L312" s="405"/>
      <c r="M312" s="451"/>
      <c r="N312" s="408"/>
      <c r="O312" s="451"/>
      <c r="P312" s="389"/>
      <c r="Q312" s="6"/>
      <c r="R312" s="594" t="s">
        <v>38</v>
      </c>
      <c r="S312" s="597"/>
      <c r="T312" s="598"/>
    </row>
    <row r="313" spans="1:20" ht="14.1" customHeight="1" x14ac:dyDescent="0.3">
      <c r="A313" s="590"/>
      <c r="B313" s="591"/>
      <c r="C313" s="453"/>
      <c r="D313" s="391"/>
      <c r="E313" s="453"/>
      <c r="F313" s="406"/>
      <c r="G313" s="453"/>
      <c r="H313" s="425"/>
      <c r="I313" s="453"/>
      <c r="J313" s="391"/>
      <c r="K313" s="454"/>
      <c r="L313" s="425"/>
      <c r="M313" s="453"/>
      <c r="N313" s="425"/>
      <c r="O313" s="453"/>
      <c r="P313" s="395"/>
      <c r="Q313" s="6"/>
      <c r="R313" s="595"/>
      <c r="S313" s="599"/>
      <c r="T313" s="600"/>
    </row>
    <row r="314" spans="1:20" ht="14.1" customHeight="1" x14ac:dyDescent="0.3">
      <c r="A314" s="590"/>
      <c r="B314" s="591"/>
      <c r="C314" s="453"/>
      <c r="D314" s="391"/>
      <c r="E314" s="453"/>
      <c r="F314" s="406"/>
      <c r="G314" s="453"/>
      <c r="H314" s="425"/>
      <c r="I314" s="453"/>
      <c r="J314" s="406"/>
      <c r="K314" s="453"/>
      <c r="L314" s="391"/>
      <c r="M314" s="453"/>
      <c r="N314" s="408"/>
      <c r="O314" s="453"/>
      <c r="P314" s="395"/>
      <c r="Q314" s="6"/>
      <c r="R314" s="595"/>
      <c r="S314" s="599"/>
      <c r="T314" s="600"/>
    </row>
    <row r="315" spans="1:20" ht="14.1" customHeight="1" thickBot="1" x14ac:dyDescent="0.35">
      <c r="A315" s="592"/>
      <c r="B315" s="593"/>
      <c r="C315" s="455"/>
      <c r="D315" s="397"/>
      <c r="E315" s="455"/>
      <c r="F315" s="456"/>
      <c r="G315" s="455"/>
      <c r="H315" s="420"/>
      <c r="I315" s="455"/>
      <c r="J315" s="400"/>
      <c r="K315" s="455"/>
      <c r="L315" s="400"/>
      <c r="M315" s="455"/>
      <c r="N315" s="397"/>
      <c r="O315" s="455"/>
      <c r="P315" s="401"/>
      <c r="Q315" s="6"/>
      <c r="R315" s="596"/>
      <c r="S315" s="601"/>
      <c r="T315" s="602"/>
    </row>
  </sheetData>
  <protectedRanges>
    <protectedRange sqref="P38:P46" name="범위1_2_1"/>
    <protectedRange sqref="P49:P52" name="범위1_2_2"/>
    <protectedRange sqref="P31:P32 P34:P35 P37 L17:L24 J24:J25 J20:J21 N20:N24 H24:H25 H20:H21" name="범위1_2_3"/>
    <protectedRange sqref="O5 O8:P8 O6:P6 O1:P1" name="범위1_8"/>
    <protectedRange sqref="O2:P2 O4:P4" name="범위1_6_1"/>
    <protectedRange sqref="O7:P7" name="범위1_7_1"/>
    <protectedRange sqref="O38:O48 O12:O28 O53:O63" name="범위1_9"/>
    <protectedRange sqref="O49:O52" name="범위1_5_1"/>
    <protectedRange sqref="J12:J16 J22:J23 H12:H16 G53:J55 G26:J28 H22:H23 G35:J37" name="범위1_10"/>
    <protectedRange sqref="I12:I16 I21:I25 G12:G16 G21:G25" name="범위1_9_1"/>
    <protectedRange sqref="A1:B1" name="범위1_3_1"/>
    <protectedRange sqref="D53:D55 D22:D28" name="범위1_12"/>
    <protectedRange sqref="D35:D37" name="범위1_2_1_3"/>
    <protectedRange sqref="C53:C55 C22:C28 C35:C37" name="범위1_9_3"/>
    <protectedRange sqref="K68 I68 D110:D111 K81:K87 J96:K96 K94:K95 J101:L107 J91:L93 L94:L97 K88:L90 K108:L108 J111 L111 G68 E68 J81:J83 D116:D126 L109 C104:C105 C75:D78 I126:L126 I123:I125 F96 F101:F102 F92:F93 H96 H101:H107 H91:H93 E75:L79 F111 H111 F110:L110 E80:F83 G124 H81:H83 G112:L112 E91:F91 F125:H126 E112:E126 F123:G123 F105:F107 F113:I122 J113:J119 J121:J122 L113:L125 K113:K123 K125 D79:D92 M75:N97 M112:N126 N111 M101:N110 J99:K99 K97:K98 K100 F99 H99 G91:G107 I91:I107 E92:E110 L98:N100 P110:P111 P116:P126 P96 P75:P93 P99 O92:O100 K131 I131 D173:D174 K144:K150 J159:K159 K157:K158 J164:L170 J154:L156 L157:L160 K151:L153 K171:L171 J174 L174 G131 E131 J144:J146 D179:D189 L172 C167:C168 C138:D141 I189:L189 I186:I188 F159 F164:F165 F155:F156 H159 H164:H170 H154:H156 E138:L142 F174 H174 F173:L173 E143:F146 G187 H144:H146 G175:L175 E154:F154 F188:H189 E175:E189 F186:G186 F168:F170 F176:I185 J176:J182 J184:J185 L176:L188 K176:K186 K188 D142:D155 M138:N160 M175:N189 N174 M164:N173 J162:K162 K160:K161 K163 F162 H162 G154:G170 I154:I170 E155:E173 L161:N163 P173:P174 P179:P189 P159 P138:P156 P162 O155:O163 K194 I194 D236:D237 K207:K213 J222:K222 K220:K221 J227:L233 J217:L219 L220:L223 K214:L216 K234:L234 J237 L237 G194 E194 J207:J209 D242:D252 L235 C230:C231 C201:D204 I252:L252 I249:I251 F222 F227:F228 F218:F219 H222 H227:H233 H217:H219 E201:L205 F237 H237 F236:L236 E206:F209 G250 H207:H209 G238:L238 E217:F217 F251:H252 E238:E252 F249:G249 F231:F233 F239:I248 J239:J245 J247:J248 L239:L251 K239:K249 K251 D205:D218 M201:N223 M238:N252 N237 M227:N236 J225:K225 K223:K224 K226 F225 H225 G217:G233 I217:I233 E218:E236 L224:N226 P236:P237 P242:P252 P222 P201:P219 P225 O218:O226 K257 I257 D299:D300 K270:K276 J285:K285 K283:K284 J290:L296 J280:L282 L283:L286 K277:L279 K297:L297 J300 L300 G257 E257 J270:J272 D305:D315 L298 C293:C294 C264:D267 I315:L315 I312:I314 F285 F290:F291 F281:F282 H285 H290:H296 H280:H282 E264:L268 F300 H300 F299:L299 E269:F272 G313 H270:H272 G301:L301 E280:F280 F314:H315 E301:E315 F312:G312 F294:F296 F302:I311 J302:J308 J310:J311 L302:L314 K302:K312 K314 D268:D281 M264:N286 M301:N315 N300 M290:N299 J288:K288 K286:K287 K289 F288 H288 G280:G296 I280:I296 E281:E299 L287:N289 P299:P300 P305:P315 P285 P264:P282 P288 O281:O289" name="범위1_3"/>
    <protectedRange sqref="J108:J109 D103:D109 H123:H124 F108:F109 H108:H109 F112 J123:J125 F103:F104 D93:D101 P101:P109 J171:J172 D166:D172 H186:H187 F171:F172 H171:H172 F175 J186:J188 F166:F167 D156:D164 P164:P172 J234:J235 D229:D235 H249:H250 F234:F235 H234:H235 F238 J249:J251 F229:F230 D219:D227 P227:P235 J297:J298 D292:D298 H312:H313 F297:F298 H297:H298 F301 J312:J314 F292:F293 D282:D290 P290:P298" name="범위1_2_1_2"/>
    <protectedRange sqref="D112:D115 P112:P115 D175:D178 P175:P178 D238:D241 P238:P241 D301:D304 P301:P304" name="범위1_2_2_2"/>
    <protectedRange sqref="J94:J95 L80:L87 I81:I83 F94:F95 H94:H95 G80:J80 E84:J90 G81:G83 J97:J98 J100 F97:F98 F100 H97:H98 H100 P94:P95 P97:P98 P100 J157:J158 L143:L150 I144:I146 F157:F158 H157:H158 G143:J143 E147:J153 G144:G146 J160:J161 J163 F160:F161 F163 H160:H161 H163 P157:P158 P160:P161 P163 J220:J221 L206:L213 I207:I209 F220:F221 H220:H221 G206:J206 E210:J216 G207:G209 J223:J224 J226 F223:F224 F226 H223:H224 H226 P220:P221 P223:P224 P226 J283:J284 L269:L276 I270:I272 F283:F284 H283:H284 G269:J269 E273:J279 G270:G272 J286:J287 J289 F286:F287 F289 H286:H287 H289 P283:P284 P286:P287 P289" name="범위1_2_3_2"/>
    <protectedRange sqref="C68 M68 O68 M71:P71 M69:P69 C64:P64 C131 M131 O131 M134:P134 M132:P132 C127:P127 C194 M194 O194 M197:P197 M195:P195 C190:P190 C257 M257 O257 M260:P260 M258:P258 C253:P253" name="범위1_8_2"/>
    <protectedRange sqref="K67:L67 O65:P67 K130:L130 O128:P130 K193:L193 O191:P193 K256:L256 O254:P256" name="범위1_6_1_2"/>
    <protectedRange sqref="M70:P70 M133:P133 M196:P196 M259:P259" name="범위1_7_1_2"/>
    <protectedRange sqref="C116:C126 I108:I109 I111 K111 K109 D102 C106:C111 C102:C103 G108:G109 G111 E111 K80 M111 C79:C100 O116:O126 O101:O111 O75:O91 C179:C189 I171:I172 I174 K174 K172 D165 C169:C174 C165:C166 G171:G172 G174 E174 K143 M174 C142:C163 O179:O189 O164:O174 O138:O154 C242:C252 I234:I235 I237 K237 K235 D228 C232:C237 C228:C229 G234:G235 G237 E237 K206 M237 C205:C226 O242:O252 O227:O237 O201:O217 C305:C315 I297:I298 I300 K300 K298 D291 C295:C300 C291:C292 G297:G298 G300 E300 K269 M300 C268:C289 O305:O315 O290:O300 O264:O280" name="범위1_9_2"/>
    <protectedRange sqref="C112:C115 O112:O115 C175:C178 O175:O178 C238:C241 O238:O241 C301:C304 O301:O304" name="범위1_5_1_2"/>
    <protectedRange sqref="C67:J67 C65:L66 M65:N67 C130:J130 C128:L129 M128:N130 C193:J193 C191:L192 M191:N193 C256:J256 C254:L255 M254:N256" name="범위1_1_2"/>
    <protectedRange sqref="C69:L71 C132:L134 C195:L197 C258:L260" name="범위1_4_2"/>
    <protectedRange sqref="B60 B123 B186 B249 B312" name="범위1_10_1_1"/>
    <protectedRange sqref="T1" name="범위1_2_4"/>
    <protectedRange sqref="E53:F55" name="범위1_10_1"/>
    <protectedRange sqref="F22:F25 E26:F28 E35:F37" name="범위1_10_2_1"/>
    <protectedRange sqref="I20 E22:E25 G20" name="범위1_9_1_1_1"/>
    <protectedRange sqref="C12:D15 D16 D20:D21 E12:F16 E21:F21" name="범위1_5"/>
    <protectedRange sqref="E20:F20" name="범위1_2_3_3"/>
    <protectedRange sqref="C16 C20:C21" name="범위1_9_4"/>
    <protectedRange sqref="K5 I5 E5 G5" name="범위1"/>
    <protectedRange sqref="C5 M5 C1:N1" name="범위1_8_4"/>
    <protectedRange sqref="K2:L2 K4:L4" name="범위1_6_1_1"/>
    <protectedRange sqref="K3:L3 M2:N4 O3:P3 C2:J4" name="범위1_1_4"/>
    <protectedRange sqref="M8:N8 M6:N6" name="범위1_8_5"/>
    <protectedRange sqref="M7:N7" name="범위1_7_1_1"/>
    <protectedRange sqref="C6:L7 E8:L8" name="범위1_4_5"/>
    <protectedRange sqref="J18:J19 K17:K19 D17:D19 F19 H18:H19" name="범위1_17"/>
    <protectedRange sqref="I18:I19 E17:E19 G18:G19 G17:J17" name="범위1_2_3_1"/>
    <protectedRange sqref="C17:C19" name="범위1_9_10"/>
    <protectedRange sqref="J33:K33 K31:K32 K34 J29:K30 D29 I29:I34 F33 F29:F30 E29:E34 F17:F18 H33 H29:H30 G29:G34" name="범위1_22"/>
    <protectedRange sqref="D30:D34" name="범위1_2_1_6"/>
    <protectedRange sqref="J31:J32 J34 F31:F32 F34 H31:H32 H34" name="범위1_2_3_4"/>
    <protectedRange sqref="C29:C34" name="범위1_9_11"/>
    <protectedRange sqref="D47:D48 K45:N45 J48 L48 N48 D51:D52 L46:N46 C41:C42 F48 H48 E47 E38:N44 G47:N47 E49:N52" name="범위1_23"/>
    <protectedRange sqref="J45:J46 D38 D40:D46 H45:H46 F45:F47" name="범위1_2_1_7"/>
    <protectedRange sqref="D49:D50" name="범위1_2_2_1"/>
    <protectedRange sqref="C51:C52 I45:I46 I48 K48 M48 K46 D39 C43:C48 C39:C40 E45:E46 E48 G45:G46 G48" name="범위1_9_12"/>
    <protectedRange sqref="C49:C50" name="범위1_5_1_1"/>
    <protectedRange sqref="K60:N62 I60:I62 D56:D63 E62:F63 E60:E61 G63:N63 G60:G62 E56:N59" name="범위1_24"/>
    <protectedRange sqref="J60:J62 F60:F61 H60:H62" name="범위1_2_1_8"/>
    <protectedRange sqref="C56:C63" name="범위1_9_13"/>
    <protectedRange sqref="C8:D8" name="범위1_4_5_1"/>
  </protectedRanges>
  <mergeCells count="565">
    <mergeCell ref="M1:N1"/>
    <mergeCell ref="O1:P1"/>
    <mergeCell ref="R1:S1"/>
    <mergeCell ref="A2:B2"/>
    <mergeCell ref="C2:D2"/>
    <mergeCell ref="E2:F2"/>
    <mergeCell ref="G2:H2"/>
    <mergeCell ref="I2:J2"/>
    <mergeCell ref="K2:L2"/>
    <mergeCell ref="M2:N2"/>
    <mergeCell ref="A1:B1"/>
    <mergeCell ref="C1:D1"/>
    <mergeCell ref="E1:F1"/>
    <mergeCell ref="G1:H1"/>
    <mergeCell ref="I1:J1"/>
    <mergeCell ref="K1:L1"/>
    <mergeCell ref="O2:P2"/>
    <mergeCell ref="R2:T6"/>
    <mergeCell ref="A3:B3"/>
    <mergeCell ref="C3:D3"/>
    <mergeCell ref="E3:F3"/>
    <mergeCell ref="G3:H3"/>
    <mergeCell ref="I3:J3"/>
    <mergeCell ref="K3:L3"/>
    <mergeCell ref="M3:N3"/>
    <mergeCell ref="O3:P3"/>
    <mergeCell ref="M4:N4"/>
    <mergeCell ref="O4:P4"/>
    <mergeCell ref="A5:B5"/>
    <mergeCell ref="A6:B6"/>
    <mergeCell ref="C6:D6"/>
    <mergeCell ref="E6:F6"/>
    <mergeCell ref="G6:H6"/>
    <mergeCell ref="I6:J6"/>
    <mergeCell ref="K6:L6"/>
    <mergeCell ref="M6:N6"/>
    <mergeCell ref="A4:B4"/>
    <mergeCell ref="C4:D4"/>
    <mergeCell ref="E4:F4"/>
    <mergeCell ref="G4:H4"/>
    <mergeCell ref="I4:J4"/>
    <mergeCell ref="K4:L4"/>
    <mergeCell ref="O6:P6"/>
    <mergeCell ref="A7:B7"/>
    <mergeCell ref="C7:D7"/>
    <mergeCell ref="E7:F7"/>
    <mergeCell ref="G7:H7"/>
    <mergeCell ref="I7:J7"/>
    <mergeCell ref="K7:L7"/>
    <mergeCell ref="M7:N7"/>
    <mergeCell ref="O7:P7"/>
    <mergeCell ref="R7:S7"/>
    <mergeCell ref="A8:B8"/>
    <mergeCell ref="C8:D8"/>
    <mergeCell ref="E8:F8"/>
    <mergeCell ref="G8:H8"/>
    <mergeCell ref="I8:J8"/>
    <mergeCell ref="K8:L8"/>
    <mergeCell ref="M8:N8"/>
    <mergeCell ref="O8:P8"/>
    <mergeCell ref="R8:S8"/>
    <mergeCell ref="M9:N9"/>
    <mergeCell ref="O9:P9"/>
    <mergeCell ref="R9:S9"/>
    <mergeCell ref="A10:B10"/>
    <mergeCell ref="C10:D10"/>
    <mergeCell ref="E10:F10"/>
    <mergeCell ref="G10:H10"/>
    <mergeCell ref="I10:J10"/>
    <mergeCell ref="K10:L10"/>
    <mergeCell ref="M10:N10"/>
    <mergeCell ref="A9:B9"/>
    <mergeCell ref="C9:D9"/>
    <mergeCell ref="E9:F9"/>
    <mergeCell ref="G9:H9"/>
    <mergeCell ref="I9:J9"/>
    <mergeCell ref="K9:L9"/>
    <mergeCell ref="O10:P10"/>
    <mergeCell ref="R10:S10"/>
    <mergeCell ref="R38:R41"/>
    <mergeCell ref="A42:A44"/>
    <mergeCell ref="R42:R44"/>
    <mergeCell ref="A45:A48"/>
    <mergeCell ref="R45:R48"/>
    <mergeCell ref="R11:S11"/>
    <mergeCell ref="A12:A16"/>
    <mergeCell ref="R12:R16"/>
    <mergeCell ref="A17:A28"/>
    <mergeCell ref="R17:R28"/>
    <mergeCell ref="A29:A37"/>
    <mergeCell ref="R29:R37"/>
    <mergeCell ref="A11:B11"/>
    <mergeCell ref="C11:D11"/>
    <mergeCell ref="E11:F11"/>
    <mergeCell ref="G11:H11"/>
    <mergeCell ref="I11:J11"/>
    <mergeCell ref="K11:L11"/>
    <mergeCell ref="M11:N11"/>
    <mergeCell ref="O11:P11"/>
    <mergeCell ref="A38:A41"/>
    <mergeCell ref="A56:A58"/>
    <mergeCell ref="R56:R58"/>
    <mergeCell ref="A59:B59"/>
    <mergeCell ref="R59:S59"/>
    <mergeCell ref="A60:B63"/>
    <mergeCell ref="R60:R63"/>
    <mergeCell ref="S60:T63"/>
    <mergeCell ref="A49:A50"/>
    <mergeCell ref="R49:R50"/>
    <mergeCell ref="A51:A52"/>
    <mergeCell ref="R51:R52"/>
    <mergeCell ref="A53:A55"/>
    <mergeCell ref="R53:R55"/>
    <mergeCell ref="M64:N64"/>
    <mergeCell ref="O64:P64"/>
    <mergeCell ref="R64:S64"/>
    <mergeCell ref="A65:B65"/>
    <mergeCell ref="C65:D65"/>
    <mergeCell ref="E65:F65"/>
    <mergeCell ref="G65:H65"/>
    <mergeCell ref="I65:J65"/>
    <mergeCell ref="K65:L65"/>
    <mergeCell ref="M65:N65"/>
    <mergeCell ref="A64:B64"/>
    <mergeCell ref="C64:D64"/>
    <mergeCell ref="E64:F64"/>
    <mergeCell ref="G64:H64"/>
    <mergeCell ref="I64:J64"/>
    <mergeCell ref="K64:L64"/>
    <mergeCell ref="O65:P65"/>
    <mergeCell ref="R65:T69"/>
    <mergeCell ref="A66:B66"/>
    <mergeCell ref="C66:D66"/>
    <mergeCell ref="E66:F66"/>
    <mergeCell ref="G66:H66"/>
    <mergeCell ref="I66:J66"/>
    <mergeCell ref="K66:L66"/>
    <mergeCell ref="M66:N66"/>
    <mergeCell ref="O66:P66"/>
    <mergeCell ref="M67:N67"/>
    <mergeCell ref="O67:P67"/>
    <mergeCell ref="A68:B68"/>
    <mergeCell ref="A69:B69"/>
    <mergeCell ref="C69:D69"/>
    <mergeCell ref="E69:F69"/>
    <mergeCell ref="G69:H69"/>
    <mergeCell ref="I69:J69"/>
    <mergeCell ref="K69:L69"/>
    <mergeCell ref="M69:N69"/>
    <mergeCell ref="A67:B67"/>
    <mergeCell ref="C67:D67"/>
    <mergeCell ref="E67:F67"/>
    <mergeCell ref="G67:H67"/>
    <mergeCell ref="I67:J67"/>
    <mergeCell ref="K67:L67"/>
    <mergeCell ref="O69:P69"/>
    <mergeCell ref="A70:B70"/>
    <mergeCell ref="C70:D70"/>
    <mergeCell ref="E70:F70"/>
    <mergeCell ref="G70:H70"/>
    <mergeCell ref="I70:J70"/>
    <mergeCell ref="K70:L70"/>
    <mergeCell ref="M70:N70"/>
    <mergeCell ref="O70:P70"/>
    <mergeCell ref="R70:S70"/>
    <mergeCell ref="A71:B71"/>
    <mergeCell ref="C71:D71"/>
    <mergeCell ref="E71:F71"/>
    <mergeCell ref="G71:H71"/>
    <mergeCell ref="I71:J71"/>
    <mergeCell ref="K71:L71"/>
    <mergeCell ref="M71:N71"/>
    <mergeCell ref="O71:P71"/>
    <mergeCell ref="R71:S71"/>
    <mergeCell ref="M72:N72"/>
    <mergeCell ref="O72:P72"/>
    <mergeCell ref="R72:S72"/>
    <mergeCell ref="A73:B73"/>
    <mergeCell ref="C73:D73"/>
    <mergeCell ref="E73:F73"/>
    <mergeCell ref="G73:H73"/>
    <mergeCell ref="I73:J73"/>
    <mergeCell ref="K73:L73"/>
    <mergeCell ref="M73:N73"/>
    <mergeCell ref="A72:B72"/>
    <mergeCell ref="C72:D72"/>
    <mergeCell ref="E72:F72"/>
    <mergeCell ref="G72:H72"/>
    <mergeCell ref="I72:J72"/>
    <mergeCell ref="K72:L72"/>
    <mergeCell ref="O73:P73"/>
    <mergeCell ref="R73:S73"/>
    <mergeCell ref="R101:R104"/>
    <mergeCell ref="A105:A107"/>
    <mergeCell ref="R105:R107"/>
    <mergeCell ref="A108:A111"/>
    <mergeCell ref="R108:R111"/>
    <mergeCell ref="R74:S74"/>
    <mergeCell ref="A75:A79"/>
    <mergeCell ref="R75:R79"/>
    <mergeCell ref="A80:A91"/>
    <mergeCell ref="R80:R91"/>
    <mergeCell ref="A92:A100"/>
    <mergeCell ref="R92:R100"/>
    <mergeCell ref="A74:B74"/>
    <mergeCell ref="C74:D74"/>
    <mergeCell ref="E74:F74"/>
    <mergeCell ref="G74:H74"/>
    <mergeCell ref="I74:J74"/>
    <mergeCell ref="K74:L74"/>
    <mergeCell ref="M74:N74"/>
    <mergeCell ref="O74:P74"/>
    <mergeCell ref="A101:A104"/>
    <mergeCell ref="A119:A121"/>
    <mergeCell ref="R119:R121"/>
    <mergeCell ref="A122:B122"/>
    <mergeCell ref="R122:S122"/>
    <mergeCell ref="A123:B126"/>
    <mergeCell ref="R123:R126"/>
    <mergeCell ref="S123:T126"/>
    <mergeCell ref="A112:A113"/>
    <mergeCell ref="R112:R113"/>
    <mergeCell ref="A114:A115"/>
    <mergeCell ref="R114:R115"/>
    <mergeCell ref="A116:A118"/>
    <mergeCell ref="R116:R118"/>
    <mergeCell ref="M127:N127"/>
    <mergeCell ref="O127:P127"/>
    <mergeCell ref="R127:S127"/>
    <mergeCell ref="A128:B128"/>
    <mergeCell ref="C128:D128"/>
    <mergeCell ref="E128:F128"/>
    <mergeCell ref="G128:H128"/>
    <mergeCell ref="I128:J128"/>
    <mergeCell ref="K128:L128"/>
    <mergeCell ref="M128:N128"/>
    <mergeCell ref="A127:B127"/>
    <mergeCell ref="C127:D127"/>
    <mergeCell ref="E127:F127"/>
    <mergeCell ref="G127:H127"/>
    <mergeCell ref="I127:J127"/>
    <mergeCell ref="K127:L127"/>
    <mergeCell ref="O128:P128"/>
    <mergeCell ref="R128:T132"/>
    <mergeCell ref="A129:B129"/>
    <mergeCell ref="C129:D129"/>
    <mergeCell ref="E129:F129"/>
    <mergeCell ref="G129:H129"/>
    <mergeCell ref="I129:J129"/>
    <mergeCell ref="K129:L129"/>
    <mergeCell ref="M129:N129"/>
    <mergeCell ref="O129:P129"/>
    <mergeCell ref="M130:N130"/>
    <mergeCell ref="O130:P130"/>
    <mergeCell ref="A131:B131"/>
    <mergeCell ref="A132:B132"/>
    <mergeCell ref="C132:D132"/>
    <mergeCell ref="E132:F132"/>
    <mergeCell ref="G132:H132"/>
    <mergeCell ref="I132:J132"/>
    <mergeCell ref="K132:L132"/>
    <mergeCell ref="M132:N132"/>
    <mergeCell ref="A130:B130"/>
    <mergeCell ref="C130:D130"/>
    <mergeCell ref="E130:F130"/>
    <mergeCell ref="G130:H130"/>
    <mergeCell ref="I130:J130"/>
    <mergeCell ref="K130:L130"/>
    <mergeCell ref="O132:P132"/>
    <mergeCell ref="A133:B133"/>
    <mergeCell ref="C133:D133"/>
    <mergeCell ref="E133:F133"/>
    <mergeCell ref="G133:H133"/>
    <mergeCell ref="I133:J133"/>
    <mergeCell ref="K133:L133"/>
    <mergeCell ref="M133:N133"/>
    <mergeCell ref="O133:P133"/>
    <mergeCell ref="R133:S133"/>
    <mergeCell ref="A134:B134"/>
    <mergeCell ref="C134:D134"/>
    <mergeCell ref="E134:F134"/>
    <mergeCell ref="G134:H134"/>
    <mergeCell ref="I134:J134"/>
    <mergeCell ref="K134:L134"/>
    <mergeCell ref="M134:N134"/>
    <mergeCell ref="O134:P134"/>
    <mergeCell ref="R134:S134"/>
    <mergeCell ref="M135:N135"/>
    <mergeCell ref="O135:P135"/>
    <mergeCell ref="R135:S135"/>
    <mergeCell ref="A136:B136"/>
    <mergeCell ref="C136:D136"/>
    <mergeCell ref="E136:F136"/>
    <mergeCell ref="G136:H136"/>
    <mergeCell ref="I136:J136"/>
    <mergeCell ref="K136:L136"/>
    <mergeCell ref="M136:N136"/>
    <mergeCell ref="A135:B135"/>
    <mergeCell ref="C135:D135"/>
    <mergeCell ref="E135:F135"/>
    <mergeCell ref="G135:H135"/>
    <mergeCell ref="I135:J135"/>
    <mergeCell ref="K135:L135"/>
    <mergeCell ref="O136:P136"/>
    <mergeCell ref="R136:S136"/>
    <mergeCell ref="R164:R167"/>
    <mergeCell ref="A168:A170"/>
    <mergeCell ref="R168:R170"/>
    <mergeCell ref="A171:A174"/>
    <mergeCell ref="R171:R174"/>
    <mergeCell ref="R137:S137"/>
    <mergeCell ref="A138:A142"/>
    <mergeCell ref="R138:R142"/>
    <mergeCell ref="A143:A154"/>
    <mergeCell ref="R143:R154"/>
    <mergeCell ref="A155:A163"/>
    <mergeCell ref="R155:R163"/>
    <mergeCell ref="A137:B137"/>
    <mergeCell ref="C137:D137"/>
    <mergeCell ref="E137:F137"/>
    <mergeCell ref="G137:H137"/>
    <mergeCell ref="I137:J137"/>
    <mergeCell ref="K137:L137"/>
    <mergeCell ref="M137:N137"/>
    <mergeCell ref="O137:P137"/>
    <mergeCell ref="A164:A167"/>
    <mergeCell ref="A182:A184"/>
    <mergeCell ref="R182:R184"/>
    <mergeCell ref="A185:B185"/>
    <mergeCell ref="R185:S185"/>
    <mergeCell ref="A186:B189"/>
    <mergeCell ref="R186:R189"/>
    <mergeCell ref="S186:T189"/>
    <mergeCell ref="A175:A176"/>
    <mergeCell ref="R175:R176"/>
    <mergeCell ref="A177:A178"/>
    <mergeCell ref="R177:R178"/>
    <mergeCell ref="A179:A181"/>
    <mergeCell ref="R179:R181"/>
    <mergeCell ref="M190:N190"/>
    <mergeCell ref="O190:P190"/>
    <mergeCell ref="R190:S190"/>
    <mergeCell ref="A191:B191"/>
    <mergeCell ref="C191:D191"/>
    <mergeCell ref="E191:F191"/>
    <mergeCell ref="G191:H191"/>
    <mergeCell ref="I191:J191"/>
    <mergeCell ref="K191:L191"/>
    <mergeCell ref="M191:N191"/>
    <mergeCell ref="A190:B190"/>
    <mergeCell ref="C190:D190"/>
    <mergeCell ref="E190:F190"/>
    <mergeCell ref="G190:H190"/>
    <mergeCell ref="I190:J190"/>
    <mergeCell ref="K190:L190"/>
    <mergeCell ref="O191:P191"/>
    <mergeCell ref="R191:T195"/>
    <mergeCell ref="A192:B192"/>
    <mergeCell ref="C192:D192"/>
    <mergeCell ref="E192:F192"/>
    <mergeCell ref="G192:H192"/>
    <mergeCell ref="I192:J192"/>
    <mergeCell ref="K192:L192"/>
    <mergeCell ref="M192:N192"/>
    <mergeCell ref="O192:P192"/>
    <mergeCell ref="M193:N193"/>
    <mergeCell ref="O193:P193"/>
    <mergeCell ref="A194:B194"/>
    <mergeCell ref="A195:B195"/>
    <mergeCell ref="C195:D195"/>
    <mergeCell ref="E195:F195"/>
    <mergeCell ref="G195:H195"/>
    <mergeCell ref="I195:J195"/>
    <mergeCell ref="K195:L195"/>
    <mergeCell ref="M195:N195"/>
    <mergeCell ref="A193:B193"/>
    <mergeCell ref="C193:D193"/>
    <mergeCell ref="E193:F193"/>
    <mergeCell ref="G193:H193"/>
    <mergeCell ref="I193:J193"/>
    <mergeCell ref="K193:L193"/>
    <mergeCell ref="O195:P195"/>
    <mergeCell ref="A196:B196"/>
    <mergeCell ref="C196:D196"/>
    <mergeCell ref="E196:F196"/>
    <mergeCell ref="G196:H196"/>
    <mergeCell ref="I196:J196"/>
    <mergeCell ref="K196:L196"/>
    <mergeCell ref="M196:N196"/>
    <mergeCell ref="O196:P196"/>
    <mergeCell ref="R196:S196"/>
    <mergeCell ref="A197:B197"/>
    <mergeCell ref="C197:D197"/>
    <mergeCell ref="E197:F197"/>
    <mergeCell ref="G197:H197"/>
    <mergeCell ref="I197:J197"/>
    <mergeCell ref="K197:L197"/>
    <mergeCell ref="M197:N197"/>
    <mergeCell ref="O197:P197"/>
    <mergeCell ref="R197:S197"/>
    <mergeCell ref="M198:N198"/>
    <mergeCell ref="O198:P198"/>
    <mergeCell ref="R198:S198"/>
    <mergeCell ref="A199:B199"/>
    <mergeCell ref="C199:D199"/>
    <mergeCell ref="E199:F199"/>
    <mergeCell ref="G199:H199"/>
    <mergeCell ref="I199:J199"/>
    <mergeCell ref="K199:L199"/>
    <mergeCell ref="M199:N199"/>
    <mergeCell ref="A198:B198"/>
    <mergeCell ref="C198:D198"/>
    <mergeCell ref="E198:F198"/>
    <mergeCell ref="G198:H198"/>
    <mergeCell ref="I198:J198"/>
    <mergeCell ref="K198:L198"/>
    <mergeCell ref="O199:P199"/>
    <mergeCell ref="R199:S199"/>
    <mergeCell ref="R227:R230"/>
    <mergeCell ref="A231:A233"/>
    <mergeCell ref="R231:R233"/>
    <mergeCell ref="A234:A237"/>
    <mergeCell ref="R234:R237"/>
    <mergeCell ref="R200:S200"/>
    <mergeCell ref="A201:A205"/>
    <mergeCell ref="R201:R205"/>
    <mergeCell ref="A206:A217"/>
    <mergeCell ref="R206:R217"/>
    <mergeCell ref="A218:A226"/>
    <mergeCell ref="R218:R226"/>
    <mergeCell ref="A200:B200"/>
    <mergeCell ref="C200:D200"/>
    <mergeCell ref="E200:F200"/>
    <mergeCell ref="G200:H200"/>
    <mergeCell ref="I200:J200"/>
    <mergeCell ref="K200:L200"/>
    <mergeCell ref="M200:N200"/>
    <mergeCell ref="O200:P200"/>
    <mergeCell ref="A227:A230"/>
    <mergeCell ref="A245:A247"/>
    <mergeCell ref="R245:R247"/>
    <mergeCell ref="A248:B248"/>
    <mergeCell ref="R248:S248"/>
    <mergeCell ref="A249:B252"/>
    <mergeCell ref="R249:R252"/>
    <mergeCell ref="S249:T252"/>
    <mergeCell ref="A238:A239"/>
    <mergeCell ref="R238:R239"/>
    <mergeCell ref="A240:A241"/>
    <mergeCell ref="R240:R241"/>
    <mergeCell ref="A242:A244"/>
    <mergeCell ref="R242:R244"/>
    <mergeCell ref="M253:N253"/>
    <mergeCell ref="O253:P253"/>
    <mergeCell ref="R253:S253"/>
    <mergeCell ref="A254:B254"/>
    <mergeCell ref="C254:D254"/>
    <mergeCell ref="E254:F254"/>
    <mergeCell ref="G254:H254"/>
    <mergeCell ref="I254:J254"/>
    <mergeCell ref="K254:L254"/>
    <mergeCell ref="M254:N254"/>
    <mergeCell ref="A253:B253"/>
    <mergeCell ref="C253:D253"/>
    <mergeCell ref="E253:F253"/>
    <mergeCell ref="G253:H253"/>
    <mergeCell ref="I253:J253"/>
    <mergeCell ref="K253:L253"/>
    <mergeCell ref="O254:P254"/>
    <mergeCell ref="R254:T258"/>
    <mergeCell ref="A255:B255"/>
    <mergeCell ref="C255:D255"/>
    <mergeCell ref="E255:F255"/>
    <mergeCell ref="G255:H255"/>
    <mergeCell ref="I255:J255"/>
    <mergeCell ref="K255:L255"/>
    <mergeCell ref="M255:N255"/>
    <mergeCell ref="O255:P255"/>
    <mergeCell ref="M256:N256"/>
    <mergeCell ref="O256:P256"/>
    <mergeCell ref="A257:B257"/>
    <mergeCell ref="A258:B258"/>
    <mergeCell ref="C258:D258"/>
    <mergeCell ref="E258:F258"/>
    <mergeCell ref="G258:H258"/>
    <mergeCell ref="I258:J258"/>
    <mergeCell ref="K258:L258"/>
    <mergeCell ref="M258:N258"/>
    <mergeCell ref="A256:B256"/>
    <mergeCell ref="C256:D256"/>
    <mergeCell ref="E256:F256"/>
    <mergeCell ref="G256:H256"/>
    <mergeCell ref="I256:J256"/>
    <mergeCell ref="K256:L256"/>
    <mergeCell ref="O258:P258"/>
    <mergeCell ref="A259:B259"/>
    <mergeCell ref="C259:D259"/>
    <mergeCell ref="E259:F259"/>
    <mergeCell ref="G259:H259"/>
    <mergeCell ref="I259:J259"/>
    <mergeCell ref="K259:L259"/>
    <mergeCell ref="M259:N259"/>
    <mergeCell ref="O259:P259"/>
    <mergeCell ref="R259:S259"/>
    <mergeCell ref="A260:B260"/>
    <mergeCell ref="C260:D260"/>
    <mergeCell ref="E260:F260"/>
    <mergeCell ref="G260:H260"/>
    <mergeCell ref="I260:J260"/>
    <mergeCell ref="K260:L260"/>
    <mergeCell ref="M260:N260"/>
    <mergeCell ref="O260:P260"/>
    <mergeCell ref="R260:S260"/>
    <mergeCell ref="M261:N261"/>
    <mergeCell ref="O261:P261"/>
    <mergeCell ref="R261:S261"/>
    <mergeCell ref="A262:B262"/>
    <mergeCell ref="C262:D262"/>
    <mergeCell ref="E262:F262"/>
    <mergeCell ref="G262:H262"/>
    <mergeCell ref="I262:J262"/>
    <mergeCell ref="K262:L262"/>
    <mergeCell ref="M262:N262"/>
    <mergeCell ref="A261:B261"/>
    <mergeCell ref="C261:D261"/>
    <mergeCell ref="E261:F261"/>
    <mergeCell ref="G261:H261"/>
    <mergeCell ref="I261:J261"/>
    <mergeCell ref="K261:L261"/>
    <mergeCell ref="O262:P262"/>
    <mergeCell ref="R262:S262"/>
    <mergeCell ref="R290:R293"/>
    <mergeCell ref="A294:A296"/>
    <mergeCell ref="R294:R296"/>
    <mergeCell ref="A297:A300"/>
    <mergeCell ref="R297:R300"/>
    <mergeCell ref="R263:S263"/>
    <mergeCell ref="A264:A268"/>
    <mergeCell ref="R264:R268"/>
    <mergeCell ref="A269:A280"/>
    <mergeCell ref="R269:R280"/>
    <mergeCell ref="A281:A289"/>
    <mergeCell ref="R281:R289"/>
    <mergeCell ref="A263:B263"/>
    <mergeCell ref="C263:D263"/>
    <mergeCell ref="E263:F263"/>
    <mergeCell ref="G263:H263"/>
    <mergeCell ref="I263:J263"/>
    <mergeCell ref="K263:L263"/>
    <mergeCell ref="M263:N263"/>
    <mergeCell ref="O263:P263"/>
    <mergeCell ref="A290:A293"/>
    <mergeCell ref="A308:A310"/>
    <mergeCell ref="R308:R310"/>
    <mergeCell ref="A311:B311"/>
    <mergeCell ref="R311:S311"/>
    <mergeCell ref="A312:B315"/>
    <mergeCell ref="R312:R315"/>
    <mergeCell ref="S312:T315"/>
    <mergeCell ref="A301:A302"/>
    <mergeCell ref="R301:R302"/>
    <mergeCell ref="A303:A304"/>
    <mergeCell ref="R303:R304"/>
    <mergeCell ref="A305:A307"/>
    <mergeCell ref="R305:R307"/>
  </mergeCells>
  <phoneticPr fontId="26" type="noConversion"/>
  <printOptions horizontalCentered="1" verticalCentered="1"/>
  <pageMargins left="0" right="0" top="0" bottom="0" header="0" footer="0"/>
  <pageSetup paperSize="9" scale="63" orientation="landscape" r:id="rId1"/>
  <rowBreaks count="4" manualBreakCount="4">
    <brk id="63" max="19" man="1"/>
    <brk id="126" max="19" man="1"/>
    <brk id="189" max="19" man="1"/>
    <brk id="252" max="19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7375E"/>
  </sheetPr>
  <dimension ref="A1:U315"/>
  <sheetViews>
    <sheetView view="pageBreakPreview" zoomScaleNormal="100" zoomScaleSheetLayoutView="100" workbookViewId="0">
      <pane ySplit="11" topLeftCell="A12" activePane="bottomLeft" state="frozen"/>
      <selection pane="bottomLeft" activeCell="E52" sqref="E52"/>
    </sheetView>
  </sheetViews>
  <sheetFormatPr defaultColWidth="8.625" defaultRowHeight="14.1" customHeight="1" x14ac:dyDescent="0.3"/>
  <cols>
    <col min="1" max="1" width="7.625" style="5" customWidth="1"/>
    <col min="2" max="2" width="12.25" style="3" customWidth="1"/>
    <col min="3" max="3" width="14.625" style="3" customWidth="1"/>
    <col min="4" max="4" width="5.25" style="16" customWidth="1"/>
    <col min="5" max="5" width="14.625" style="3" customWidth="1"/>
    <col min="6" max="6" width="5.25" style="16" customWidth="1"/>
    <col min="7" max="7" width="14.625" style="3" customWidth="1"/>
    <col min="8" max="8" width="5.25" style="16" customWidth="1"/>
    <col min="9" max="9" width="14.625" style="4" customWidth="1"/>
    <col min="10" max="10" width="5.25" style="16" customWidth="1"/>
    <col min="11" max="11" width="14.625" style="185" customWidth="1"/>
    <col min="12" max="12" width="5.25" style="16" customWidth="1"/>
    <col min="13" max="13" width="14.625" style="16" customWidth="1"/>
    <col min="14" max="14" width="5.25" style="16" customWidth="1"/>
    <col min="15" max="15" width="14.625" style="4" customWidth="1"/>
    <col min="16" max="16" width="5.25" style="78" customWidth="1"/>
    <col min="17" max="17" width="3.625" style="4" customWidth="1"/>
    <col min="18" max="18" width="8.5" style="5" customWidth="1"/>
    <col min="19" max="19" width="12.5" style="3" customWidth="1"/>
    <col min="20" max="20" width="11.625" style="17" customWidth="1"/>
  </cols>
  <sheetData>
    <row r="1" spans="1:20" s="1" customFormat="1" ht="19.5" customHeight="1" x14ac:dyDescent="0.3">
      <c r="A1" s="652" t="s">
        <v>244</v>
      </c>
      <c r="B1" s="678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  <c r="P1" s="649"/>
      <c r="Q1" s="136"/>
      <c r="R1" s="650" t="s">
        <v>15</v>
      </c>
      <c r="S1" s="651"/>
      <c r="T1" s="137">
        <f ca="1">TODAY()</f>
        <v>46140</v>
      </c>
    </row>
    <row r="2" spans="1:20" ht="14.1" customHeight="1" x14ac:dyDescent="0.3">
      <c r="A2" s="647" t="s">
        <v>49</v>
      </c>
      <c r="B2" s="677"/>
      <c r="C2" s="645"/>
      <c r="D2" s="645"/>
      <c r="E2" s="645"/>
      <c r="F2" s="645"/>
      <c r="G2" s="645"/>
      <c r="H2" s="645"/>
      <c r="I2" s="645"/>
      <c r="J2" s="645"/>
      <c r="K2" s="645"/>
      <c r="L2" s="645"/>
      <c r="M2" s="645"/>
      <c r="N2" s="645"/>
      <c r="O2" s="645"/>
      <c r="P2" s="645"/>
      <c r="Q2" s="25"/>
      <c r="R2" s="679"/>
      <c r="S2" s="680"/>
      <c r="T2" s="681"/>
    </row>
    <row r="3" spans="1:20" ht="14.1" customHeight="1" x14ac:dyDescent="0.3">
      <c r="A3" s="637" t="s">
        <v>28</v>
      </c>
      <c r="B3" s="674"/>
      <c r="C3" s="645"/>
      <c r="D3" s="645"/>
      <c r="E3" s="645"/>
      <c r="F3" s="645"/>
      <c r="G3" s="645"/>
      <c r="H3" s="645"/>
      <c r="I3" s="645"/>
      <c r="J3" s="645"/>
      <c r="K3" s="645"/>
      <c r="L3" s="645"/>
      <c r="M3" s="645"/>
      <c r="N3" s="645"/>
      <c r="O3" s="645"/>
      <c r="P3" s="645"/>
      <c r="Q3" s="25"/>
      <c r="R3" s="682"/>
      <c r="S3" s="683"/>
      <c r="T3" s="684"/>
    </row>
    <row r="4" spans="1:20" ht="14.1" customHeight="1" x14ac:dyDescent="0.3">
      <c r="A4" s="647" t="s">
        <v>17</v>
      </c>
      <c r="B4" s="677"/>
      <c r="C4" s="646"/>
      <c r="D4" s="645"/>
      <c r="E4" s="646"/>
      <c r="F4" s="646"/>
      <c r="G4" s="646"/>
      <c r="H4" s="646"/>
      <c r="I4" s="646"/>
      <c r="J4" s="645"/>
      <c r="K4" s="646"/>
      <c r="L4" s="645"/>
      <c r="M4" s="646"/>
      <c r="N4" s="645"/>
      <c r="O4" s="646"/>
      <c r="P4" s="646"/>
      <c r="Q4" s="25"/>
      <c r="R4" s="682"/>
      <c r="S4" s="683"/>
      <c r="T4" s="684"/>
    </row>
    <row r="5" spans="1:20" ht="14.1" customHeight="1" x14ac:dyDescent="0.3">
      <c r="A5" s="647" t="s">
        <v>23</v>
      </c>
      <c r="B5" s="677"/>
      <c r="C5" s="383"/>
      <c r="D5" s="382"/>
      <c r="E5" s="383"/>
      <c r="F5" s="382"/>
      <c r="G5" s="383"/>
      <c r="H5" s="382"/>
      <c r="I5" s="383"/>
      <c r="J5" s="382">
        <f ca="1">IF(DATEDIF(I4,$T$1,"m")&lt;I5*12,DATEDIF(I4,$T$1,"m"),I5*12)</f>
        <v>0</v>
      </c>
      <c r="K5" s="383"/>
      <c r="L5" s="382">
        <f ca="1">IF(DATEDIF(K4,$T$1,"m")&lt;K5*12,DATEDIF(K4,$T$1,"m"),K5*12)</f>
        <v>0</v>
      </c>
      <c r="M5" s="383"/>
      <c r="N5" s="382">
        <f ca="1">IF(DATEDIF(M4,$T$1,"m")&lt;M5*12,DATEDIF(M4,$T$1,"m"),M5*12)</f>
        <v>0</v>
      </c>
      <c r="O5" s="383"/>
      <c r="P5" s="382">
        <f ca="1">IF(DATEDIF(O4,$T$1,"m")&lt;O5*12,DATEDIF(O4,$T$1,"m"),O5*12)</f>
        <v>0</v>
      </c>
      <c r="Q5" s="25"/>
      <c r="R5" s="682"/>
      <c r="S5" s="683"/>
      <c r="T5" s="684"/>
    </row>
    <row r="6" spans="1:20" ht="14.1" customHeight="1" x14ac:dyDescent="0.3">
      <c r="A6" s="647" t="s">
        <v>2</v>
      </c>
      <c r="B6" s="677"/>
      <c r="C6" s="645"/>
      <c r="D6" s="645"/>
      <c r="E6" s="645"/>
      <c r="F6" s="645"/>
      <c r="G6" s="645"/>
      <c r="H6" s="645"/>
      <c r="I6" s="645"/>
      <c r="J6" s="645"/>
      <c r="K6" s="645"/>
      <c r="L6" s="645"/>
      <c r="M6" s="645"/>
      <c r="N6" s="645"/>
      <c r="O6" s="645"/>
      <c r="P6" s="645"/>
      <c r="Q6" s="25"/>
      <c r="R6" s="685"/>
      <c r="S6" s="686"/>
      <c r="T6" s="687"/>
    </row>
    <row r="7" spans="1:20" ht="14.1" customHeight="1" x14ac:dyDescent="0.3">
      <c r="A7" s="632" t="s">
        <v>37</v>
      </c>
      <c r="B7" s="672"/>
      <c r="C7" s="642"/>
      <c r="D7" s="642"/>
      <c r="E7" s="642"/>
      <c r="F7" s="642"/>
      <c r="G7" s="642"/>
      <c r="H7" s="642"/>
      <c r="I7" s="642"/>
      <c r="J7" s="642"/>
      <c r="K7" s="642"/>
      <c r="L7" s="642"/>
      <c r="M7" s="642"/>
      <c r="N7" s="642"/>
      <c r="O7" s="642"/>
      <c r="P7" s="642"/>
      <c r="Q7" s="25"/>
      <c r="R7" s="643"/>
      <c r="S7" s="676"/>
      <c r="T7" s="478" t="s">
        <v>91</v>
      </c>
    </row>
    <row r="8" spans="1:20" ht="14.1" customHeight="1" x14ac:dyDescent="0.3">
      <c r="A8" s="639" t="s">
        <v>12</v>
      </c>
      <c r="B8" s="675"/>
      <c r="C8" s="641"/>
      <c r="D8" s="641"/>
      <c r="E8" s="641"/>
      <c r="F8" s="641"/>
      <c r="G8" s="641"/>
      <c r="H8" s="641"/>
      <c r="I8" s="641"/>
      <c r="J8" s="641"/>
      <c r="K8" s="641"/>
      <c r="L8" s="641"/>
      <c r="M8" s="641"/>
      <c r="N8" s="641"/>
      <c r="O8" s="641"/>
      <c r="P8" s="641"/>
      <c r="Q8" s="26"/>
      <c r="R8" s="637" t="s">
        <v>34</v>
      </c>
      <c r="S8" s="673"/>
      <c r="T8" s="79">
        <f>SUM(B8:P8)</f>
        <v>0</v>
      </c>
    </row>
    <row r="9" spans="1:20" ht="14.1" customHeight="1" x14ac:dyDescent="0.3">
      <c r="A9" s="637" t="s">
        <v>3</v>
      </c>
      <c r="B9" s="674"/>
      <c r="C9" s="634"/>
      <c r="D9" s="634"/>
      <c r="E9" s="634"/>
      <c r="F9" s="634"/>
      <c r="G9" s="634"/>
      <c r="H9" s="634"/>
      <c r="I9" s="634">
        <f>I8*I5*12</f>
        <v>0</v>
      </c>
      <c r="J9" s="634"/>
      <c r="K9" s="634">
        <f t="shared" ref="K9" si="0">K8*K5*12</f>
        <v>0</v>
      </c>
      <c r="L9" s="634"/>
      <c r="M9" s="634">
        <f t="shared" ref="M9" si="1">M8*M5*12</f>
        <v>0</v>
      </c>
      <c r="N9" s="634"/>
      <c r="O9" s="634">
        <f t="shared" ref="O9" si="2">O8*O5*12</f>
        <v>0</v>
      </c>
      <c r="P9" s="634"/>
      <c r="Q9" s="26"/>
      <c r="R9" s="637" t="s">
        <v>33</v>
      </c>
      <c r="S9" s="673"/>
      <c r="T9" s="80">
        <f t="shared" ref="T9:T11" si="3">SUM(B9:P9)</f>
        <v>0</v>
      </c>
    </row>
    <row r="10" spans="1:20" ht="14.1" customHeight="1" x14ac:dyDescent="0.3">
      <c r="A10" s="637" t="s">
        <v>4</v>
      </c>
      <c r="B10" s="674"/>
      <c r="C10" s="634"/>
      <c r="D10" s="634"/>
      <c r="E10" s="634"/>
      <c r="F10" s="634"/>
      <c r="G10" s="634"/>
      <c r="H10" s="634"/>
      <c r="I10" s="634">
        <f ca="1">I8*J5</f>
        <v>0</v>
      </c>
      <c r="J10" s="634"/>
      <c r="K10" s="634">
        <f t="shared" ref="K10" ca="1" si="4">K8*L5</f>
        <v>0</v>
      </c>
      <c r="L10" s="634"/>
      <c r="M10" s="634">
        <f t="shared" ref="M10" ca="1" si="5">M8*N5</f>
        <v>0</v>
      </c>
      <c r="N10" s="634"/>
      <c r="O10" s="634">
        <f t="shared" ref="O10" ca="1" si="6">O8*P5</f>
        <v>0</v>
      </c>
      <c r="P10" s="634"/>
      <c r="Q10" s="26"/>
      <c r="R10" s="637" t="s">
        <v>31</v>
      </c>
      <c r="S10" s="673"/>
      <c r="T10" s="80">
        <f t="shared" ca="1" si="3"/>
        <v>0</v>
      </c>
    </row>
    <row r="11" spans="1:20" ht="14.1" customHeight="1" thickBot="1" x14ac:dyDescent="0.35">
      <c r="A11" s="632" t="s">
        <v>18</v>
      </c>
      <c r="B11" s="672"/>
      <c r="C11" s="634"/>
      <c r="D11" s="634"/>
      <c r="E11" s="634"/>
      <c r="F11" s="634"/>
      <c r="G11" s="634"/>
      <c r="H11" s="634"/>
      <c r="I11" s="634">
        <f ca="1">I9-I10</f>
        <v>0</v>
      </c>
      <c r="J11" s="634"/>
      <c r="K11" s="634">
        <f t="shared" ref="K11" ca="1" si="7">K9-K10</f>
        <v>0</v>
      </c>
      <c r="L11" s="634"/>
      <c r="M11" s="634">
        <f t="shared" ref="M11" ca="1" si="8">M9-M10</f>
        <v>0</v>
      </c>
      <c r="N11" s="634"/>
      <c r="O11" s="634">
        <f t="shared" ref="O11" ca="1" si="9">O9-O10</f>
        <v>0</v>
      </c>
      <c r="P11" s="634"/>
      <c r="Q11" s="26"/>
      <c r="R11" s="663" t="s">
        <v>35</v>
      </c>
      <c r="S11" s="671"/>
      <c r="T11" s="80">
        <f t="shared" ca="1" si="3"/>
        <v>0</v>
      </c>
    </row>
    <row r="12" spans="1:20" ht="14.1" customHeight="1" x14ac:dyDescent="0.3">
      <c r="A12" s="621" t="s">
        <v>202</v>
      </c>
      <c r="B12" s="457" t="s">
        <v>149</v>
      </c>
      <c r="C12" s="514"/>
      <c r="D12" s="531"/>
      <c r="E12" s="514"/>
      <c r="F12" s="531"/>
      <c r="G12" s="514"/>
      <c r="H12" s="515"/>
      <c r="I12" s="390"/>
      <c r="J12" s="389"/>
      <c r="K12" s="386"/>
      <c r="L12" s="385"/>
      <c r="M12" s="386"/>
      <c r="N12" s="389"/>
      <c r="O12" s="390"/>
      <c r="P12" s="389"/>
      <c r="Q12" s="6"/>
      <c r="R12" s="621" t="s">
        <v>202</v>
      </c>
      <c r="S12" s="457" t="s">
        <v>149</v>
      </c>
      <c r="T12" s="81">
        <f>C12+E12+G12+I12+K12+M12+O12</f>
        <v>0</v>
      </c>
    </row>
    <row r="13" spans="1:20" ht="14.1" customHeight="1" x14ac:dyDescent="0.3">
      <c r="A13" s="622"/>
      <c r="B13" s="458" t="s">
        <v>150</v>
      </c>
      <c r="C13" s="517"/>
      <c r="D13" s="532"/>
      <c r="E13" s="517"/>
      <c r="F13" s="532"/>
      <c r="G13" s="517"/>
      <c r="H13" s="518"/>
      <c r="I13" s="396"/>
      <c r="J13" s="395"/>
      <c r="K13" s="392"/>
      <c r="L13" s="391"/>
      <c r="M13" s="392"/>
      <c r="N13" s="395"/>
      <c r="O13" s="396"/>
      <c r="P13" s="395"/>
      <c r="Q13" s="6"/>
      <c r="R13" s="622"/>
      <c r="S13" s="458" t="s">
        <v>150</v>
      </c>
      <c r="T13" s="82">
        <f t="shared" ref="T13:T59" si="10">C13+E13+G13+I13+K13+M13+O13</f>
        <v>0</v>
      </c>
    </row>
    <row r="14" spans="1:20" ht="14.1" customHeight="1" x14ac:dyDescent="0.3">
      <c r="A14" s="622"/>
      <c r="B14" s="458" t="s">
        <v>151</v>
      </c>
      <c r="C14" s="517"/>
      <c r="D14" s="532"/>
      <c r="E14" s="517"/>
      <c r="F14" s="519"/>
      <c r="G14" s="517"/>
      <c r="H14" s="518"/>
      <c r="I14" s="396"/>
      <c r="J14" s="395"/>
      <c r="K14" s="392"/>
      <c r="L14" s="391"/>
      <c r="M14" s="392"/>
      <c r="N14" s="395"/>
      <c r="O14" s="396"/>
      <c r="P14" s="395"/>
      <c r="Q14" s="6"/>
      <c r="R14" s="622"/>
      <c r="S14" s="458" t="s">
        <v>218</v>
      </c>
      <c r="T14" s="82">
        <f t="shared" si="10"/>
        <v>0</v>
      </c>
    </row>
    <row r="15" spans="1:20" ht="14.1" customHeight="1" x14ac:dyDescent="0.3">
      <c r="A15" s="622"/>
      <c r="B15" s="458" t="s">
        <v>148</v>
      </c>
      <c r="C15" s="517"/>
      <c r="D15" s="532"/>
      <c r="E15" s="517"/>
      <c r="F15" s="519"/>
      <c r="G15" s="517"/>
      <c r="H15" s="518"/>
      <c r="I15" s="396"/>
      <c r="J15" s="395"/>
      <c r="K15" s="392"/>
      <c r="L15" s="391"/>
      <c r="M15" s="392"/>
      <c r="N15" s="395"/>
      <c r="O15" s="396"/>
      <c r="P15" s="395"/>
      <c r="Q15" s="6"/>
      <c r="R15" s="622"/>
      <c r="S15" s="458" t="s">
        <v>219</v>
      </c>
      <c r="T15" s="82">
        <f t="shared" si="10"/>
        <v>0</v>
      </c>
    </row>
    <row r="16" spans="1:20" ht="14.1" customHeight="1" thickBot="1" x14ac:dyDescent="0.35">
      <c r="A16" s="623"/>
      <c r="B16" s="459" t="s">
        <v>89</v>
      </c>
      <c r="C16" s="520"/>
      <c r="D16" s="533"/>
      <c r="E16" s="520"/>
      <c r="F16" s="522"/>
      <c r="G16" s="520"/>
      <c r="H16" s="521"/>
      <c r="I16" s="402"/>
      <c r="J16" s="401"/>
      <c r="K16" s="398"/>
      <c r="L16" s="397"/>
      <c r="M16" s="398"/>
      <c r="N16" s="401"/>
      <c r="O16" s="402"/>
      <c r="P16" s="401"/>
      <c r="Q16" s="6"/>
      <c r="R16" s="623"/>
      <c r="S16" s="459" t="s">
        <v>89</v>
      </c>
      <c r="T16" s="84">
        <f t="shared" si="10"/>
        <v>0</v>
      </c>
    </row>
    <row r="17" spans="1:20" ht="14.1" customHeight="1" x14ac:dyDescent="0.3">
      <c r="A17" s="624" t="s">
        <v>50</v>
      </c>
      <c r="B17" s="460" t="s">
        <v>203</v>
      </c>
      <c r="C17" s="386"/>
      <c r="D17" s="509"/>
      <c r="E17" s="514"/>
      <c r="F17" s="528"/>
      <c r="G17" s="392"/>
      <c r="H17" s="415"/>
      <c r="I17" s="392"/>
      <c r="J17" s="404"/>
      <c r="K17" s="392"/>
      <c r="L17" s="509"/>
      <c r="M17" s="386"/>
      <c r="N17" s="406"/>
      <c r="O17" s="386"/>
      <c r="P17" s="389"/>
      <c r="Q17" s="6"/>
      <c r="R17" s="624" t="s">
        <v>50</v>
      </c>
      <c r="S17" s="490" t="s">
        <v>203</v>
      </c>
      <c r="T17" s="551">
        <f t="shared" si="10"/>
        <v>0</v>
      </c>
    </row>
    <row r="18" spans="1:20" ht="14.1" customHeight="1" x14ac:dyDescent="0.3">
      <c r="A18" s="625"/>
      <c r="B18" s="481" t="s">
        <v>205</v>
      </c>
      <c r="C18" s="392"/>
      <c r="D18" s="508"/>
      <c r="E18" s="392"/>
      <c r="F18" s="508"/>
      <c r="G18" s="392"/>
      <c r="H18" s="415"/>
      <c r="I18" s="392"/>
      <c r="J18" s="404"/>
      <c r="K18" s="392"/>
      <c r="L18" s="508"/>
      <c r="M18" s="409"/>
      <c r="N18" s="406"/>
      <c r="O18" s="409"/>
      <c r="P18" s="410"/>
      <c r="Q18" s="6"/>
      <c r="R18" s="625"/>
      <c r="S18" s="491" t="s">
        <v>205</v>
      </c>
      <c r="T18" s="549">
        <f t="shared" si="10"/>
        <v>0</v>
      </c>
    </row>
    <row r="19" spans="1:20" ht="14.1" customHeight="1" thickBot="1" x14ac:dyDescent="0.35">
      <c r="A19" s="625"/>
      <c r="B19" s="553" t="s">
        <v>211</v>
      </c>
      <c r="C19" s="412"/>
      <c r="D19" s="416"/>
      <c r="E19" s="412"/>
      <c r="F19" s="510"/>
      <c r="G19" s="411"/>
      <c r="H19" s="413"/>
      <c r="I19" s="412"/>
      <c r="J19" s="417"/>
      <c r="K19" s="411"/>
      <c r="L19" s="510"/>
      <c r="M19" s="412"/>
      <c r="N19" s="416"/>
      <c r="O19" s="412"/>
      <c r="P19" s="414"/>
      <c r="Q19" s="6"/>
      <c r="R19" s="625"/>
      <c r="S19" s="552" t="s">
        <v>211</v>
      </c>
      <c r="T19" s="550">
        <f t="shared" si="10"/>
        <v>0</v>
      </c>
    </row>
    <row r="20" spans="1:20" ht="14.1" customHeight="1" x14ac:dyDescent="0.3">
      <c r="A20" s="625"/>
      <c r="B20" s="554" t="s">
        <v>163</v>
      </c>
      <c r="C20" s="514"/>
      <c r="D20" s="516"/>
      <c r="E20" s="514"/>
      <c r="F20" s="528"/>
      <c r="G20" s="514"/>
      <c r="H20" s="577"/>
      <c r="I20" s="386"/>
      <c r="J20" s="538"/>
      <c r="K20" s="386"/>
      <c r="L20" s="509"/>
      <c r="M20" s="386"/>
      <c r="N20" s="509"/>
      <c r="O20" s="386"/>
      <c r="P20" s="389"/>
      <c r="Q20" s="6"/>
      <c r="R20" s="625"/>
      <c r="S20" s="554" t="s">
        <v>163</v>
      </c>
      <c r="T20" s="551">
        <f t="shared" si="10"/>
        <v>0</v>
      </c>
    </row>
    <row r="21" spans="1:20" ht="14.1" customHeight="1" x14ac:dyDescent="0.3">
      <c r="A21" s="625"/>
      <c r="B21" s="555" t="s">
        <v>162</v>
      </c>
      <c r="C21" s="523"/>
      <c r="D21" s="524"/>
      <c r="E21" s="523"/>
      <c r="F21" s="529"/>
      <c r="G21" s="523"/>
      <c r="H21" s="525"/>
      <c r="I21" s="409"/>
      <c r="J21" s="415"/>
      <c r="K21" s="392"/>
      <c r="L21" s="415"/>
      <c r="M21" s="392"/>
      <c r="N21" s="576"/>
      <c r="O21" s="409"/>
      <c r="P21" s="410"/>
      <c r="Q21" s="6"/>
      <c r="R21" s="625"/>
      <c r="S21" s="555" t="s">
        <v>162</v>
      </c>
      <c r="T21" s="549">
        <f t="shared" si="10"/>
        <v>0</v>
      </c>
    </row>
    <row r="22" spans="1:20" ht="14.1" customHeight="1" x14ac:dyDescent="0.3">
      <c r="A22" s="625"/>
      <c r="B22" s="556" t="s">
        <v>164</v>
      </c>
      <c r="C22" s="392"/>
      <c r="D22" s="407"/>
      <c r="E22" s="409"/>
      <c r="F22" s="508"/>
      <c r="G22" s="409"/>
      <c r="H22" s="415"/>
      <c r="I22" s="409"/>
      <c r="J22" s="415"/>
      <c r="K22" s="392"/>
      <c r="L22" s="508"/>
      <c r="M22" s="392"/>
      <c r="N22" s="508"/>
      <c r="O22" s="409"/>
      <c r="P22" s="410"/>
      <c r="Q22" s="6"/>
      <c r="R22" s="625"/>
      <c r="S22" s="556" t="s">
        <v>164</v>
      </c>
      <c r="T22" s="549">
        <f t="shared" si="10"/>
        <v>0</v>
      </c>
    </row>
    <row r="23" spans="1:20" ht="14.1" customHeight="1" x14ac:dyDescent="0.3">
      <c r="A23" s="625"/>
      <c r="B23" s="555" t="s">
        <v>165</v>
      </c>
      <c r="C23" s="392"/>
      <c r="D23" s="407"/>
      <c r="E23" s="409"/>
      <c r="F23" s="508"/>
      <c r="G23" s="409"/>
      <c r="H23" s="415"/>
      <c r="I23" s="409"/>
      <c r="J23" s="543"/>
      <c r="K23" s="392"/>
      <c r="L23" s="508"/>
      <c r="M23" s="392"/>
      <c r="N23" s="508"/>
      <c r="O23" s="409"/>
      <c r="P23" s="410"/>
      <c r="Q23" s="6"/>
      <c r="R23" s="625"/>
      <c r="S23" s="555" t="s">
        <v>165</v>
      </c>
      <c r="T23" s="549">
        <f t="shared" si="10"/>
        <v>0</v>
      </c>
    </row>
    <row r="24" spans="1:20" ht="14.1" customHeight="1" x14ac:dyDescent="0.3">
      <c r="A24" s="625"/>
      <c r="B24" s="555" t="s">
        <v>184</v>
      </c>
      <c r="C24" s="392"/>
      <c r="D24" s="407"/>
      <c r="E24" s="409"/>
      <c r="F24" s="508"/>
      <c r="G24" s="409"/>
      <c r="H24" s="415"/>
      <c r="I24" s="409"/>
      <c r="J24" s="415"/>
      <c r="K24" s="392"/>
      <c r="L24" s="508"/>
      <c r="M24" s="392"/>
      <c r="N24" s="508"/>
      <c r="O24" s="409"/>
      <c r="P24" s="410"/>
      <c r="Q24" s="6"/>
      <c r="R24" s="625"/>
      <c r="S24" s="555" t="s">
        <v>184</v>
      </c>
      <c r="T24" s="549">
        <f t="shared" si="10"/>
        <v>0</v>
      </c>
    </row>
    <row r="25" spans="1:20" ht="14.1" customHeight="1" x14ac:dyDescent="0.3">
      <c r="A25" s="625"/>
      <c r="B25" s="555" t="s">
        <v>185</v>
      </c>
      <c r="C25" s="392"/>
      <c r="D25" s="407"/>
      <c r="E25" s="409"/>
      <c r="F25" s="508"/>
      <c r="G25" s="409"/>
      <c r="H25" s="415"/>
      <c r="I25" s="409"/>
      <c r="J25" s="415"/>
      <c r="K25" s="392"/>
      <c r="L25" s="508"/>
      <c r="M25" s="392"/>
      <c r="N25" s="508"/>
      <c r="O25" s="409"/>
      <c r="P25" s="410"/>
      <c r="Q25" s="6"/>
      <c r="R25" s="625"/>
      <c r="S25" s="555" t="s">
        <v>185</v>
      </c>
      <c r="T25" s="549">
        <f t="shared" si="10"/>
        <v>0</v>
      </c>
    </row>
    <row r="26" spans="1:20" ht="14.1" customHeight="1" x14ac:dyDescent="0.3">
      <c r="A26" s="625"/>
      <c r="B26" s="556" t="s">
        <v>166</v>
      </c>
      <c r="C26" s="392"/>
      <c r="D26" s="407"/>
      <c r="E26" s="412"/>
      <c r="F26" s="508"/>
      <c r="G26" s="412"/>
      <c r="H26" s="415"/>
      <c r="I26" s="412"/>
      <c r="J26" s="415"/>
      <c r="K26" s="411"/>
      <c r="L26" s="570"/>
      <c r="M26" s="411"/>
      <c r="N26" s="570"/>
      <c r="O26" s="409"/>
      <c r="P26" s="410"/>
      <c r="Q26" s="6"/>
      <c r="R26" s="625"/>
      <c r="S26" s="556" t="s">
        <v>166</v>
      </c>
      <c r="T26" s="549">
        <f t="shared" si="10"/>
        <v>0</v>
      </c>
    </row>
    <row r="27" spans="1:20" ht="14.1" customHeight="1" x14ac:dyDescent="0.3">
      <c r="A27" s="625"/>
      <c r="B27" s="555" t="s">
        <v>167</v>
      </c>
      <c r="C27" s="411"/>
      <c r="D27" s="479"/>
      <c r="E27" s="412"/>
      <c r="F27" s="508"/>
      <c r="G27" s="412"/>
      <c r="H27" s="415"/>
      <c r="I27" s="412"/>
      <c r="J27" s="415"/>
      <c r="K27" s="411"/>
      <c r="L27" s="415"/>
      <c r="M27" s="411"/>
      <c r="N27" s="415"/>
      <c r="O27" s="412"/>
      <c r="P27" s="414"/>
      <c r="Q27" s="6"/>
      <c r="R27" s="625"/>
      <c r="S27" s="555" t="s">
        <v>167</v>
      </c>
      <c r="T27" s="549">
        <f t="shared" si="10"/>
        <v>0</v>
      </c>
    </row>
    <row r="28" spans="1:20" ht="14.1" customHeight="1" thickBot="1" x14ac:dyDescent="0.35">
      <c r="A28" s="625"/>
      <c r="B28" s="557" t="s">
        <v>222</v>
      </c>
      <c r="C28" s="398"/>
      <c r="D28" s="397"/>
      <c r="E28" s="398"/>
      <c r="F28" s="437"/>
      <c r="G28" s="398"/>
      <c r="H28" s="558"/>
      <c r="I28" s="398"/>
      <c r="J28" s="558"/>
      <c r="K28" s="398"/>
      <c r="L28" s="530"/>
      <c r="M28" s="398"/>
      <c r="N28" s="530"/>
      <c r="O28" s="402"/>
      <c r="P28" s="401"/>
      <c r="Q28" s="6"/>
      <c r="R28" s="625"/>
      <c r="S28" s="557" t="s">
        <v>222</v>
      </c>
      <c r="T28" s="550">
        <f t="shared" si="10"/>
        <v>0</v>
      </c>
    </row>
    <row r="29" spans="1:20" ht="14.1" customHeight="1" x14ac:dyDescent="0.3">
      <c r="A29" s="628" t="s">
        <v>19</v>
      </c>
      <c r="B29" s="461" t="s">
        <v>193</v>
      </c>
      <c r="C29" s="392"/>
      <c r="D29" s="385"/>
      <c r="E29" s="392"/>
      <c r="F29" s="388"/>
      <c r="G29" s="392"/>
      <c r="H29" s="538"/>
      <c r="I29" s="392"/>
      <c r="J29" s="538"/>
      <c r="K29" s="392"/>
      <c r="L29" s="509"/>
      <c r="M29" s="386"/>
      <c r="N29" s="385"/>
      <c r="O29" s="396"/>
      <c r="P29" s="389"/>
      <c r="Q29" s="6"/>
      <c r="R29" s="630" t="s">
        <v>19</v>
      </c>
      <c r="S29" s="492" t="s">
        <v>193</v>
      </c>
      <c r="T29" s="86">
        <f t="shared" si="10"/>
        <v>0</v>
      </c>
    </row>
    <row r="30" spans="1:20" ht="14.1" customHeight="1" x14ac:dyDescent="0.3">
      <c r="A30" s="629"/>
      <c r="B30" s="462" t="s">
        <v>194</v>
      </c>
      <c r="C30" s="392"/>
      <c r="D30" s="508"/>
      <c r="E30" s="409"/>
      <c r="F30" s="404"/>
      <c r="G30" s="392"/>
      <c r="H30" s="415"/>
      <c r="I30" s="392"/>
      <c r="J30" s="415"/>
      <c r="K30" s="392"/>
      <c r="L30" s="508"/>
      <c r="M30" s="409"/>
      <c r="N30" s="406"/>
      <c r="O30" s="396"/>
      <c r="P30" s="410"/>
      <c r="Q30" s="6"/>
      <c r="R30" s="631"/>
      <c r="S30" s="493" t="s">
        <v>194</v>
      </c>
      <c r="T30" s="82">
        <f t="shared" si="10"/>
        <v>0</v>
      </c>
    </row>
    <row r="31" spans="1:20" ht="14.1" customHeight="1" thickBot="1" x14ac:dyDescent="0.35">
      <c r="A31" s="629"/>
      <c r="B31" s="463" t="s">
        <v>195</v>
      </c>
      <c r="C31" s="412"/>
      <c r="D31" s="510"/>
      <c r="E31" s="412"/>
      <c r="F31" s="417"/>
      <c r="G31" s="412"/>
      <c r="H31" s="413"/>
      <c r="I31" s="412"/>
      <c r="J31" s="413"/>
      <c r="K31" s="412"/>
      <c r="L31" s="510"/>
      <c r="M31" s="412"/>
      <c r="N31" s="416"/>
      <c r="O31" s="419"/>
      <c r="P31" s="414"/>
      <c r="Q31" s="6"/>
      <c r="R31" s="631"/>
      <c r="S31" s="494" t="s">
        <v>195</v>
      </c>
      <c r="T31" s="84">
        <f t="shared" si="10"/>
        <v>0</v>
      </c>
    </row>
    <row r="32" spans="1:20" ht="14.1" customHeight="1" x14ac:dyDescent="0.3">
      <c r="A32" s="629"/>
      <c r="B32" s="461" t="s">
        <v>196</v>
      </c>
      <c r="C32" s="386"/>
      <c r="D32" s="509"/>
      <c r="E32" s="386"/>
      <c r="F32" s="388"/>
      <c r="G32" s="386"/>
      <c r="H32" s="538"/>
      <c r="I32" s="386"/>
      <c r="J32" s="538"/>
      <c r="K32" s="386"/>
      <c r="L32" s="509"/>
      <c r="M32" s="386"/>
      <c r="N32" s="385"/>
      <c r="O32" s="390"/>
      <c r="P32" s="389"/>
      <c r="Q32" s="6"/>
      <c r="R32" s="631"/>
      <c r="S32" s="492" t="s">
        <v>196</v>
      </c>
      <c r="T32" s="551">
        <f t="shared" si="10"/>
        <v>0</v>
      </c>
    </row>
    <row r="33" spans="1:21" ht="14.1" customHeight="1" x14ac:dyDescent="0.3">
      <c r="A33" s="629"/>
      <c r="B33" s="488" t="s">
        <v>197</v>
      </c>
      <c r="C33" s="392"/>
      <c r="D33" s="508"/>
      <c r="E33" s="392"/>
      <c r="F33" s="404"/>
      <c r="G33" s="392"/>
      <c r="H33" s="415"/>
      <c r="I33" s="392"/>
      <c r="J33" s="415"/>
      <c r="K33" s="392"/>
      <c r="L33" s="508"/>
      <c r="M33" s="392"/>
      <c r="N33" s="406"/>
      <c r="O33" s="396"/>
      <c r="P33" s="410"/>
      <c r="Q33" s="6"/>
      <c r="R33" s="631"/>
      <c r="S33" s="495" t="s">
        <v>197</v>
      </c>
      <c r="T33" s="549">
        <f t="shared" si="10"/>
        <v>0</v>
      </c>
    </row>
    <row r="34" spans="1:21" ht="14.1" customHeight="1" thickBot="1" x14ac:dyDescent="0.35">
      <c r="A34" s="629"/>
      <c r="B34" s="489" t="s">
        <v>198</v>
      </c>
      <c r="C34" s="398"/>
      <c r="D34" s="511"/>
      <c r="E34" s="398"/>
      <c r="F34" s="400"/>
      <c r="G34" s="398"/>
      <c r="H34" s="539"/>
      <c r="I34" s="398"/>
      <c r="J34" s="539"/>
      <c r="K34" s="398"/>
      <c r="L34" s="511"/>
      <c r="M34" s="398"/>
      <c r="N34" s="397"/>
      <c r="O34" s="402"/>
      <c r="P34" s="421"/>
      <c r="Q34" s="6"/>
      <c r="R34" s="631"/>
      <c r="S34" s="496" t="s">
        <v>198</v>
      </c>
      <c r="T34" s="550">
        <f t="shared" si="10"/>
        <v>0</v>
      </c>
    </row>
    <row r="35" spans="1:21" ht="14.1" customHeight="1" x14ac:dyDescent="0.3">
      <c r="A35" s="629"/>
      <c r="B35" s="461" t="s">
        <v>210</v>
      </c>
      <c r="C35" s="386"/>
      <c r="D35" s="509"/>
      <c r="E35" s="526"/>
      <c r="F35" s="527"/>
      <c r="G35" s="386"/>
      <c r="H35" s="538"/>
      <c r="I35" s="386"/>
      <c r="J35" s="538"/>
      <c r="K35" s="386"/>
      <c r="L35" s="509"/>
      <c r="M35" s="386"/>
      <c r="N35" s="385"/>
      <c r="O35" s="390"/>
      <c r="P35" s="389"/>
      <c r="Q35" s="6"/>
      <c r="R35" s="631"/>
      <c r="S35" s="461" t="s">
        <v>210</v>
      </c>
      <c r="T35" s="86">
        <f t="shared" si="10"/>
        <v>0</v>
      </c>
    </row>
    <row r="36" spans="1:21" ht="14.1" customHeight="1" x14ac:dyDescent="0.3">
      <c r="A36" s="629"/>
      <c r="B36" s="488" t="s">
        <v>200</v>
      </c>
      <c r="C36" s="392"/>
      <c r="D36" s="508"/>
      <c r="E36" s="392"/>
      <c r="F36" s="512"/>
      <c r="G36" s="392"/>
      <c r="H36" s="415"/>
      <c r="I36" s="392"/>
      <c r="J36" s="415"/>
      <c r="K36" s="392"/>
      <c r="L36" s="508"/>
      <c r="M36" s="392"/>
      <c r="N36" s="406"/>
      <c r="O36" s="396"/>
      <c r="P36" s="410"/>
      <c r="Q36" s="6"/>
      <c r="R36" s="631"/>
      <c r="S36" s="488" t="s">
        <v>200</v>
      </c>
      <c r="T36" s="82">
        <f t="shared" si="10"/>
        <v>0</v>
      </c>
    </row>
    <row r="37" spans="1:21" ht="14.1" customHeight="1" thickBot="1" x14ac:dyDescent="0.35">
      <c r="A37" s="629"/>
      <c r="B37" s="489" t="s">
        <v>201</v>
      </c>
      <c r="C37" s="398"/>
      <c r="D37" s="511"/>
      <c r="E37" s="398"/>
      <c r="F37" s="420"/>
      <c r="G37" s="398"/>
      <c r="H37" s="539"/>
      <c r="I37" s="398"/>
      <c r="J37" s="539"/>
      <c r="K37" s="398"/>
      <c r="L37" s="511"/>
      <c r="M37" s="398"/>
      <c r="N37" s="397"/>
      <c r="O37" s="402"/>
      <c r="P37" s="421"/>
      <c r="Q37" s="6"/>
      <c r="R37" s="631"/>
      <c r="S37" s="489" t="s">
        <v>201</v>
      </c>
      <c r="T37" s="84">
        <f t="shared" si="10"/>
        <v>0</v>
      </c>
    </row>
    <row r="38" spans="1:21" ht="14.1" customHeight="1" x14ac:dyDescent="0.3">
      <c r="A38" s="611" t="s">
        <v>16</v>
      </c>
      <c r="B38" s="464" t="s">
        <v>36</v>
      </c>
      <c r="C38" s="386"/>
      <c r="D38" s="509"/>
      <c r="E38" s="386"/>
      <c r="F38" s="388"/>
      <c r="G38" s="386"/>
      <c r="H38" s="538"/>
      <c r="I38" s="386"/>
      <c r="J38" s="544"/>
      <c r="K38" s="386"/>
      <c r="L38" s="509"/>
      <c r="M38" s="386"/>
      <c r="N38" s="385"/>
      <c r="O38" s="390"/>
      <c r="P38" s="389"/>
      <c r="Q38" s="6"/>
      <c r="R38" s="611" t="s">
        <v>16</v>
      </c>
      <c r="S38" s="497" t="s">
        <v>36</v>
      </c>
      <c r="T38" s="551">
        <f t="shared" si="10"/>
        <v>0</v>
      </c>
    </row>
    <row r="39" spans="1:21" ht="14.1" customHeight="1" x14ac:dyDescent="0.3">
      <c r="A39" s="612"/>
      <c r="B39" s="465" t="s">
        <v>81</v>
      </c>
      <c r="C39" s="392"/>
      <c r="D39" s="508"/>
      <c r="E39" s="392"/>
      <c r="F39" s="394"/>
      <c r="G39" s="392"/>
      <c r="H39" s="540"/>
      <c r="I39" s="392"/>
      <c r="J39" s="545"/>
      <c r="K39" s="392"/>
      <c r="L39" s="512"/>
      <c r="M39" s="392"/>
      <c r="N39" s="391"/>
      <c r="O39" s="396"/>
      <c r="P39" s="395"/>
      <c r="Q39" s="6"/>
      <c r="R39" s="612"/>
      <c r="S39" s="498" t="s">
        <v>81</v>
      </c>
      <c r="T39" s="549">
        <f t="shared" si="10"/>
        <v>0</v>
      </c>
    </row>
    <row r="40" spans="1:21" ht="14.1" customHeight="1" x14ac:dyDescent="0.3">
      <c r="A40" s="612"/>
      <c r="B40" s="465" t="s">
        <v>78</v>
      </c>
      <c r="C40" s="392"/>
      <c r="D40" s="512"/>
      <c r="E40" s="392"/>
      <c r="F40" s="394"/>
      <c r="G40" s="392"/>
      <c r="H40" s="540"/>
      <c r="I40" s="392"/>
      <c r="J40" s="540"/>
      <c r="K40" s="392"/>
      <c r="L40" s="512"/>
      <c r="M40" s="392"/>
      <c r="N40" s="391"/>
      <c r="O40" s="396"/>
      <c r="P40" s="395"/>
      <c r="Q40" s="6"/>
      <c r="R40" s="612"/>
      <c r="S40" s="498" t="s">
        <v>78</v>
      </c>
      <c r="T40" s="549">
        <f t="shared" si="10"/>
        <v>0</v>
      </c>
    </row>
    <row r="41" spans="1:21" ht="14.1" customHeight="1" thickBot="1" x14ac:dyDescent="0.35">
      <c r="A41" s="613"/>
      <c r="B41" s="466" t="s">
        <v>87</v>
      </c>
      <c r="C41" s="398"/>
      <c r="D41" s="511"/>
      <c r="E41" s="398"/>
      <c r="F41" s="400"/>
      <c r="G41" s="392"/>
      <c r="H41" s="539"/>
      <c r="I41" s="392"/>
      <c r="J41" s="539"/>
      <c r="K41" s="392"/>
      <c r="L41" s="511"/>
      <c r="M41" s="398"/>
      <c r="N41" s="397"/>
      <c r="O41" s="402"/>
      <c r="P41" s="401"/>
      <c r="Q41" s="6"/>
      <c r="R41" s="613"/>
      <c r="S41" s="499" t="s">
        <v>87</v>
      </c>
      <c r="T41" s="550">
        <f t="shared" si="10"/>
        <v>0</v>
      </c>
    </row>
    <row r="42" spans="1:21" ht="14.1" customHeight="1" x14ac:dyDescent="0.3">
      <c r="A42" s="614" t="s">
        <v>47</v>
      </c>
      <c r="B42" s="467" t="s">
        <v>48</v>
      </c>
      <c r="C42" s="409"/>
      <c r="D42" s="508"/>
      <c r="E42" s="386"/>
      <c r="F42" s="388"/>
      <c r="G42" s="386"/>
      <c r="H42" s="538"/>
      <c r="I42" s="386"/>
      <c r="J42" s="569"/>
      <c r="K42" s="386"/>
      <c r="L42" s="385"/>
      <c r="M42" s="386"/>
      <c r="N42" s="385"/>
      <c r="O42" s="390"/>
      <c r="P42" s="389"/>
      <c r="Q42" s="6"/>
      <c r="R42" s="614" t="s">
        <v>47</v>
      </c>
      <c r="S42" s="500" t="s">
        <v>48</v>
      </c>
      <c r="T42" s="86">
        <f t="shared" si="10"/>
        <v>0</v>
      </c>
    </row>
    <row r="43" spans="1:21" ht="14.1" customHeight="1" x14ac:dyDescent="0.3">
      <c r="A43" s="615"/>
      <c r="B43" s="468" t="s">
        <v>44</v>
      </c>
      <c r="C43" s="392"/>
      <c r="D43" s="512"/>
      <c r="E43" s="392"/>
      <c r="F43" s="394"/>
      <c r="G43" s="392"/>
      <c r="H43" s="540"/>
      <c r="I43" s="392"/>
      <c r="J43" s="540"/>
      <c r="K43" s="392"/>
      <c r="L43" s="391"/>
      <c r="M43" s="392"/>
      <c r="N43" s="391"/>
      <c r="O43" s="396"/>
      <c r="P43" s="395"/>
      <c r="Q43" s="6"/>
      <c r="R43" s="615"/>
      <c r="S43" s="501" t="s">
        <v>44</v>
      </c>
      <c r="T43" s="82">
        <f t="shared" si="10"/>
        <v>0</v>
      </c>
    </row>
    <row r="44" spans="1:21" ht="14.1" customHeight="1" thickBot="1" x14ac:dyDescent="0.35">
      <c r="A44" s="616"/>
      <c r="B44" s="469" t="s">
        <v>54</v>
      </c>
      <c r="C44" s="398"/>
      <c r="D44" s="511"/>
      <c r="E44" s="398"/>
      <c r="F44" s="400"/>
      <c r="G44" s="398"/>
      <c r="H44" s="539"/>
      <c r="I44" s="398"/>
      <c r="J44" s="539"/>
      <c r="K44" s="398"/>
      <c r="L44" s="429"/>
      <c r="M44" s="398"/>
      <c r="N44" s="397"/>
      <c r="O44" s="430"/>
      <c r="P44" s="410"/>
      <c r="Q44" s="6"/>
      <c r="R44" s="616"/>
      <c r="S44" s="502" t="s">
        <v>54</v>
      </c>
      <c r="T44" s="84">
        <f t="shared" si="10"/>
        <v>0</v>
      </c>
      <c r="U44" s="2"/>
    </row>
    <row r="45" spans="1:21" ht="14.1" customHeight="1" x14ac:dyDescent="0.3">
      <c r="A45" s="617" t="s">
        <v>39</v>
      </c>
      <c r="B45" s="470" t="s">
        <v>44</v>
      </c>
      <c r="C45" s="386"/>
      <c r="D45" s="509"/>
      <c r="E45" s="386"/>
      <c r="F45" s="404"/>
      <c r="G45" s="386"/>
      <c r="H45" s="406"/>
      <c r="I45" s="386"/>
      <c r="J45" s="415"/>
      <c r="K45" s="386"/>
      <c r="L45" s="385"/>
      <c r="M45" s="409"/>
      <c r="N45" s="406"/>
      <c r="O45" s="390"/>
      <c r="P45" s="389"/>
      <c r="Q45" s="6"/>
      <c r="R45" s="617" t="s">
        <v>39</v>
      </c>
      <c r="S45" s="480" t="s">
        <v>44</v>
      </c>
      <c r="T45" s="551">
        <f t="shared" si="10"/>
        <v>0</v>
      </c>
    </row>
    <row r="46" spans="1:21" ht="14.1" customHeight="1" x14ac:dyDescent="0.3">
      <c r="A46" s="618"/>
      <c r="B46" s="470" t="s">
        <v>54</v>
      </c>
      <c r="C46" s="392"/>
      <c r="D46" s="512"/>
      <c r="E46" s="392"/>
      <c r="F46" s="394"/>
      <c r="G46" s="392"/>
      <c r="H46" s="391"/>
      <c r="I46" s="392"/>
      <c r="J46" s="540"/>
      <c r="K46" s="392"/>
      <c r="L46" s="391"/>
      <c r="M46" s="392"/>
      <c r="N46" s="574"/>
      <c r="O46" s="396"/>
      <c r="P46" s="395"/>
      <c r="Q46" s="6"/>
      <c r="R46" s="618"/>
      <c r="S46" s="480" t="s">
        <v>54</v>
      </c>
      <c r="T46" s="549">
        <f t="shared" si="10"/>
        <v>0</v>
      </c>
    </row>
    <row r="47" spans="1:21" ht="14.1" customHeight="1" x14ac:dyDescent="0.3">
      <c r="A47" s="618"/>
      <c r="B47" s="470" t="s">
        <v>204</v>
      </c>
      <c r="C47" s="392"/>
      <c r="D47" s="512"/>
      <c r="E47" s="392"/>
      <c r="F47" s="404"/>
      <c r="G47" s="392"/>
      <c r="H47" s="406"/>
      <c r="I47" s="392"/>
      <c r="J47" s="415"/>
      <c r="K47" s="392"/>
      <c r="L47" s="406"/>
      <c r="M47" s="392"/>
      <c r="N47" s="573"/>
      <c r="O47" s="396"/>
      <c r="P47" s="395"/>
      <c r="Q47" s="6"/>
      <c r="R47" s="618"/>
      <c r="S47" s="480" t="s">
        <v>204</v>
      </c>
      <c r="T47" s="549">
        <f t="shared" si="10"/>
        <v>0</v>
      </c>
    </row>
    <row r="48" spans="1:21" ht="14.1" customHeight="1" thickBot="1" x14ac:dyDescent="0.35">
      <c r="A48" s="618"/>
      <c r="B48" s="471" t="s">
        <v>216</v>
      </c>
      <c r="C48" s="411"/>
      <c r="D48" s="511"/>
      <c r="E48" s="411"/>
      <c r="F48" s="417"/>
      <c r="G48" s="411"/>
      <c r="H48" s="416"/>
      <c r="I48" s="411"/>
      <c r="J48" s="413"/>
      <c r="K48" s="411"/>
      <c r="L48" s="432"/>
      <c r="M48" s="411"/>
      <c r="N48" s="575"/>
      <c r="O48" s="433"/>
      <c r="P48" s="421"/>
      <c r="Q48" s="6"/>
      <c r="R48" s="618"/>
      <c r="S48" s="513" t="s">
        <v>113</v>
      </c>
      <c r="T48" s="550">
        <f t="shared" si="10"/>
        <v>0</v>
      </c>
    </row>
    <row r="49" spans="1:20" ht="14.1" customHeight="1" x14ac:dyDescent="0.3">
      <c r="A49" s="603" t="s">
        <v>215</v>
      </c>
      <c r="B49" s="472" t="s">
        <v>45</v>
      </c>
      <c r="C49" s="386"/>
      <c r="D49" s="509"/>
      <c r="E49" s="386"/>
      <c r="F49" s="388"/>
      <c r="G49" s="386"/>
      <c r="H49" s="385"/>
      <c r="I49" s="386"/>
      <c r="J49" s="538"/>
      <c r="K49" s="386"/>
      <c r="L49" s="388"/>
      <c r="M49" s="386"/>
      <c r="N49" s="509"/>
      <c r="O49" s="390"/>
      <c r="P49" s="389"/>
      <c r="Q49" s="6"/>
      <c r="R49" s="603" t="s">
        <v>215</v>
      </c>
      <c r="S49" s="483" t="s">
        <v>45</v>
      </c>
      <c r="T49" s="86">
        <f t="shared" si="10"/>
        <v>0</v>
      </c>
    </row>
    <row r="50" spans="1:20" ht="14.1" customHeight="1" thickBot="1" x14ac:dyDescent="0.35">
      <c r="A50" s="604"/>
      <c r="B50" s="482" t="s">
        <v>42</v>
      </c>
      <c r="C50" s="435"/>
      <c r="D50" s="530"/>
      <c r="E50" s="435"/>
      <c r="F50" s="400"/>
      <c r="G50" s="435"/>
      <c r="H50" s="397"/>
      <c r="I50" s="435"/>
      <c r="J50" s="539"/>
      <c r="K50" s="435"/>
      <c r="L50" s="534"/>
      <c r="M50" s="435"/>
      <c r="N50" s="530"/>
      <c r="O50" s="438"/>
      <c r="P50" s="401"/>
      <c r="Q50" s="6"/>
      <c r="R50" s="604"/>
      <c r="S50" s="503" t="s">
        <v>42</v>
      </c>
      <c r="T50" s="84">
        <f t="shared" si="10"/>
        <v>0</v>
      </c>
    </row>
    <row r="51" spans="1:20" ht="14.1" customHeight="1" x14ac:dyDescent="0.3">
      <c r="A51" s="605" t="s">
        <v>206</v>
      </c>
      <c r="B51" s="484" t="s">
        <v>207</v>
      </c>
      <c r="C51" s="409"/>
      <c r="D51" s="508"/>
      <c r="E51" s="409"/>
      <c r="F51" s="404"/>
      <c r="G51" s="409"/>
      <c r="H51" s="406"/>
      <c r="I51" s="409"/>
      <c r="J51" s="415"/>
      <c r="K51" s="409"/>
      <c r="L51" s="404"/>
      <c r="M51" s="409"/>
      <c r="N51" s="508"/>
      <c r="O51" s="419"/>
      <c r="P51" s="414"/>
      <c r="Q51" s="6"/>
      <c r="R51" s="605" t="s">
        <v>206</v>
      </c>
      <c r="S51" s="486" t="s">
        <v>207</v>
      </c>
      <c r="T51" s="551">
        <f t="shared" si="10"/>
        <v>0</v>
      </c>
    </row>
    <row r="52" spans="1:20" ht="14.1" customHeight="1" thickBot="1" x14ac:dyDescent="0.35">
      <c r="A52" s="606"/>
      <c r="B52" s="485" t="s">
        <v>208</v>
      </c>
      <c r="C52" s="398"/>
      <c r="D52" s="511"/>
      <c r="E52" s="398"/>
      <c r="F52" s="404"/>
      <c r="G52" s="398"/>
      <c r="H52" s="406"/>
      <c r="I52" s="398"/>
      <c r="J52" s="415"/>
      <c r="K52" s="398"/>
      <c r="L52" s="400"/>
      <c r="M52" s="398"/>
      <c r="N52" s="511"/>
      <c r="O52" s="419"/>
      <c r="P52" s="414"/>
      <c r="Q52" s="6"/>
      <c r="R52" s="606"/>
      <c r="S52" s="487" t="s">
        <v>208</v>
      </c>
      <c r="T52" s="550">
        <f t="shared" si="10"/>
        <v>0</v>
      </c>
    </row>
    <row r="53" spans="1:20" ht="14.1" customHeight="1" x14ac:dyDescent="0.3">
      <c r="A53" s="608" t="s">
        <v>125</v>
      </c>
      <c r="B53" s="473" t="s">
        <v>126</v>
      </c>
      <c r="C53" s="386"/>
      <c r="D53" s="509"/>
      <c r="E53" s="386"/>
      <c r="F53" s="405"/>
      <c r="G53" s="386"/>
      <c r="H53" s="405"/>
      <c r="I53" s="386"/>
      <c r="J53" s="546"/>
      <c r="K53" s="386"/>
      <c r="L53" s="405"/>
      <c r="M53" s="386"/>
      <c r="N53" s="509"/>
      <c r="O53" s="390"/>
      <c r="P53" s="389"/>
      <c r="Q53" s="6"/>
      <c r="R53" s="608" t="s">
        <v>125</v>
      </c>
      <c r="S53" s="504" t="s">
        <v>126</v>
      </c>
      <c r="T53" s="86">
        <f t="shared" si="10"/>
        <v>0</v>
      </c>
    </row>
    <row r="54" spans="1:20" ht="14.1" customHeight="1" x14ac:dyDescent="0.3">
      <c r="A54" s="608"/>
      <c r="B54" s="474" t="s">
        <v>127</v>
      </c>
      <c r="C54" s="412"/>
      <c r="D54" s="510"/>
      <c r="E54" s="412"/>
      <c r="F54" s="408"/>
      <c r="G54" s="412"/>
      <c r="H54" s="406"/>
      <c r="I54" s="412"/>
      <c r="J54" s="547"/>
      <c r="K54" s="412"/>
      <c r="L54" s="418"/>
      <c r="M54" s="412"/>
      <c r="N54" s="510"/>
      <c r="O54" s="419"/>
      <c r="P54" s="414"/>
      <c r="Q54" s="6"/>
      <c r="R54" s="608"/>
      <c r="S54" s="504" t="s">
        <v>127</v>
      </c>
      <c r="T54" s="82">
        <f t="shared" si="10"/>
        <v>0</v>
      </c>
    </row>
    <row r="55" spans="1:20" ht="14.1" customHeight="1" thickBot="1" x14ac:dyDescent="0.35">
      <c r="A55" s="609"/>
      <c r="B55" s="475" t="s">
        <v>128</v>
      </c>
      <c r="C55" s="398"/>
      <c r="D55" s="511"/>
      <c r="E55" s="398"/>
      <c r="F55" s="436"/>
      <c r="G55" s="398"/>
      <c r="H55" s="437"/>
      <c r="I55" s="398"/>
      <c r="J55" s="548"/>
      <c r="K55" s="398"/>
      <c r="L55" s="420"/>
      <c r="M55" s="398"/>
      <c r="N55" s="511"/>
      <c r="O55" s="402"/>
      <c r="P55" s="401"/>
      <c r="Q55" s="6"/>
      <c r="R55" s="609"/>
      <c r="S55" s="505" t="s">
        <v>128</v>
      </c>
      <c r="T55" s="84">
        <f t="shared" si="10"/>
        <v>0</v>
      </c>
    </row>
    <row r="56" spans="1:20" ht="14.1" customHeight="1" x14ac:dyDescent="0.3">
      <c r="A56" s="582" t="s">
        <v>52</v>
      </c>
      <c r="B56" s="476" t="s">
        <v>41</v>
      </c>
      <c r="C56" s="535"/>
      <c r="D56" s="509"/>
      <c r="E56" s="390"/>
      <c r="F56" s="388"/>
      <c r="G56" s="386"/>
      <c r="H56" s="385"/>
      <c r="I56" s="386"/>
      <c r="J56" s="538"/>
      <c r="K56" s="386"/>
      <c r="L56" s="388"/>
      <c r="M56" s="386"/>
      <c r="N56" s="509"/>
      <c r="O56" s="396"/>
      <c r="P56" s="389"/>
      <c r="Q56" s="6"/>
      <c r="R56" s="582" t="s">
        <v>52</v>
      </c>
      <c r="S56" s="506" t="s">
        <v>41</v>
      </c>
      <c r="T56" s="551">
        <f t="shared" si="10"/>
        <v>0</v>
      </c>
    </row>
    <row r="57" spans="1:20" ht="14.1" customHeight="1" x14ac:dyDescent="0.3">
      <c r="A57" s="583"/>
      <c r="B57" s="476" t="s">
        <v>11</v>
      </c>
      <c r="C57" s="392"/>
      <c r="D57" s="512"/>
      <c r="E57" s="396"/>
      <c r="F57" s="394"/>
      <c r="G57" s="392"/>
      <c r="H57" s="391"/>
      <c r="I57" s="392"/>
      <c r="J57" s="540"/>
      <c r="K57" s="392"/>
      <c r="L57" s="394"/>
      <c r="M57" s="392"/>
      <c r="N57" s="512"/>
      <c r="O57" s="396"/>
      <c r="P57" s="395"/>
      <c r="Q57" s="6"/>
      <c r="R57" s="583"/>
      <c r="S57" s="506" t="s">
        <v>11</v>
      </c>
      <c r="T57" s="549">
        <f t="shared" si="10"/>
        <v>0</v>
      </c>
    </row>
    <row r="58" spans="1:20" ht="14.1" customHeight="1" thickBot="1" x14ac:dyDescent="0.35">
      <c r="A58" s="584"/>
      <c r="B58" s="477" t="s">
        <v>27</v>
      </c>
      <c r="C58" s="409"/>
      <c r="D58" s="508"/>
      <c r="E58" s="430"/>
      <c r="F58" s="404"/>
      <c r="G58" s="409"/>
      <c r="H58" s="406"/>
      <c r="I58" s="409"/>
      <c r="J58" s="415"/>
      <c r="K58" s="409"/>
      <c r="L58" s="404"/>
      <c r="M58" s="409"/>
      <c r="N58" s="508"/>
      <c r="O58" s="396"/>
      <c r="P58" s="395"/>
      <c r="Q58" s="6"/>
      <c r="R58" s="584"/>
      <c r="S58" s="507" t="s">
        <v>27</v>
      </c>
      <c r="T58" s="550">
        <f t="shared" si="10"/>
        <v>0</v>
      </c>
    </row>
    <row r="59" spans="1:20" ht="14.1" customHeight="1" thickBot="1" x14ac:dyDescent="0.35">
      <c r="A59" s="585" t="s">
        <v>30</v>
      </c>
      <c r="B59" s="586"/>
      <c r="C59" s="445"/>
      <c r="D59" s="537"/>
      <c r="E59" s="445"/>
      <c r="F59" s="446"/>
      <c r="G59" s="445"/>
      <c r="H59" s="448"/>
      <c r="I59" s="445"/>
      <c r="J59" s="541"/>
      <c r="K59" s="445"/>
      <c r="L59" s="446"/>
      <c r="M59" s="445"/>
      <c r="N59" s="537"/>
      <c r="O59" s="449"/>
      <c r="P59" s="450"/>
      <c r="Q59" s="6"/>
      <c r="R59" s="585" t="s">
        <v>30</v>
      </c>
      <c r="S59" s="587"/>
      <c r="T59" s="85">
        <f t="shared" si="10"/>
        <v>0</v>
      </c>
    </row>
    <row r="60" spans="1:20" ht="14.1" customHeight="1" x14ac:dyDescent="0.3">
      <c r="A60" s="588" t="s">
        <v>38</v>
      </c>
      <c r="B60" s="589"/>
      <c r="C60" s="451"/>
      <c r="D60" s="509"/>
      <c r="E60" s="451"/>
      <c r="F60" s="424"/>
      <c r="G60" s="451"/>
      <c r="H60" s="568"/>
      <c r="I60" s="451"/>
      <c r="J60" s="542"/>
      <c r="K60" s="451"/>
      <c r="L60" s="568"/>
      <c r="M60" s="451"/>
      <c r="N60" s="571"/>
      <c r="O60" s="451"/>
      <c r="P60" s="389"/>
      <c r="Q60" s="6"/>
      <c r="R60" s="594" t="s">
        <v>38</v>
      </c>
      <c r="S60" s="665"/>
      <c r="T60" s="666"/>
    </row>
    <row r="61" spans="1:20" ht="14.1" customHeight="1" x14ac:dyDescent="0.3">
      <c r="A61" s="590"/>
      <c r="B61" s="591"/>
      <c r="C61" s="453"/>
      <c r="D61" s="512"/>
      <c r="E61" s="453"/>
      <c r="F61" s="428"/>
      <c r="G61" s="453"/>
      <c r="H61" s="424"/>
      <c r="I61" s="453"/>
      <c r="J61" s="536"/>
      <c r="K61" s="453"/>
      <c r="L61" s="424"/>
      <c r="M61" s="453"/>
      <c r="N61" s="572"/>
      <c r="O61" s="453"/>
      <c r="P61" s="395"/>
      <c r="Q61" s="6"/>
      <c r="R61" s="595"/>
      <c r="S61" s="667"/>
      <c r="T61" s="668"/>
    </row>
    <row r="62" spans="1:20" ht="14.1" customHeight="1" x14ac:dyDescent="0.3">
      <c r="A62" s="590"/>
      <c r="B62" s="591"/>
      <c r="C62" s="453"/>
      <c r="D62" s="512"/>
      <c r="E62" s="453"/>
      <c r="F62" s="428"/>
      <c r="G62" s="453"/>
      <c r="H62" s="391"/>
      <c r="I62" s="453"/>
      <c r="J62" s="406"/>
      <c r="K62" s="453"/>
      <c r="L62" s="424"/>
      <c r="M62" s="453"/>
      <c r="N62" s="573"/>
      <c r="O62" s="453"/>
      <c r="P62" s="395"/>
      <c r="Q62" s="6"/>
      <c r="R62" s="595"/>
      <c r="S62" s="667"/>
      <c r="T62" s="668"/>
    </row>
    <row r="63" spans="1:20" ht="14.1" customHeight="1" thickBot="1" x14ac:dyDescent="0.35">
      <c r="A63" s="592"/>
      <c r="B63" s="593"/>
      <c r="C63" s="455"/>
      <c r="D63" s="511"/>
      <c r="E63" s="455"/>
      <c r="F63" s="567"/>
      <c r="G63" s="455"/>
      <c r="H63" s="400"/>
      <c r="I63" s="455"/>
      <c r="J63" s="400"/>
      <c r="K63" s="455"/>
      <c r="L63" s="429"/>
      <c r="M63" s="455"/>
      <c r="N63" s="397"/>
      <c r="O63" s="455"/>
      <c r="P63" s="401"/>
      <c r="Q63" s="6"/>
      <c r="R63" s="596"/>
      <c r="S63" s="669"/>
      <c r="T63" s="670"/>
    </row>
    <row r="64" spans="1:20" ht="19.5" customHeight="1" x14ac:dyDescent="0.3">
      <c r="A64" s="652" t="str">
        <f>A1</f>
        <v>ㅇㅇㅇ님 보장분석(전)</v>
      </c>
      <c r="B64" s="653"/>
      <c r="C64" s="649"/>
      <c r="D64" s="649"/>
      <c r="E64" s="649"/>
      <c r="F64" s="649"/>
      <c r="G64" s="649"/>
      <c r="H64" s="649"/>
      <c r="I64" s="649"/>
      <c r="J64" s="649"/>
      <c r="K64" s="649"/>
      <c r="L64" s="649"/>
      <c r="M64" s="649"/>
      <c r="N64" s="649"/>
      <c r="O64" s="649"/>
      <c r="P64" s="649"/>
      <c r="Q64" s="138"/>
      <c r="R64" s="650" t="s">
        <v>15</v>
      </c>
      <c r="S64" s="651"/>
      <c r="T64" s="137">
        <f ca="1">T1</f>
        <v>46140</v>
      </c>
    </row>
    <row r="65" spans="1:20" ht="14.1" customHeight="1" x14ac:dyDescent="0.3">
      <c r="A65" s="647" t="s">
        <v>49</v>
      </c>
      <c r="B65" s="648"/>
      <c r="C65" s="645"/>
      <c r="D65" s="645"/>
      <c r="E65" s="645"/>
      <c r="F65" s="645"/>
      <c r="G65" s="645"/>
      <c r="H65" s="645"/>
      <c r="I65" s="645"/>
      <c r="J65" s="645"/>
      <c r="K65" s="645"/>
      <c r="L65" s="645"/>
      <c r="M65" s="645"/>
      <c r="N65" s="645"/>
      <c r="O65" s="645"/>
      <c r="P65" s="645"/>
      <c r="Q65" s="25"/>
      <c r="R65" s="654"/>
      <c r="S65" s="655"/>
      <c r="T65" s="656"/>
    </row>
    <row r="66" spans="1:20" ht="14.1" customHeight="1" x14ac:dyDescent="0.3">
      <c r="A66" s="637" t="s">
        <v>28</v>
      </c>
      <c r="B66" s="638"/>
      <c r="C66" s="645"/>
      <c r="D66" s="645"/>
      <c r="E66" s="645"/>
      <c r="F66" s="645"/>
      <c r="G66" s="645"/>
      <c r="H66" s="645"/>
      <c r="I66" s="645"/>
      <c r="J66" s="645"/>
      <c r="K66" s="645"/>
      <c r="L66" s="645"/>
      <c r="M66" s="645"/>
      <c r="N66" s="645"/>
      <c r="O66" s="646"/>
      <c r="P66" s="646"/>
      <c r="Q66" s="25"/>
      <c r="R66" s="657"/>
      <c r="S66" s="658"/>
      <c r="T66" s="659"/>
    </row>
    <row r="67" spans="1:20" ht="14.1" customHeight="1" x14ac:dyDescent="0.3">
      <c r="A67" s="647" t="s">
        <v>17</v>
      </c>
      <c r="B67" s="648"/>
      <c r="C67" s="646"/>
      <c r="D67" s="645"/>
      <c r="E67" s="646"/>
      <c r="F67" s="646"/>
      <c r="G67" s="646"/>
      <c r="H67" s="646"/>
      <c r="I67" s="646"/>
      <c r="J67" s="645"/>
      <c r="K67" s="646"/>
      <c r="L67" s="645"/>
      <c r="M67" s="646"/>
      <c r="N67" s="645"/>
      <c r="O67" s="646"/>
      <c r="P67" s="646"/>
      <c r="Q67" s="25"/>
      <c r="R67" s="657"/>
      <c r="S67" s="658"/>
      <c r="T67" s="659"/>
    </row>
    <row r="68" spans="1:20" ht="14.1" customHeight="1" x14ac:dyDescent="0.3">
      <c r="A68" s="647" t="s">
        <v>23</v>
      </c>
      <c r="B68" s="648"/>
      <c r="C68" s="383"/>
      <c r="D68" s="382">
        <f ca="1">IF(DATEDIF(C67,$T$1,"m")&lt;C68*12,DATEDIF(C67,$T$1,"m"),C68*12)</f>
        <v>0</v>
      </c>
      <c r="E68" s="383"/>
      <c r="F68" s="382">
        <f ca="1">IF(DATEDIF(E67,$T$1,"m")&lt;E68*12,DATEDIF(E67,$T$1,"m"),E68*12)</f>
        <v>0</v>
      </c>
      <c r="G68" s="383"/>
      <c r="H68" s="382">
        <f ca="1">IF(DATEDIF(G67,$T$1,"m")&lt;G68*12,DATEDIF(G67,$T$1,"m"),G68*12)</f>
        <v>0</v>
      </c>
      <c r="I68" s="383"/>
      <c r="J68" s="382">
        <f ca="1">IF(DATEDIF(I67,$T$1,"m")&lt;I68*12,DATEDIF(I67,$T$1,"m"),I68*12)</f>
        <v>0</v>
      </c>
      <c r="K68" s="383"/>
      <c r="L68" s="382">
        <f ca="1">IF(DATEDIF(K67,$T$1,"m")&lt;K68*12,DATEDIF(K67,$T$1,"m"),K68*12)</f>
        <v>0</v>
      </c>
      <c r="M68" s="383"/>
      <c r="N68" s="384">
        <f ca="1">IF(DATEDIF(M67,$T$1,"m")&lt;M68*12,DATEDIF(M67,$T$1,"m"),M68*12)</f>
        <v>0</v>
      </c>
      <c r="O68" s="383"/>
      <c r="P68" s="382">
        <f ca="1">IF(DATEDIF(O67,$T$1,"m")&lt;O68*12,DATEDIF(O67,$T$1,"m"),O68*12)</f>
        <v>0</v>
      </c>
      <c r="Q68" s="25"/>
      <c r="R68" s="657"/>
      <c r="S68" s="658"/>
      <c r="T68" s="659"/>
    </row>
    <row r="69" spans="1:20" ht="14.1" customHeight="1" x14ac:dyDescent="0.3">
      <c r="A69" s="647" t="s">
        <v>2</v>
      </c>
      <c r="B69" s="648"/>
      <c r="C69" s="645"/>
      <c r="D69" s="645"/>
      <c r="E69" s="645"/>
      <c r="F69" s="645"/>
      <c r="G69" s="645"/>
      <c r="H69" s="645"/>
      <c r="I69" s="645"/>
      <c r="J69" s="645"/>
      <c r="K69" s="645"/>
      <c r="L69" s="645"/>
      <c r="M69" s="645"/>
      <c r="N69" s="645"/>
      <c r="O69" s="645"/>
      <c r="P69" s="645"/>
      <c r="Q69" s="25"/>
      <c r="R69" s="660"/>
      <c r="S69" s="661"/>
      <c r="T69" s="662"/>
    </row>
    <row r="70" spans="1:20" ht="14.1" customHeight="1" x14ac:dyDescent="0.3">
      <c r="A70" s="632" t="s">
        <v>37</v>
      </c>
      <c r="B70" s="633"/>
      <c r="C70" s="642"/>
      <c r="D70" s="642"/>
      <c r="E70" s="642"/>
      <c r="F70" s="642"/>
      <c r="G70" s="642"/>
      <c r="H70" s="642"/>
      <c r="I70" s="642"/>
      <c r="J70" s="642"/>
      <c r="K70" s="642"/>
      <c r="L70" s="642"/>
      <c r="M70" s="642"/>
      <c r="N70" s="642"/>
      <c r="O70" s="642"/>
      <c r="P70" s="642"/>
      <c r="Q70" s="25"/>
      <c r="R70" s="643"/>
      <c r="S70" s="644"/>
      <c r="T70" s="27" t="s">
        <v>91</v>
      </c>
    </row>
    <row r="71" spans="1:20" ht="14.1" customHeight="1" x14ac:dyDescent="0.3">
      <c r="A71" s="639" t="s">
        <v>12</v>
      </c>
      <c r="B71" s="640"/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26"/>
      <c r="R71" s="637" t="s">
        <v>34</v>
      </c>
      <c r="S71" s="638"/>
      <c r="T71" s="60">
        <f t="shared" ref="T71:T74" si="11">T8+C71+E71+G71+I71+K71+O71</f>
        <v>0</v>
      </c>
    </row>
    <row r="72" spans="1:20" ht="14.1" customHeight="1" x14ac:dyDescent="0.3">
      <c r="A72" s="637" t="s">
        <v>3</v>
      </c>
      <c r="B72" s="638"/>
      <c r="C72" s="634">
        <f>C71*C68*12</f>
        <v>0</v>
      </c>
      <c r="D72" s="634"/>
      <c r="E72" s="634">
        <f>E71*E68*12</f>
        <v>0</v>
      </c>
      <c r="F72" s="634"/>
      <c r="G72" s="634">
        <f>G71*G68*12</f>
        <v>0</v>
      </c>
      <c r="H72" s="634"/>
      <c r="I72" s="634">
        <f>I71*I68*12</f>
        <v>0</v>
      </c>
      <c r="J72" s="634"/>
      <c r="K72" s="634">
        <f>K71*K68*12</f>
        <v>0</v>
      </c>
      <c r="L72" s="634"/>
      <c r="M72" s="634">
        <f>M71*M68*12</f>
        <v>0</v>
      </c>
      <c r="N72" s="634"/>
      <c r="O72" s="634">
        <f>O71*O68*12</f>
        <v>0</v>
      </c>
      <c r="P72" s="634"/>
      <c r="Q72" s="26"/>
      <c r="R72" s="637" t="s">
        <v>33</v>
      </c>
      <c r="S72" s="638"/>
      <c r="T72" s="51">
        <f t="shared" si="11"/>
        <v>0</v>
      </c>
    </row>
    <row r="73" spans="1:20" ht="14.1" customHeight="1" x14ac:dyDescent="0.3">
      <c r="A73" s="637" t="s">
        <v>4</v>
      </c>
      <c r="B73" s="638"/>
      <c r="C73" s="634">
        <f ca="1">C71*D68</f>
        <v>0</v>
      </c>
      <c r="D73" s="634"/>
      <c r="E73" s="634">
        <f ca="1">E71*F68</f>
        <v>0</v>
      </c>
      <c r="F73" s="634"/>
      <c r="G73" s="634">
        <f ca="1">G71*H68</f>
        <v>0</v>
      </c>
      <c r="H73" s="634"/>
      <c r="I73" s="634">
        <f ca="1">I71*J68</f>
        <v>0</v>
      </c>
      <c r="J73" s="634"/>
      <c r="K73" s="634">
        <f ca="1">K71*L68</f>
        <v>0</v>
      </c>
      <c r="L73" s="634"/>
      <c r="M73" s="634">
        <f ca="1">M71*N68</f>
        <v>0</v>
      </c>
      <c r="N73" s="634"/>
      <c r="O73" s="634">
        <f ca="1">O71*P68</f>
        <v>0</v>
      </c>
      <c r="P73" s="634"/>
      <c r="Q73" s="26"/>
      <c r="R73" s="637" t="s">
        <v>31</v>
      </c>
      <c r="S73" s="638"/>
      <c r="T73" s="51">
        <f t="shared" ca="1" si="11"/>
        <v>0</v>
      </c>
    </row>
    <row r="74" spans="1:20" ht="14.1" customHeight="1" thickBot="1" x14ac:dyDescent="0.35">
      <c r="A74" s="632" t="s">
        <v>18</v>
      </c>
      <c r="B74" s="633"/>
      <c r="C74" s="634">
        <f ca="1">C72-C73</f>
        <v>0</v>
      </c>
      <c r="D74" s="634"/>
      <c r="E74" s="634">
        <f ca="1">E72-E73</f>
        <v>0</v>
      </c>
      <c r="F74" s="634"/>
      <c r="G74" s="634">
        <f ca="1">G72-G73</f>
        <v>0</v>
      </c>
      <c r="H74" s="634"/>
      <c r="I74" s="634">
        <f ca="1">I72-I73</f>
        <v>0</v>
      </c>
      <c r="J74" s="634"/>
      <c r="K74" s="634">
        <f ca="1">K72-K73</f>
        <v>0</v>
      </c>
      <c r="L74" s="634"/>
      <c r="M74" s="634">
        <f ca="1">M72-M73</f>
        <v>0</v>
      </c>
      <c r="N74" s="634"/>
      <c r="O74" s="634">
        <f ca="1">O72-O73</f>
        <v>0</v>
      </c>
      <c r="P74" s="634"/>
      <c r="Q74" s="26"/>
      <c r="R74" s="663" t="s">
        <v>35</v>
      </c>
      <c r="S74" s="664"/>
      <c r="T74" s="52">
        <f t="shared" ca="1" si="11"/>
        <v>0</v>
      </c>
    </row>
    <row r="75" spans="1:20" ht="14.1" customHeight="1" x14ac:dyDescent="0.3">
      <c r="A75" s="621" t="s">
        <v>202</v>
      </c>
      <c r="B75" s="457" t="s">
        <v>149</v>
      </c>
      <c r="C75" s="386"/>
      <c r="D75" s="385"/>
      <c r="E75" s="386"/>
      <c r="F75" s="387"/>
      <c r="G75" s="386"/>
      <c r="H75" s="388"/>
      <c r="I75" s="386"/>
      <c r="J75" s="388"/>
      <c r="K75" s="386"/>
      <c r="L75" s="385"/>
      <c r="M75" s="386"/>
      <c r="N75" s="389"/>
      <c r="O75" s="390"/>
      <c r="P75" s="389"/>
      <c r="Q75" s="6"/>
      <c r="R75" s="621" t="s">
        <v>202</v>
      </c>
      <c r="S75" s="352" t="s">
        <v>149</v>
      </c>
      <c r="T75" s="182">
        <f t="shared" ref="T75:T117" si="12">T12+C75+E75+G75+I75+K75+M75+O75</f>
        <v>0</v>
      </c>
    </row>
    <row r="76" spans="1:20" ht="14.1" customHeight="1" x14ac:dyDescent="0.3">
      <c r="A76" s="622"/>
      <c r="B76" s="458" t="s">
        <v>150</v>
      </c>
      <c r="C76" s="392"/>
      <c r="D76" s="391"/>
      <c r="E76" s="392"/>
      <c r="F76" s="393"/>
      <c r="G76" s="392"/>
      <c r="H76" s="394"/>
      <c r="I76" s="392"/>
      <c r="J76" s="394"/>
      <c r="K76" s="392"/>
      <c r="L76" s="391"/>
      <c r="M76" s="392"/>
      <c r="N76" s="395"/>
      <c r="O76" s="396"/>
      <c r="P76" s="395"/>
      <c r="Q76" s="6"/>
      <c r="R76" s="622"/>
      <c r="S76" s="353" t="s">
        <v>150</v>
      </c>
      <c r="T76" s="183">
        <f t="shared" si="12"/>
        <v>0</v>
      </c>
    </row>
    <row r="77" spans="1:20" ht="14.1" customHeight="1" x14ac:dyDescent="0.3">
      <c r="A77" s="622"/>
      <c r="B77" s="458" t="s">
        <v>151</v>
      </c>
      <c r="C77" s="392"/>
      <c r="D77" s="391"/>
      <c r="E77" s="392"/>
      <c r="F77" s="393"/>
      <c r="G77" s="392"/>
      <c r="H77" s="394"/>
      <c r="I77" s="392"/>
      <c r="J77" s="394"/>
      <c r="K77" s="392"/>
      <c r="L77" s="391"/>
      <c r="M77" s="392"/>
      <c r="N77" s="395"/>
      <c r="O77" s="396"/>
      <c r="P77" s="395"/>
      <c r="Q77" s="6"/>
      <c r="R77" s="622"/>
      <c r="S77" s="353" t="s">
        <v>151</v>
      </c>
      <c r="T77" s="183">
        <f t="shared" si="12"/>
        <v>0</v>
      </c>
    </row>
    <row r="78" spans="1:20" ht="14.1" customHeight="1" x14ac:dyDescent="0.3">
      <c r="A78" s="622"/>
      <c r="B78" s="458" t="s">
        <v>148</v>
      </c>
      <c r="C78" s="392"/>
      <c r="D78" s="391"/>
      <c r="E78" s="392"/>
      <c r="F78" s="393"/>
      <c r="G78" s="392"/>
      <c r="H78" s="394"/>
      <c r="I78" s="392"/>
      <c r="J78" s="394"/>
      <c r="K78" s="392"/>
      <c r="L78" s="391"/>
      <c r="M78" s="392"/>
      <c r="N78" s="395"/>
      <c r="O78" s="396"/>
      <c r="P78" s="395"/>
      <c r="Q78" s="6"/>
      <c r="R78" s="622"/>
      <c r="S78" s="353" t="s">
        <v>148</v>
      </c>
      <c r="T78" s="183">
        <f t="shared" si="12"/>
        <v>0</v>
      </c>
    </row>
    <row r="79" spans="1:20" ht="14.1" customHeight="1" thickBot="1" x14ac:dyDescent="0.35">
      <c r="A79" s="623"/>
      <c r="B79" s="459" t="s">
        <v>89</v>
      </c>
      <c r="C79" s="398"/>
      <c r="D79" s="397"/>
      <c r="E79" s="398"/>
      <c r="F79" s="399"/>
      <c r="G79" s="398"/>
      <c r="H79" s="400"/>
      <c r="I79" s="398"/>
      <c r="J79" s="400"/>
      <c r="K79" s="398"/>
      <c r="L79" s="397"/>
      <c r="M79" s="398"/>
      <c r="N79" s="401"/>
      <c r="O79" s="402"/>
      <c r="P79" s="401"/>
      <c r="Q79" s="6"/>
      <c r="R79" s="623"/>
      <c r="S79" s="354" t="s">
        <v>89</v>
      </c>
      <c r="T79" s="183">
        <f t="shared" si="12"/>
        <v>0</v>
      </c>
    </row>
    <row r="80" spans="1:20" ht="14.1" customHeight="1" x14ac:dyDescent="0.3">
      <c r="A80" s="624" t="s">
        <v>50</v>
      </c>
      <c r="B80" s="460" t="s">
        <v>203</v>
      </c>
      <c r="C80" s="386"/>
      <c r="D80" s="403"/>
      <c r="E80" s="386"/>
      <c r="F80" s="388"/>
      <c r="G80" s="386"/>
      <c r="H80" s="388"/>
      <c r="I80" s="386"/>
      <c r="J80" s="388"/>
      <c r="K80" s="386"/>
      <c r="L80" s="405"/>
      <c r="M80" s="386"/>
      <c r="N80" s="385"/>
      <c r="O80" s="386"/>
      <c r="P80" s="389"/>
      <c r="Q80" s="6"/>
      <c r="R80" s="626" t="s">
        <v>50</v>
      </c>
      <c r="S80" s="490" t="s">
        <v>168</v>
      </c>
      <c r="T80" s="182">
        <f t="shared" si="12"/>
        <v>0</v>
      </c>
    </row>
    <row r="81" spans="1:20" ht="14.1" customHeight="1" x14ac:dyDescent="0.3">
      <c r="A81" s="625"/>
      <c r="B81" s="481" t="s">
        <v>205</v>
      </c>
      <c r="C81" s="392"/>
      <c r="D81" s="407"/>
      <c r="E81" s="392"/>
      <c r="F81" s="404"/>
      <c r="G81" s="392"/>
      <c r="H81" s="404"/>
      <c r="I81" s="392"/>
      <c r="J81" s="404"/>
      <c r="K81" s="392"/>
      <c r="L81" s="408"/>
      <c r="M81" s="392"/>
      <c r="N81" s="406"/>
      <c r="O81" s="409"/>
      <c r="P81" s="410"/>
      <c r="Q81" s="6"/>
      <c r="R81" s="627"/>
      <c r="S81" s="491" t="s">
        <v>213</v>
      </c>
      <c r="T81" s="183">
        <f t="shared" si="12"/>
        <v>0</v>
      </c>
    </row>
    <row r="82" spans="1:20" ht="14.1" customHeight="1" thickBot="1" x14ac:dyDescent="0.35">
      <c r="A82" s="625"/>
      <c r="B82" s="553" t="s">
        <v>211</v>
      </c>
      <c r="C82" s="398"/>
      <c r="D82" s="564"/>
      <c r="E82" s="398"/>
      <c r="F82" s="534"/>
      <c r="G82" s="398"/>
      <c r="H82" s="534"/>
      <c r="I82" s="398"/>
      <c r="J82" s="534"/>
      <c r="K82" s="398"/>
      <c r="L82" s="436"/>
      <c r="M82" s="435"/>
      <c r="N82" s="437"/>
      <c r="O82" s="435"/>
      <c r="P82" s="565"/>
      <c r="Q82" s="6"/>
      <c r="R82" s="627"/>
      <c r="S82" s="566" t="s">
        <v>214</v>
      </c>
      <c r="T82" s="184">
        <f t="shared" si="12"/>
        <v>0</v>
      </c>
    </row>
    <row r="83" spans="1:20" ht="14.1" customHeight="1" x14ac:dyDescent="0.3">
      <c r="A83" s="625"/>
      <c r="B83" s="554" t="s">
        <v>163</v>
      </c>
      <c r="C83" s="409"/>
      <c r="D83" s="407"/>
      <c r="E83" s="409"/>
      <c r="F83" s="404"/>
      <c r="G83" s="409"/>
      <c r="H83" s="404"/>
      <c r="I83" s="409"/>
      <c r="J83" s="404"/>
      <c r="K83" s="409"/>
      <c r="L83" s="408"/>
      <c r="M83" s="409"/>
      <c r="N83" s="406"/>
      <c r="O83" s="409"/>
      <c r="P83" s="410"/>
      <c r="Q83" s="6"/>
      <c r="R83" s="627"/>
      <c r="S83" s="343" t="s">
        <v>212</v>
      </c>
      <c r="T83" s="563">
        <f t="shared" si="12"/>
        <v>0</v>
      </c>
    </row>
    <row r="84" spans="1:20" ht="14.1" customHeight="1" x14ac:dyDescent="0.3">
      <c r="A84" s="625"/>
      <c r="B84" s="555" t="s">
        <v>162</v>
      </c>
      <c r="C84" s="392"/>
      <c r="D84" s="407"/>
      <c r="E84" s="392"/>
      <c r="F84" s="404"/>
      <c r="G84" s="392"/>
      <c r="H84" s="404"/>
      <c r="I84" s="392"/>
      <c r="J84" s="404"/>
      <c r="K84" s="392"/>
      <c r="L84" s="408"/>
      <c r="M84" s="409"/>
      <c r="N84" s="406"/>
      <c r="O84" s="409"/>
      <c r="P84" s="410"/>
      <c r="Q84" s="6"/>
      <c r="R84" s="627"/>
      <c r="S84" s="326" t="s">
        <v>162</v>
      </c>
      <c r="T84" s="183">
        <f t="shared" si="12"/>
        <v>0</v>
      </c>
    </row>
    <row r="85" spans="1:20" ht="14.1" customHeight="1" x14ac:dyDescent="0.3">
      <c r="A85" s="625"/>
      <c r="B85" s="556" t="s">
        <v>164</v>
      </c>
      <c r="C85" s="392"/>
      <c r="D85" s="407"/>
      <c r="E85" s="392"/>
      <c r="F85" s="404"/>
      <c r="G85" s="392"/>
      <c r="H85" s="404"/>
      <c r="I85" s="392"/>
      <c r="J85" s="404"/>
      <c r="K85" s="392"/>
      <c r="L85" s="408"/>
      <c r="M85" s="409"/>
      <c r="N85" s="406"/>
      <c r="O85" s="409"/>
      <c r="P85" s="410"/>
      <c r="Q85" s="6"/>
      <c r="R85" s="627"/>
      <c r="S85" s="343" t="s">
        <v>164</v>
      </c>
      <c r="T85" s="183">
        <f t="shared" si="12"/>
        <v>0</v>
      </c>
    </row>
    <row r="86" spans="1:20" ht="14.1" customHeight="1" x14ac:dyDescent="0.3">
      <c r="A86" s="625"/>
      <c r="B86" s="555" t="s">
        <v>165</v>
      </c>
      <c r="C86" s="392"/>
      <c r="D86" s="407"/>
      <c r="E86" s="392"/>
      <c r="F86" s="404"/>
      <c r="G86" s="392"/>
      <c r="H86" s="404"/>
      <c r="I86" s="392"/>
      <c r="J86" s="404"/>
      <c r="K86" s="392"/>
      <c r="L86" s="408"/>
      <c r="M86" s="409"/>
      <c r="N86" s="406"/>
      <c r="O86" s="409"/>
      <c r="P86" s="410"/>
      <c r="Q86" s="6"/>
      <c r="R86" s="627"/>
      <c r="S86" s="326" t="s">
        <v>165</v>
      </c>
      <c r="T86" s="183">
        <f t="shared" si="12"/>
        <v>0</v>
      </c>
    </row>
    <row r="87" spans="1:20" ht="14.1" customHeight="1" x14ac:dyDescent="0.3">
      <c r="A87" s="625"/>
      <c r="B87" s="555" t="s">
        <v>184</v>
      </c>
      <c r="C87" s="392"/>
      <c r="D87" s="407"/>
      <c r="E87" s="392"/>
      <c r="F87" s="404"/>
      <c r="G87" s="392"/>
      <c r="H87" s="404"/>
      <c r="I87" s="392"/>
      <c r="J87" s="404"/>
      <c r="K87" s="392"/>
      <c r="L87" s="408"/>
      <c r="M87" s="409"/>
      <c r="N87" s="406"/>
      <c r="O87" s="409"/>
      <c r="P87" s="410"/>
      <c r="Q87" s="6"/>
      <c r="R87" s="627"/>
      <c r="S87" s="326" t="s">
        <v>184</v>
      </c>
      <c r="T87" s="183">
        <f t="shared" si="12"/>
        <v>0</v>
      </c>
    </row>
    <row r="88" spans="1:20" ht="14.1" customHeight="1" x14ac:dyDescent="0.3">
      <c r="A88" s="625"/>
      <c r="B88" s="555" t="s">
        <v>185</v>
      </c>
      <c r="C88" s="392"/>
      <c r="D88" s="407"/>
      <c r="E88" s="392"/>
      <c r="F88" s="404"/>
      <c r="G88" s="392"/>
      <c r="H88" s="404"/>
      <c r="I88" s="392"/>
      <c r="J88" s="404"/>
      <c r="K88" s="392"/>
      <c r="L88" s="408"/>
      <c r="M88" s="409"/>
      <c r="N88" s="406"/>
      <c r="O88" s="409"/>
      <c r="P88" s="410"/>
      <c r="Q88" s="6"/>
      <c r="R88" s="627"/>
      <c r="S88" s="326" t="s">
        <v>185</v>
      </c>
      <c r="T88" s="183">
        <f t="shared" si="12"/>
        <v>0</v>
      </c>
    </row>
    <row r="89" spans="1:20" ht="14.1" customHeight="1" x14ac:dyDescent="0.3">
      <c r="A89" s="625"/>
      <c r="B89" s="556" t="s">
        <v>166</v>
      </c>
      <c r="C89" s="392"/>
      <c r="D89" s="407"/>
      <c r="E89" s="411"/>
      <c r="F89" s="406"/>
      <c r="G89" s="411"/>
      <c r="H89" s="404"/>
      <c r="I89" s="411"/>
      <c r="J89" s="404"/>
      <c r="K89" s="411"/>
      <c r="L89" s="408"/>
      <c r="M89" s="412"/>
      <c r="N89" s="406"/>
      <c r="O89" s="409"/>
      <c r="P89" s="410"/>
      <c r="Q89" s="6"/>
      <c r="R89" s="627"/>
      <c r="S89" s="343" t="s">
        <v>166</v>
      </c>
      <c r="T89" s="183">
        <f t="shared" si="12"/>
        <v>0</v>
      </c>
    </row>
    <row r="90" spans="1:20" ht="14.1" customHeight="1" x14ac:dyDescent="0.3">
      <c r="A90" s="625"/>
      <c r="B90" s="555" t="s">
        <v>167</v>
      </c>
      <c r="C90" s="411"/>
      <c r="D90" s="413"/>
      <c r="E90" s="411"/>
      <c r="F90" s="406"/>
      <c r="G90" s="411"/>
      <c r="H90" s="404"/>
      <c r="I90" s="411"/>
      <c r="J90" s="404"/>
      <c r="K90" s="411"/>
      <c r="L90" s="408"/>
      <c r="M90" s="412"/>
      <c r="N90" s="406"/>
      <c r="O90" s="412"/>
      <c r="P90" s="414"/>
      <c r="Q90" s="6"/>
      <c r="R90" s="627"/>
      <c r="S90" s="326" t="s">
        <v>167</v>
      </c>
      <c r="T90" s="183">
        <f t="shared" si="12"/>
        <v>0</v>
      </c>
    </row>
    <row r="91" spans="1:20" ht="14.1" customHeight="1" thickBot="1" x14ac:dyDescent="0.35">
      <c r="A91" s="625"/>
      <c r="B91" s="557" t="s">
        <v>186</v>
      </c>
      <c r="C91" s="398"/>
      <c r="D91" s="397"/>
      <c r="E91" s="398"/>
      <c r="F91" s="415"/>
      <c r="G91" s="398"/>
      <c r="H91" s="404"/>
      <c r="I91" s="398"/>
      <c r="J91" s="404"/>
      <c r="K91" s="398"/>
      <c r="L91" s="408"/>
      <c r="M91" s="398"/>
      <c r="N91" s="406"/>
      <c r="O91" s="402"/>
      <c r="P91" s="401"/>
      <c r="Q91" s="6"/>
      <c r="R91" s="627"/>
      <c r="S91" s="327" t="s">
        <v>186</v>
      </c>
      <c r="T91" s="560">
        <f t="shared" si="12"/>
        <v>0</v>
      </c>
    </row>
    <row r="92" spans="1:20" ht="14.1" customHeight="1" x14ac:dyDescent="0.3">
      <c r="A92" s="628" t="s">
        <v>19</v>
      </c>
      <c r="B92" s="461" t="s">
        <v>193</v>
      </c>
      <c r="C92" s="392"/>
      <c r="D92" s="385"/>
      <c r="E92" s="392"/>
      <c r="F92" s="388"/>
      <c r="G92" s="392"/>
      <c r="H92" s="388"/>
      <c r="I92" s="392"/>
      <c r="J92" s="388"/>
      <c r="K92" s="392"/>
      <c r="L92" s="405"/>
      <c r="M92" s="386"/>
      <c r="N92" s="385"/>
      <c r="O92" s="396"/>
      <c r="P92" s="389"/>
      <c r="Q92" s="6"/>
      <c r="R92" s="630" t="s">
        <v>19</v>
      </c>
      <c r="S92" s="379" t="s">
        <v>51</v>
      </c>
      <c r="T92" s="182">
        <f t="shared" si="12"/>
        <v>0</v>
      </c>
    </row>
    <row r="93" spans="1:20" ht="14.1" customHeight="1" x14ac:dyDescent="0.3">
      <c r="A93" s="629"/>
      <c r="B93" s="462" t="s">
        <v>194</v>
      </c>
      <c r="C93" s="392"/>
      <c r="D93" s="406"/>
      <c r="E93" s="409"/>
      <c r="F93" s="404"/>
      <c r="G93" s="392"/>
      <c r="H93" s="404"/>
      <c r="I93" s="392"/>
      <c r="J93" s="404"/>
      <c r="K93" s="392"/>
      <c r="L93" s="408"/>
      <c r="M93" s="409"/>
      <c r="N93" s="406"/>
      <c r="O93" s="396"/>
      <c r="P93" s="410"/>
      <c r="Q93" s="6"/>
      <c r="R93" s="631"/>
      <c r="S93" s="380" t="s">
        <v>43</v>
      </c>
      <c r="T93" s="183">
        <f t="shared" si="12"/>
        <v>0</v>
      </c>
    </row>
    <row r="94" spans="1:20" ht="14.1" customHeight="1" thickBot="1" x14ac:dyDescent="0.35">
      <c r="A94" s="629"/>
      <c r="B94" s="463" t="s">
        <v>195</v>
      </c>
      <c r="C94" s="412"/>
      <c r="D94" s="416"/>
      <c r="E94" s="412"/>
      <c r="F94" s="417"/>
      <c r="G94" s="412"/>
      <c r="H94" s="417"/>
      <c r="I94" s="412"/>
      <c r="J94" s="417"/>
      <c r="K94" s="412"/>
      <c r="L94" s="418"/>
      <c r="M94" s="412"/>
      <c r="N94" s="416"/>
      <c r="O94" s="419"/>
      <c r="P94" s="414"/>
      <c r="Q94" s="6"/>
      <c r="R94" s="631"/>
      <c r="S94" s="381" t="s">
        <v>53</v>
      </c>
      <c r="T94" s="184">
        <f t="shared" si="12"/>
        <v>0</v>
      </c>
    </row>
    <row r="95" spans="1:20" ht="14.1" customHeight="1" x14ac:dyDescent="0.3">
      <c r="A95" s="629"/>
      <c r="B95" s="461" t="s">
        <v>196</v>
      </c>
      <c r="C95" s="386"/>
      <c r="D95" s="385"/>
      <c r="E95" s="386"/>
      <c r="F95" s="388"/>
      <c r="G95" s="386"/>
      <c r="H95" s="388"/>
      <c r="I95" s="386"/>
      <c r="J95" s="388"/>
      <c r="K95" s="386"/>
      <c r="L95" s="405"/>
      <c r="M95" s="386"/>
      <c r="N95" s="385"/>
      <c r="O95" s="390"/>
      <c r="P95" s="389"/>
      <c r="Q95" s="6"/>
      <c r="R95" s="631"/>
      <c r="S95" s="358" t="s">
        <v>65</v>
      </c>
      <c r="T95" s="563">
        <f t="shared" si="12"/>
        <v>0</v>
      </c>
    </row>
    <row r="96" spans="1:20" ht="14.1" customHeight="1" x14ac:dyDescent="0.3">
      <c r="A96" s="629"/>
      <c r="B96" s="488" t="s">
        <v>197</v>
      </c>
      <c r="C96" s="392"/>
      <c r="D96" s="406"/>
      <c r="E96" s="392"/>
      <c r="F96" s="404"/>
      <c r="G96" s="392"/>
      <c r="H96" s="404"/>
      <c r="I96" s="392"/>
      <c r="J96" s="404"/>
      <c r="K96" s="392"/>
      <c r="L96" s="408"/>
      <c r="M96" s="392"/>
      <c r="N96" s="406"/>
      <c r="O96" s="396"/>
      <c r="P96" s="410"/>
      <c r="Q96" s="6"/>
      <c r="R96" s="631"/>
      <c r="S96" s="359" t="s">
        <v>8</v>
      </c>
      <c r="T96" s="183">
        <f t="shared" si="12"/>
        <v>0</v>
      </c>
    </row>
    <row r="97" spans="1:20" ht="14.1" customHeight="1" thickBot="1" x14ac:dyDescent="0.35">
      <c r="A97" s="629"/>
      <c r="B97" s="489" t="s">
        <v>198</v>
      </c>
      <c r="C97" s="398"/>
      <c r="D97" s="397"/>
      <c r="E97" s="398"/>
      <c r="F97" s="400"/>
      <c r="G97" s="398"/>
      <c r="H97" s="400"/>
      <c r="I97" s="398"/>
      <c r="J97" s="400"/>
      <c r="K97" s="398"/>
      <c r="L97" s="420"/>
      <c r="M97" s="398"/>
      <c r="N97" s="397"/>
      <c r="O97" s="402"/>
      <c r="P97" s="421"/>
      <c r="Q97" s="6"/>
      <c r="R97" s="631"/>
      <c r="S97" s="360" t="s">
        <v>5</v>
      </c>
      <c r="T97" s="560">
        <f t="shared" si="12"/>
        <v>0</v>
      </c>
    </row>
    <row r="98" spans="1:20" ht="14.1" customHeight="1" x14ac:dyDescent="0.3">
      <c r="A98" s="629"/>
      <c r="B98" s="461" t="s">
        <v>210</v>
      </c>
      <c r="C98" s="386"/>
      <c r="D98" s="385"/>
      <c r="E98" s="386"/>
      <c r="F98" s="388"/>
      <c r="G98" s="386"/>
      <c r="H98" s="388"/>
      <c r="I98" s="386"/>
      <c r="J98" s="388"/>
      <c r="K98" s="386"/>
      <c r="L98" s="405"/>
      <c r="M98" s="386"/>
      <c r="N98" s="385"/>
      <c r="O98" s="390"/>
      <c r="P98" s="389"/>
      <c r="Q98" s="6"/>
      <c r="R98" s="631"/>
      <c r="S98" s="361" t="s">
        <v>199</v>
      </c>
      <c r="T98" s="182">
        <f t="shared" si="12"/>
        <v>0</v>
      </c>
    </row>
    <row r="99" spans="1:20" ht="14.1" customHeight="1" x14ac:dyDescent="0.3">
      <c r="A99" s="629"/>
      <c r="B99" s="488" t="s">
        <v>200</v>
      </c>
      <c r="C99" s="392"/>
      <c r="D99" s="406"/>
      <c r="E99" s="392"/>
      <c r="F99" s="404"/>
      <c r="G99" s="392"/>
      <c r="H99" s="404"/>
      <c r="I99" s="392"/>
      <c r="J99" s="404"/>
      <c r="K99" s="392"/>
      <c r="L99" s="408"/>
      <c r="M99" s="392"/>
      <c r="N99" s="406"/>
      <c r="O99" s="396"/>
      <c r="P99" s="410"/>
      <c r="Q99" s="6"/>
      <c r="R99" s="631"/>
      <c r="S99" s="362" t="s">
        <v>200</v>
      </c>
      <c r="T99" s="183">
        <f t="shared" si="12"/>
        <v>0</v>
      </c>
    </row>
    <row r="100" spans="1:20" ht="14.1" customHeight="1" thickBot="1" x14ac:dyDescent="0.35">
      <c r="A100" s="629"/>
      <c r="B100" s="489" t="s">
        <v>209</v>
      </c>
      <c r="C100" s="398"/>
      <c r="D100" s="397"/>
      <c r="E100" s="398"/>
      <c r="F100" s="400"/>
      <c r="G100" s="398"/>
      <c r="H100" s="400"/>
      <c r="I100" s="398"/>
      <c r="J100" s="400"/>
      <c r="K100" s="398"/>
      <c r="L100" s="420"/>
      <c r="M100" s="398"/>
      <c r="N100" s="397"/>
      <c r="O100" s="402"/>
      <c r="P100" s="421"/>
      <c r="Q100" s="6"/>
      <c r="R100" s="631"/>
      <c r="S100" s="363" t="s">
        <v>201</v>
      </c>
      <c r="T100" s="184">
        <f t="shared" si="12"/>
        <v>0</v>
      </c>
    </row>
    <row r="101" spans="1:20" ht="14.1" customHeight="1" x14ac:dyDescent="0.3">
      <c r="A101" s="611" t="s">
        <v>16</v>
      </c>
      <c r="B101" s="464" t="s">
        <v>36</v>
      </c>
      <c r="C101" s="386"/>
      <c r="D101" s="422"/>
      <c r="E101" s="386"/>
      <c r="F101" s="388"/>
      <c r="G101" s="386"/>
      <c r="H101" s="388"/>
      <c r="I101" s="386"/>
      <c r="J101" s="388"/>
      <c r="K101" s="386"/>
      <c r="L101" s="405"/>
      <c r="M101" s="386"/>
      <c r="N101" s="385"/>
      <c r="O101" s="390"/>
      <c r="P101" s="389"/>
      <c r="Q101" s="6"/>
      <c r="R101" s="611" t="s">
        <v>16</v>
      </c>
      <c r="S101" s="364" t="s">
        <v>36</v>
      </c>
      <c r="T101" s="563">
        <f t="shared" si="12"/>
        <v>0</v>
      </c>
    </row>
    <row r="102" spans="1:20" ht="14.1" customHeight="1" x14ac:dyDescent="0.3">
      <c r="A102" s="612"/>
      <c r="B102" s="465" t="s">
        <v>81</v>
      </c>
      <c r="C102" s="392"/>
      <c r="D102" s="423"/>
      <c r="E102" s="392"/>
      <c r="F102" s="424"/>
      <c r="G102" s="392"/>
      <c r="H102" s="394"/>
      <c r="I102" s="392"/>
      <c r="J102" s="394"/>
      <c r="K102" s="392"/>
      <c r="L102" s="425"/>
      <c r="M102" s="392"/>
      <c r="N102" s="391"/>
      <c r="O102" s="396"/>
      <c r="P102" s="395"/>
      <c r="Q102" s="6"/>
      <c r="R102" s="612"/>
      <c r="S102" s="365" t="s">
        <v>81</v>
      </c>
      <c r="T102" s="183">
        <f t="shared" si="12"/>
        <v>0</v>
      </c>
    </row>
    <row r="103" spans="1:20" ht="14.1" customHeight="1" x14ac:dyDescent="0.3">
      <c r="A103" s="612"/>
      <c r="B103" s="465" t="s">
        <v>78</v>
      </c>
      <c r="C103" s="392"/>
      <c r="D103" s="426"/>
      <c r="E103" s="392"/>
      <c r="F103" s="426"/>
      <c r="G103" s="392"/>
      <c r="H103" s="391"/>
      <c r="I103" s="392"/>
      <c r="J103" s="391"/>
      <c r="K103" s="392"/>
      <c r="L103" s="425"/>
      <c r="M103" s="392"/>
      <c r="N103" s="391"/>
      <c r="O103" s="396"/>
      <c r="P103" s="395"/>
      <c r="Q103" s="6"/>
      <c r="R103" s="612"/>
      <c r="S103" s="365" t="s">
        <v>78</v>
      </c>
      <c r="T103" s="183">
        <f t="shared" si="12"/>
        <v>0</v>
      </c>
    </row>
    <row r="104" spans="1:20" ht="14.1" customHeight="1" thickBot="1" x14ac:dyDescent="0.35">
      <c r="A104" s="613"/>
      <c r="B104" s="466" t="s">
        <v>87</v>
      </c>
      <c r="C104" s="398"/>
      <c r="D104" s="427"/>
      <c r="E104" s="398"/>
      <c r="F104" s="427"/>
      <c r="G104" s="392"/>
      <c r="H104" s="397"/>
      <c r="I104" s="392"/>
      <c r="J104" s="397"/>
      <c r="K104" s="392"/>
      <c r="L104" s="420"/>
      <c r="M104" s="398"/>
      <c r="N104" s="397"/>
      <c r="O104" s="402"/>
      <c r="P104" s="401"/>
      <c r="Q104" s="6"/>
      <c r="R104" s="613"/>
      <c r="S104" s="366" t="s">
        <v>87</v>
      </c>
      <c r="T104" s="560">
        <f t="shared" si="12"/>
        <v>0</v>
      </c>
    </row>
    <row r="105" spans="1:20" ht="14.1" customHeight="1" x14ac:dyDescent="0.3">
      <c r="A105" s="614" t="s">
        <v>47</v>
      </c>
      <c r="B105" s="467" t="s">
        <v>48</v>
      </c>
      <c r="C105" s="409"/>
      <c r="D105" s="428"/>
      <c r="E105" s="386"/>
      <c r="F105" s="388"/>
      <c r="G105" s="386"/>
      <c r="H105" s="385"/>
      <c r="I105" s="386"/>
      <c r="J105" s="385"/>
      <c r="K105" s="386"/>
      <c r="L105" s="405"/>
      <c r="M105" s="386"/>
      <c r="N105" s="385"/>
      <c r="O105" s="390"/>
      <c r="P105" s="389"/>
      <c r="Q105" s="6"/>
      <c r="R105" s="614" t="s">
        <v>47</v>
      </c>
      <c r="S105" s="367" t="s">
        <v>48</v>
      </c>
      <c r="T105" s="182">
        <f t="shared" si="12"/>
        <v>0</v>
      </c>
    </row>
    <row r="106" spans="1:20" ht="14.1" customHeight="1" x14ac:dyDescent="0.3">
      <c r="A106" s="615"/>
      <c r="B106" s="468" t="s">
        <v>44</v>
      </c>
      <c r="C106" s="392"/>
      <c r="D106" s="424"/>
      <c r="E106" s="392"/>
      <c r="F106" s="394"/>
      <c r="G106" s="392"/>
      <c r="H106" s="391"/>
      <c r="I106" s="392"/>
      <c r="J106" s="391"/>
      <c r="K106" s="392"/>
      <c r="L106" s="425"/>
      <c r="M106" s="392"/>
      <c r="N106" s="391"/>
      <c r="O106" s="396"/>
      <c r="P106" s="395"/>
      <c r="Q106" s="6"/>
      <c r="R106" s="615"/>
      <c r="S106" s="368" t="s">
        <v>44</v>
      </c>
      <c r="T106" s="183">
        <f t="shared" si="12"/>
        <v>0</v>
      </c>
    </row>
    <row r="107" spans="1:20" ht="14.1" customHeight="1" thickBot="1" x14ac:dyDescent="0.35">
      <c r="A107" s="616"/>
      <c r="B107" s="469" t="s">
        <v>54</v>
      </c>
      <c r="C107" s="398"/>
      <c r="D107" s="429"/>
      <c r="E107" s="398"/>
      <c r="F107" s="400"/>
      <c r="G107" s="398"/>
      <c r="H107" s="397"/>
      <c r="I107" s="398"/>
      <c r="J107" s="397"/>
      <c r="K107" s="398"/>
      <c r="L107" s="420"/>
      <c r="M107" s="398"/>
      <c r="N107" s="397"/>
      <c r="O107" s="430"/>
      <c r="P107" s="410"/>
      <c r="Q107" s="6"/>
      <c r="R107" s="616"/>
      <c r="S107" s="369" t="s">
        <v>54</v>
      </c>
      <c r="T107" s="184">
        <f t="shared" si="12"/>
        <v>0</v>
      </c>
    </row>
    <row r="108" spans="1:20" ht="14.1" customHeight="1" x14ac:dyDescent="0.3">
      <c r="A108" s="617" t="s">
        <v>39</v>
      </c>
      <c r="B108" s="470" t="s">
        <v>44</v>
      </c>
      <c r="C108" s="386"/>
      <c r="D108" s="403"/>
      <c r="E108" s="386"/>
      <c r="F108" s="404"/>
      <c r="G108" s="386"/>
      <c r="H108" s="406"/>
      <c r="I108" s="386"/>
      <c r="J108" s="406"/>
      <c r="K108" s="386"/>
      <c r="L108" s="405"/>
      <c r="M108" s="409"/>
      <c r="N108" s="406"/>
      <c r="O108" s="390"/>
      <c r="P108" s="389"/>
      <c r="Q108" s="6"/>
      <c r="R108" s="617" t="s">
        <v>39</v>
      </c>
      <c r="S108" s="480" t="s">
        <v>44</v>
      </c>
      <c r="T108" s="563">
        <f t="shared" si="12"/>
        <v>0</v>
      </c>
    </row>
    <row r="109" spans="1:20" ht="14.1" customHeight="1" x14ac:dyDescent="0.3">
      <c r="A109" s="618"/>
      <c r="B109" s="470" t="s">
        <v>54</v>
      </c>
      <c r="C109" s="392"/>
      <c r="D109" s="426"/>
      <c r="E109" s="392"/>
      <c r="F109" s="394"/>
      <c r="G109" s="392"/>
      <c r="H109" s="391"/>
      <c r="I109" s="392"/>
      <c r="J109" s="391"/>
      <c r="K109" s="392"/>
      <c r="L109" s="425"/>
      <c r="M109" s="392"/>
      <c r="N109" s="406"/>
      <c r="O109" s="396"/>
      <c r="P109" s="395"/>
      <c r="Q109" s="6"/>
      <c r="R109" s="618"/>
      <c r="S109" s="480" t="s">
        <v>54</v>
      </c>
      <c r="T109" s="183">
        <f t="shared" si="12"/>
        <v>0</v>
      </c>
    </row>
    <row r="110" spans="1:20" ht="14.1" customHeight="1" x14ac:dyDescent="0.3">
      <c r="A110" s="618"/>
      <c r="B110" s="470" t="s">
        <v>204</v>
      </c>
      <c r="C110" s="392"/>
      <c r="D110" s="426"/>
      <c r="E110" s="392"/>
      <c r="F110" s="404"/>
      <c r="G110" s="392"/>
      <c r="H110" s="406"/>
      <c r="I110" s="392"/>
      <c r="J110" s="406"/>
      <c r="K110" s="392"/>
      <c r="L110" s="408"/>
      <c r="M110" s="392"/>
      <c r="N110" s="406"/>
      <c r="O110" s="396"/>
      <c r="P110" s="395"/>
      <c r="Q110" s="6"/>
      <c r="R110" s="618"/>
      <c r="S110" s="480" t="s">
        <v>204</v>
      </c>
      <c r="T110" s="183">
        <f t="shared" si="12"/>
        <v>0</v>
      </c>
    </row>
    <row r="111" spans="1:20" ht="14.1" customHeight="1" thickBot="1" x14ac:dyDescent="0.35">
      <c r="A111" s="618"/>
      <c r="B111" s="471" t="s">
        <v>113</v>
      </c>
      <c r="C111" s="411"/>
      <c r="D111" s="427"/>
      <c r="E111" s="411"/>
      <c r="F111" s="417"/>
      <c r="G111" s="411"/>
      <c r="H111" s="416"/>
      <c r="I111" s="411"/>
      <c r="J111" s="416"/>
      <c r="K111" s="411"/>
      <c r="L111" s="431"/>
      <c r="M111" s="411"/>
      <c r="N111" s="432"/>
      <c r="O111" s="433"/>
      <c r="P111" s="421"/>
      <c r="Q111" s="6"/>
      <c r="R111" s="618"/>
      <c r="S111" s="513" t="s">
        <v>113</v>
      </c>
      <c r="T111" s="560">
        <f t="shared" si="12"/>
        <v>0</v>
      </c>
    </row>
    <row r="112" spans="1:20" ht="14.1" customHeight="1" x14ac:dyDescent="0.3">
      <c r="A112" s="603" t="s">
        <v>215</v>
      </c>
      <c r="B112" s="472" t="s">
        <v>45</v>
      </c>
      <c r="C112" s="386"/>
      <c r="D112" s="403"/>
      <c r="E112" s="386"/>
      <c r="F112" s="388"/>
      <c r="G112" s="386"/>
      <c r="H112" s="385"/>
      <c r="I112" s="386"/>
      <c r="J112" s="385"/>
      <c r="K112" s="386"/>
      <c r="L112" s="405"/>
      <c r="M112" s="386"/>
      <c r="N112" s="385"/>
      <c r="O112" s="390"/>
      <c r="P112" s="389"/>
      <c r="Q112" s="6"/>
      <c r="R112" s="603" t="s">
        <v>215</v>
      </c>
      <c r="S112" s="483" t="s">
        <v>45</v>
      </c>
      <c r="T112" s="182">
        <f t="shared" si="12"/>
        <v>0</v>
      </c>
    </row>
    <row r="113" spans="1:20" ht="14.1" customHeight="1" thickBot="1" x14ac:dyDescent="0.35">
      <c r="A113" s="604"/>
      <c r="B113" s="482" t="s">
        <v>42</v>
      </c>
      <c r="C113" s="435"/>
      <c r="D113" s="434"/>
      <c r="E113" s="435"/>
      <c r="F113" s="400"/>
      <c r="G113" s="435"/>
      <c r="H113" s="397"/>
      <c r="I113" s="435"/>
      <c r="J113" s="397"/>
      <c r="K113" s="435"/>
      <c r="L113" s="436"/>
      <c r="M113" s="435"/>
      <c r="N113" s="437"/>
      <c r="O113" s="438"/>
      <c r="P113" s="401"/>
      <c r="Q113" s="6"/>
      <c r="R113" s="604"/>
      <c r="S113" s="503" t="s">
        <v>42</v>
      </c>
      <c r="T113" s="184">
        <f t="shared" si="12"/>
        <v>0</v>
      </c>
    </row>
    <row r="114" spans="1:20" ht="14.1" customHeight="1" x14ac:dyDescent="0.3">
      <c r="A114" s="605" t="s">
        <v>206</v>
      </c>
      <c r="B114" s="484" t="s">
        <v>207</v>
      </c>
      <c r="C114" s="412"/>
      <c r="D114" s="439"/>
      <c r="E114" s="412"/>
      <c r="F114" s="417"/>
      <c r="G114" s="412"/>
      <c r="H114" s="416"/>
      <c r="I114" s="412"/>
      <c r="J114" s="416"/>
      <c r="K114" s="412"/>
      <c r="L114" s="418"/>
      <c r="M114" s="412"/>
      <c r="N114" s="416"/>
      <c r="O114" s="419"/>
      <c r="P114" s="414"/>
      <c r="Q114" s="6"/>
      <c r="R114" s="605" t="s">
        <v>206</v>
      </c>
      <c r="S114" s="486" t="s">
        <v>207</v>
      </c>
      <c r="T114" s="183">
        <f t="shared" si="12"/>
        <v>0</v>
      </c>
    </row>
    <row r="115" spans="1:20" ht="14.1" customHeight="1" thickBot="1" x14ac:dyDescent="0.35">
      <c r="A115" s="606"/>
      <c r="B115" s="485" t="s">
        <v>208</v>
      </c>
      <c r="C115" s="412"/>
      <c r="D115" s="439"/>
      <c r="E115" s="412"/>
      <c r="F115" s="417"/>
      <c r="G115" s="412"/>
      <c r="H115" s="416"/>
      <c r="I115" s="412"/>
      <c r="J115" s="416"/>
      <c r="K115" s="412"/>
      <c r="L115" s="418"/>
      <c r="M115" s="412"/>
      <c r="N115" s="416"/>
      <c r="O115" s="419"/>
      <c r="P115" s="414"/>
      <c r="Q115" s="6"/>
      <c r="R115" s="607"/>
      <c r="S115" s="559" t="s">
        <v>208</v>
      </c>
      <c r="T115" s="184">
        <f t="shared" si="12"/>
        <v>0</v>
      </c>
    </row>
    <row r="116" spans="1:20" ht="14.1" customHeight="1" x14ac:dyDescent="0.3">
      <c r="A116" s="608" t="s">
        <v>125</v>
      </c>
      <c r="B116" s="473" t="s">
        <v>126</v>
      </c>
      <c r="C116" s="386"/>
      <c r="D116" s="422"/>
      <c r="E116" s="386"/>
      <c r="F116" s="388"/>
      <c r="G116" s="386"/>
      <c r="H116" s="405"/>
      <c r="I116" s="386"/>
      <c r="J116" s="385"/>
      <c r="K116" s="386"/>
      <c r="L116" s="405"/>
      <c r="M116" s="386"/>
      <c r="N116" s="385"/>
      <c r="O116" s="390"/>
      <c r="P116" s="389"/>
      <c r="Q116" s="561"/>
      <c r="R116" s="610" t="s">
        <v>125</v>
      </c>
      <c r="S116" s="562" t="s">
        <v>126</v>
      </c>
      <c r="T116" s="183">
        <f t="shared" si="12"/>
        <v>0</v>
      </c>
    </row>
    <row r="117" spans="1:20" ht="14.1" customHeight="1" x14ac:dyDescent="0.3">
      <c r="A117" s="608"/>
      <c r="B117" s="474" t="s">
        <v>127</v>
      </c>
      <c r="C117" s="412"/>
      <c r="D117" s="439"/>
      <c r="E117" s="412"/>
      <c r="F117" s="404"/>
      <c r="G117" s="412"/>
      <c r="H117" s="408"/>
      <c r="I117" s="412"/>
      <c r="J117" s="406"/>
      <c r="K117" s="412"/>
      <c r="L117" s="418"/>
      <c r="M117" s="412"/>
      <c r="N117" s="416"/>
      <c r="O117" s="419"/>
      <c r="P117" s="414"/>
      <c r="Q117" s="6"/>
      <c r="R117" s="608"/>
      <c r="S117" s="504" t="s">
        <v>127</v>
      </c>
      <c r="T117" s="183">
        <f t="shared" si="12"/>
        <v>0</v>
      </c>
    </row>
    <row r="118" spans="1:20" ht="14.1" customHeight="1" thickBot="1" x14ac:dyDescent="0.35">
      <c r="A118" s="609"/>
      <c r="B118" s="475" t="s">
        <v>128</v>
      </c>
      <c r="C118" s="398"/>
      <c r="D118" s="440"/>
      <c r="E118" s="398"/>
      <c r="F118" s="404"/>
      <c r="G118" s="398"/>
      <c r="H118" s="408"/>
      <c r="I118" s="398"/>
      <c r="J118" s="406"/>
      <c r="K118" s="398"/>
      <c r="L118" s="420"/>
      <c r="M118" s="398"/>
      <c r="N118" s="397"/>
      <c r="O118" s="402"/>
      <c r="P118" s="401"/>
      <c r="Q118" s="6"/>
      <c r="R118" s="609"/>
      <c r="S118" s="505" t="s">
        <v>128</v>
      </c>
      <c r="T118" s="183">
        <f>T53+C118+E118+G118+I118+K118+M118+O118</f>
        <v>0</v>
      </c>
    </row>
    <row r="119" spans="1:20" ht="14.1" customHeight="1" x14ac:dyDescent="0.3">
      <c r="A119" s="582" t="s">
        <v>52</v>
      </c>
      <c r="B119" s="476" t="s">
        <v>41</v>
      </c>
      <c r="C119" s="386"/>
      <c r="D119" s="441"/>
      <c r="E119" s="390"/>
      <c r="F119" s="388"/>
      <c r="G119" s="386"/>
      <c r="H119" s="405"/>
      <c r="I119" s="386"/>
      <c r="J119" s="385"/>
      <c r="K119" s="386"/>
      <c r="L119" s="405"/>
      <c r="M119" s="386"/>
      <c r="N119" s="385"/>
      <c r="O119" s="396"/>
      <c r="P119" s="389"/>
      <c r="Q119" s="6"/>
      <c r="R119" s="582" t="s">
        <v>52</v>
      </c>
      <c r="S119" s="377" t="s">
        <v>41</v>
      </c>
      <c r="T119" s="182">
        <f>T56+C119+E119+G119+I119+K119+M119+O119</f>
        <v>0</v>
      </c>
    </row>
    <row r="120" spans="1:20" ht="14.1" customHeight="1" x14ac:dyDescent="0.3">
      <c r="A120" s="583"/>
      <c r="B120" s="476" t="s">
        <v>11</v>
      </c>
      <c r="C120" s="392"/>
      <c r="D120" s="442"/>
      <c r="E120" s="396"/>
      <c r="F120" s="394"/>
      <c r="G120" s="392"/>
      <c r="H120" s="425"/>
      <c r="I120" s="392"/>
      <c r="J120" s="443"/>
      <c r="K120" s="392"/>
      <c r="L120" s="425"/>
      <c r="M120" s="392"/>
      <c r="N120" s="391"/>
      <c r="O120" s="396"/>
      <c r="P120" s="395"/>
      <c r="Q120" s="6"/>
      <c r="R120" s="583"/>
      <c r="S120" s="377" t="s">
        <v>11</v>
      </c>
      <c r="T120" s="183">
        <f>T57+C120+E120+G120+I120+K120+M120+O120</f>
        <v>0</v>
      </c>
    </row>
    <row r="121" spans="1:20" ht="14.1" customHeight="1" thickBot="1" x14ac:dyDescent="0.35">
      <c r="A121" s="584"/>
      <c r="B121" s="477" t="s">
        <v>27</v>
      </c>
      <c r="C121" s="409"/>
      <c r="D121" s="423"/>
      <c r="E121" s="430"/>
      <c r="F121" s="404"/>
      <c r="G121" s="409"/>
      <c r="H121" s="408"/>
      <c r="I121" s="409"/>
      <c r="J121" s="391"/>
      <c r="K121" s="409"/>
      <c r="L121" s="408"/>
      <c r="M121" s="409"/>
      <c r="N121" s="406"/>
      <c r="O121" s="396"/>
      <c r="P121" s="395"/>
      <c r="Q121" s="6"/>
      <c r="R121" s="584"/>
      <c r="S121" s="378" t="s">
        <v>27</v>
      </c>
      <c r="T121" s="560">
        <f>T58+C121+E121+G121+I121+K121+M121+O121</f>
        <v>0</v>
      </c>
    </row>
    <row r="122" spans="1:20" ht="14.1" customHeight="1" thickBot="1" x14ac:dyDescent="0.35">
      <c r="A122" s="585" t="s">
        <v>30</v>
      </c>
      <c r="B122" s="586"/>
      <c r="C122" s="445"/>
      <c r="D122" s="444"/>
      <c r="E122" s="445"/>
      <c r="F122" s="446"/>
      <c r="G122" s="445"/>
      <c r="H122" s="447"/>
      <c r="I122" s="445"/>
      <c r="J122" s="448"/>
      <c r="K122" s="445"/>
      <c r="L122" s="447"/>
      <c r="M122" s="445"/>
      <c r="N122" s="448"/>
      <c r="O122" s="449"/>
      <c r="P122" s="450"/>
      <c r="Q122" s="6"/>
      <c r="R122" s="585" t="s">
        <v>30</v>
      </c>
      <c r="S122" s="587"/>
      <c r="T122" s="560">
        <f>T59+C122+E122+G122+I122+K122+M122+O122</f>
        <v>0</v>
      </c>
    </row>
    <row r="123" spans="1:20" ht="14.1" customHeight="1" x14ac:dyDescent="0.3">
      <c r="A123" s="588" t="s">
        <v>38</v>
      </c>
      <c r="B123" s="589"/>
      <c r="C123" s="451"/>
      <c r="D123" s="385"/>
      <c r="E123" s="451"/>
      <c r="F123" s="391"/>
      <c r="G123" s="451"/>
      <c r="H123" s="405"/>
      <c r="I123" s="451"/>
      <c r="J123" s="452"/>
      <c r="K123" s="453"/>
      <c r="L123" s="405"/>
      <c r="M123" s="451"/>
      <c r="N123" s="408"/>
      <c r="O123" s="451"/>
      <c r="P123" s="389"/>
      <c r="Q123" s="6"/>
      <c r="R123" s="594" t="s">
        <v>38</v>
      </c>
      <c r="S123" s="597"/>
      <c r="T123" s="598"/>
    </row>
    <row r="124" spans="1:20" ht="14.1" customHeight="1" x14ac:dyDescent="0.3">
      <c r="A124" s="590"/>
      <c r="B124" s="591"/>
      <c r="C124" s="453"/>
      <c r="D124" s="391"/>
      <c r="E124" s="453"/>
      <c r="F124" s="406"/>
      <c r="G124" s="453"/>
      <c r="H124" s="425"/>
      <c r="I124" s="453"/>
      <c r="J124" s="391"/>
      <c r="K124" s="454"/>
      <c r="L124" s="425"/>
      <c r="M124" s="453"/>
      <c r="N124" s="425"/>
      <c r="O124" s="453"/>
      <c r="P124" s="395"/>
      <c r="Q124" s="6"/>
      <c r="R124" s="595"/>
      <c r="S124" s="599"/>
      <c r="T124" s="600"/>
    </row>
    <row r="125" spans="1:20" ht="14.1" customHeight="1" x14ac:dyDescent="0.3">
      <c r="A125" s="590"/>
      <c r="B125" s="591"/>
      <c r="C125" s="453"/>
      <c r="D125" s="391"/>
      <c r="E125" s="453"/>
      <c r="F125" s="406"/>
      <c r="G125" s="453"/>
      <c r="H125" s="425"/>
      <c r="I125" s="453"/>
      <c r="J125" s="406"/>
      <c r="K125" s="453"/>
      <c r="L125" s="391"/>
      <c r="M125" s="453"/>
      <c r="N125" s="408"/>
      <c r="O125" s="453"/>
      <c r="P125" s="395"/>
      <c r="Q125" s="6"/>
      <c r="R125" s="595"/>
      <c r="S125" s="599"/>
      <c r="T125" s="600"/>
    </row>
    <row r="126" spans="1:20" ht="14.1" customHeight="1" thickBot="1" x14ac:dyDescent="0.35">
      <c r="A126" s="592"/>
      <c r="B126" s="593"/>
      <c r="C126" s="455"/>
      <c r="D126" s="397"/>
      <c r="E126" s="455"/>
      <c r="F126" s="456"/>
      <c r="G126" s="455"/>
      <c r="H126" s="420"/>
      <c r="I126" s="455"/>
      <c r="J126" s="400"/>
      <c r="K126" s="455"/>
      <c r="L126" s="400"/>
      <c r="M126" s="455"/>
      <c r="N126" s="397"/>
      <c r="O126" s="455"/>
      <c r="P126" s="401"/>
      <c r="Q126" s="6"/>
      <c r="R126" s="596"/>
      <c r="S126" s="601"/>
      <c r="T126" s="602"/>
    </row>
    <row r="127" spans="1:20" ht="18.95" customHeight="1" x14ac:dyDescent="0.3">
      <c r="A127" s="652" t="str">
        <f>A64</f>
        <v>ㅇㅇㅇ님 보장분석(전)</v>
      </c>
      <c r="B127" s="653"/>
      <c r="C127" s="649"/>
      <c r="D127" s="649"/>
      <c r="E127" s="649"/>
      <c r="F127" s="649"/>
      <c r="G127" s="649"/>
      <c r="H127" s="649"/>
      <c r="I127" s="649"/>
      <c r="J127" s="649"/>
      <c r="K127" s="649"/>
      <c r="L127" s="649"/>
      <c r="M127" s="649"/>
      <c r="N127" s="649"/>
      <c r="O127" s="649"/>
      <c r="P127" s="649"/>
      <c r="Q127" s="138"/>
      <c r="R127" s="650" t="s">
        <v>15</v>
      </c>
      <c r="S127" s="651"/>
      <c r="T127" s="137">
        <f ca="1">T64</f>
        <v>46140</v>
      </c>
    </row>
    <row r="128" spans="1:20" ht="14.1" customHeight="1" x14ac:dyDescent="0.3">
      <c r="A128" s="647" t="s">
        <v>49</v>
      </c>
      <c r="B128" s="648"/>
      <c r="C128" s="645"/>
      <c r="D128" s="645"/>
      <c r="E128" s="645"/>
      <c r="F128" s="645"/>
      <c r="G128" s="645"/>
      <c r="H128" s="645"/>
      <c r="I128" s="645"/>
      <c r="J128" s="645"/>
      <c r="K128" s="645"/>
      <c r="L128" s="645"/>
      <c r="M128" s="645"/>
      <c r="N128" s="645"/>
      <c r="O128" s="645"/>
      <c r="P128" s="645"/>
      <c r="Q128" s="25"/>
      <c r="R128" s="654"/>
      <c r="S128" s="655"/>
      <c r="T128" s="656"/>
    </row>
    <row r="129" spans="1:20" ht="14.1" customHeight="1" x14ac:dyDescent="0.3">
      <c r="A129" s="637" t="s">
        <v>28</v>
      </c>
      <c r="B129" s="638"/>
      <c r="C129" s="645"/>
      <c r="D129" s="645"/>
      <c r="E129" s="645"/>
      <c r="F129" s="645"/>
      <c r="G129" s="645"/>
      <c r="H129" s="645"/>
      <c r="I129" s="645"/>
      <c r="J129" s="645"/>
      <c r="K129" s="645"/>
      <c r="L129" s="645"/>
      <c r="M129" s="645"/>
      <c r="N129" s="645"/>
      <c r="O129" s="646"/>
      <c r="P129" s="646"/>
      <c r="Q129" s="25"/>
      <c r="R129" s="657"/>
      <c r="S129" s="658"/>
      <c r="T129" s="659"/>
    </row>
    <row r="130" spans="1:20" ht="14.1" customHeight="1" x14ac:dyDescent="0.3">
      <c r="A130" s="647" t="s">
        <v>17</v>
      </c>
      <c r="B130" s="648"/>
      <c r="C130" s="646"/>
      <c r="D130" s="645"/>
      <c r="E130" s="646"/>
      <c r="F130" s="646"/>
      <c r="G130" s="646"/>
      <c r="H130" s="646"/>
      <c r="I130" s="646"/>
      <c r="J130" s="645"/>
      <c r="K130" s="646"/>
      <c r="L130" s="645"/>
      <c r="M130" s="646"/>
      <c r="N130" s="645"/>
      <c r="O130" s="646"/>
      <c r="P130" s="646"/>
      <c r="Q130" s="25"/>
      <c r="R130" s="657"/>
      <c r="S130" s="658"/>
      <c r="T130" s="659"/>
    </row>
    <row r="131" spans="1:20" ht="14.1" customHeight="1" x14ac:dyDescent="0.3">
      <c r="A131" s="647" t="s">
        <v>23</v>
      </c>
      <c r="B131" s="648"/>
      <c r="C131" s="383"/>
      <c r="D131" s="382"/>
      <c r="E131" s="383"/>
      <c r="F131" s="382">
        <f ca="1">IF(DATEDIF(E130,$T$1,"m")&lt;E131*12,DATEDIF(E130,$T$1,"m"),E131*12)</f>
        <v>0</v>
      </c>
      <c r="G131" s="383"/>
      <c r="H131" s="382">
        <f ca="1">IF(DATEDIF(G130,$T$1,"m")&lt;G131*12,DATEDIF(G130,$T$1,"m"),G131*12)</f>
        <v>0</v>
      </c>
      <c r="I131" s="383"/>
      <c r="J131" s="382">
        <f ca="1">IF(DATEDIF(I130,$T$1,"m")&lt;I131*12,DATEDIF(I130,$T$1,"m"),I131*12)</f>
        <v>0</v>
      </c>
      <c r="K131" s="383"/>
      <c r="L131" s="382">
        <f ca="1">IF(DATEDIF(K130,$T$1,"m")&lt;K131*12,DATEDIF(K130,$T$1,"m"),K131*12)</f>
        <v>0</v>
      </c>
      <c r="M131" s="383"/>
      <c r="N131" s="384">
        <f ca="1">IF(DATEDIF(M130,$T$1,"m")&lt;M131*12,DATEDIF(M130,$T$1,"m"),M131*12)</f>
        <v>0</v>
      </c>
      <c r="O131" s="383"/>
      <c r="P131" s="382">
        <f ca="1">IF(DATEDIF(O130,$T$1,"m")&lt;O131*12,DATEDIF(O130,$T$1,"m"),O131*12)</f>
        <v>0</v>
      </c>
      <c r="Q131" s="25"/>
      <c r="R131" s="657"/>
      <c r="S131" s="658"/>
      <c r="T131" s="659"/>
    </row>
    <row r="132" spans="1:20" ht="14.1" customHeight="1" x14ac:dyDescent="0.3">
      <c r="A132" s="647" t="s">
        <v>2</v>
      </c>
      <c r="B132" s="648"/>
      <c r="C132" s="645"/>
      <c r="D132" s="645"/>
      <c r="E132" s="645"/>
      <c r="F132" s="645"/>
      <c r="G132" s="645"/>
      <c r="H132" s="645"/>
      <c r="I132" s="645"/>
      <c r="J132" s="645"/>
      <c r="K132" s="645"/>
      <c r="L132" s="645"/>
      <c r="M132" s="645"/>
      <c r="N132" s="645"/>
      <c r="O132" s="645"/>
      <c r="P132" s="645"/>
      <c r="Q132" s="25"/>
      <c r="R132" s="660"/>
      <c r="S132" s="661"/>
      <c r="T132" s="662"/>
    </row>
    <row r="133" spans="1:20" ht="14.1" customHeight="1" x14ac:dyDescent="0.3">
      <c r="A133" s="632" t="s">
        <v>37</v>
      </c>
      <c r="B133" s="633"/>
      <c r="C133" s="642"/>
      <c r="D133" s="642"/>
      <c r="E133" s="642"/>
      <c r="F133" s="642"/>
      <c r="G133" s="642"/>
      <c r="H133" s="642"/>
      <c r="I133" s="642"/>
      <c r="J133" s="642"/>
      <c r="K133" s="642"/>
      <c r="L133" s="642"/>
      <c r="M133" s="642"/>
      <c r="N133" s="642"/>
      <c r="O133" s="642"/>
      <c r="P133" s="642"/>
      <c r="Q133" s="25"/>
      <c r="R133" s="643"/>
      <c r="S133" s="644"/>
      <c r="T133" s="27" t="s">
        <v>91</v>
      </c>
    </row>
    <row r="134" spans="1:20" ht="14.1" customHeight="1" x14ac:dyDescent="0.3">
      <c r="A134" s="639" t="s">
        <v>12</v>
      </c>
      <c r="B134" s="640"/>
      <c r="C134" s="641"/>
      <c r="D134" s="641"/>
      <c r="E134" s="641"/>
      <c r="F134" s="641"/>
      <c r="G134" s="641"/>
      <c r="H134" s="641"/>
      <c r="I134" s="641"/>
      <c r="J134" s="641"/>
      <c r="K134" s="641"/>
      <c r="L134" s="641"/>
      <c r="M134" s="641"/>
      <c r="N134" s="641"/>
      <c r="O134" s="641"/>
      <c r="P134" s="641"/>
      <c r="Q134" s="26"/>
      <c r="R134" s="635" t="s">
        <v>34</v>
      </c>
      <c r="S134" s="636"/>
      <c r="T134" s="60">
        <f>T71+C134+E134+G134+I134+K134+O134</f>
        <v>0</v>
      </c>
    </row>
    <row r="135" spans="1:20" ht="14.1" customHeight="1" x14ac:dyDescent="0.3">
      <c r="A135" s="637" t="s">
        <v>3</v>
      </c>
      <c r="B135" s="638"/>
      <c r="C135" s="634"/>
      <c r="D135" s="634"/>
      <c r="E135" s="634">
        <f>E134*E131*12</f>
        <v>0</v>
      </c>
      <c r="F135" s="634"/>
      <c r="G135" s="634">
        <f>G134*G131*12</f>
        <v>0</v>
      </c>
      <c r="H135" s="634"/>
      <c r="I135" s="634">
        <f>I134*I131*12</f>
        <v>0</v>
      </c>
      <c r="J135" s="634"/>
      <c r="K135" s="634">
        <f>K134*K131*12</f>
        <v>0</v>
      </c>
      <c r="L135" s="634"/>
      <c r="M135" s="634">
        <f>M134*M131*12</f>
        <v>0</v>
      </c>
      <c r="N135" s="634"/>
      <c r="O135" s="634">
        <f>O134*O131*12</f>
        <v>0</v>
      </c>
      <c r="P135" s="634"/>
      <c r="Q135" s="26"/>
      <c r="R135" s="635" t="s">
        <v>33</v>
      </c>
      <c r="S135" s="636"/>
      <c r="T135" s="51">
        <f>T72+C135+E135+G135+I135+K135+O135</f>
        <v>0</v>
      </c>
    </row>
    <row r="136" spans="1:20" ht="14.1" customHeight="1" x14ac:dyDescent="0.3">
      <c r="A136" s="637" t="s">
        <v>4</v>
      </c>
      <c r="B136" s="638"/>
      <c r="C136" s="634"/>
      <c r="D136" s="634"/>
      <c r="E136" s="634">
        <f ca="1">E134*F131</f>
        <v>0</v>
      </c>
      <c r="F136" s="634"/>
      <c r="G136" s="634">
        <f ca="1">G134*H131</f>
        <v>0</v>
      </c>
      <c r="H136" s="634"/>
      <c r="I136" s="634">
        <f ca="1">I134*J131</f>
        <v>0</v>
      </c>
      <c r="J136" s="634"/>
      <c r="K136" s="634">
        <f ca="1">K134*L131</f>
        <v>0</v>
      </c>
      <c r="L136" s="634"/>
      <c r="M136" s="634">
        <f ca="1">M134*N131</f>
        <v>0</v>
      </c>
      <c r="N136" s="634"/>
      <c r="O136" s="634">
        <f ca="1">O134*P131</f>
        <v>0</v>
      </c>
      <c r="P136" s="634"/>
      <c r="Q136" s="26"/>
      <c r="R136" s="635" t="s">
        <v>31</v>
      </c>
      <c r="S136" s="636"/>
      <c r="T136" s="51">
        <f ca="1">T73+C136+E136+G136+I136+K136+O136</f>
        <v>0</v>
      </c>
    </row>
    <row r="137" spans="1:20" ht="14.1" customHeight="1" thickBot="1" x14ac:dyDescent="0.35">
      <c r="A137" s="632" t="s">
        <v>18</v>
      </c>
      <c r="B137" s="633"/>
      <c r="C137" s="634"/>
      <c r="D137" s="634"/>
      <c r="E137" s="634">
        <f ca="1">E135-E136</f>
        <v>0</v>
      </c>
      <c r="F137" s="634"/>
      <c r="G137" s="634">
        <f ca="1">G135-G136</f>
        <v>0</v>
      </c>
      <c r="H137" s="634"/>
      <c r="I137" s="634">
        <f ca="1">I135-I136</f>
        <v>0</v>
      </c>
      <c r="J137" s="634"/>
      <c r="K137" s="634">
        <f ca="1">K135-K136</f>
        <v>0</v>
      </c>
      <c r="L137" s="634"/>
      <c r="M137" s="634">
        <f ca="1">M135-M136</f>
        <v>0</v>
      </c>
      <c r="N137" s="634"/>
      <c r="O137" s="634">
        <f ca="1">O135-O136</f>
        <v>0</v>
      </c>
      <c r="P137" s="634"/>
      <c r="Q137" s="26"/>
      <c r="R137" s="619" t="s">
        <v>35</v>
      </c>
      <c r="S137" s="620"/>
      <c r="T137" s="52">
        <f ca="1">T74+C137+E137+G137+I137+K137+O137</f>
        <v>0</v>
      </c>
    </row>
    <row r="138" spans="1:20" ht="14.1" customHeight="1" x14ac:dyDescent="0.3">
      <c r="A138" s="621" t="s">
        <v>202</v>
      </c>
      <c r="B138" s="457" t="s">
        <v>149</v>
      </c>
      <c r="C138" s="386"/>
      <c r="D138" s="385"/>
      <c r="E138" s="386"/>
      <c r="F138" s="387"/>
      <c r="G138" s="386"/>
      <c r="H138" s="388"/>
      <c r="I138" s="386"/>
      <c r="J138" s="388"/>
      <c r="K138" s="386"/>
      <c r="L138" s="385"/>
      <c r="M138" s="386"/>
      <c r="N138" s="389"/>
      <c r="O138" s="390"/>
      <c r="P138" s="389"/>
      <c r="Q138" s="6"/>
      <c r="R138" s="621" t="s">
        <v>202</v>
      </c>
      <c r="S138" s="352" t="s">
        <v>149</v>
      </c>
      <c r="T138" s="182">
        <f t="shared" ref="T138:T149" si="13">T75+C138+E138+G138+I138+K138+M138+O138</f>
        <v>0</v>
      </c>
    </row>
    <row r="139" spans="1:20" ht="14.1" customHeight="1" x14ac:dyDescent="0.3">
      <c r="A139" s="622"/>
      <c r="B139" s="458" t="s">
        <v>150</v>
      </c>
      <c r="C139" s="392"/>
      <c r="D139" s="391"/>
      <c r="E139" s="392"/>
      <c r="F139" s="393"/>
      <c r="G139" s="392"/>
      <c r="H139" s="394"/>
      <c r="I139" s="392"/>
      <c r="J139" s="394"/>
      <c r="K139" s="392"/>
      <c r="L139" s="391"/>
      <c r="M139" s="392"/>
      <c r="N139" s="395"/>
      <c r="O139" s="396"/>
      <c r="P139" s="395"/>
      <c r="Q139" s="6"/>
      <c r="R139" s="622"/>
      <c r="S139" s="353" t="s">
        <v>150</v>
      </c>
      <c r="T139" s="183">
        <f t="shared" si="13"/>
        <v>0</v>
      </c>
    </row>
    <row r="140" spans="1:20" ht="14.1" customHeight="1" x14ac:dyDescent="0.3">
      <c r="A140" s="622"/>
      <c r="B140" s="458" t="s">
        <v>151</v>
      </c>
      <c r="C140" s="392"/>
      <c r="D140" s="391"/>
      <c r="E140" s="392"/>
      <c r="F140" s="393"/>
      <c r="G140" s="392"/>
      <c r="H140" s="394"/>
      <c r="I140" s="392"/>
      <c r="J140" s="394"/>
      <c r="K140" s="392"/>
      <c r="L140" s="391"/>
      <c r="M140" s="392"/>
      <c r="N140" s="395"/>
      <c r="O140" s="396"/>
      <c r="P140" s="395"/>
      <c r="Q140" s="6"/>
      <c r="R140" s="622"/>
      <c r="S140" s="353" t="s">
        <v>151</v>
      </c>
      <c r="T140" s="183">
        <f t="shared" si="13"/>
        <v>0</v>
      </c>
    </row>
    <row r="141" spans="1:20" ht="14.1" customHeight="1" x14ac:dyDescent="0.3">
      <c r="A141" s="622"/>
      <c r="B141" s="458" t="s">
        <v>148</v>
      </c>
      <c r="C141" s="392"/>
      <c r="D141" s="391"/>
      <c r="E141" s="392"/>
      <c r="F141" s="393"/>
      <c r="G141" s="392"/>
      <c r="H141" s="394"/>
      <c r="I141" s="392"/>
      <c r="J141" s="394"/>
      <c r="K141" s="392"/>
      <c r="L141" s="391"/>
      <c r="M141" s="392"/>
      <c r="N141" s="395"/>
      <c r="O141" s="396"/>
      <c r="P141" s="395"/>
      <c r="Q141" s="6"/>
      <c r="R141" s="622"/>
      <c r="S141" s="353" t="s">
        <v>148</v>
      </c>
      <c r="T141" s="183">
        <f t="shared" si="13"/>
        <v>0</v>
      </c>
    </row>
    <row r="142" spans="1:20" ht="14.1" customHeight="1" thickBot="1" x14ac:dyDescent="0.35">
      <c r="A142" s="623"/>
      <c r="B142" s="459" t="s">
        <v>89</v>
      </c>
      <c r="C142" s="398"/>
      <c r="D142" s="397"/>
      <c r="E142" s="398"/>
      <c r="F142" s="399"/>
      <c r="G142" s="398"/>
      <c r="H142" s="400"/>
      <c r="I142" s="398"/>
      <c r="J142" s="400"/>
      <c r="K142" s="398"/>
      <c r="L142" s="397"/>
      <c r="M142" s="398"/>
      <c r="N142" s="401"/>
      <c r="O142" s="402"/>
      <c r="P142" s="401"/>
      <c r="Q142" s="6"/>
      <c r="R142" s="623"/>
      <c r="S142" s="354" t="s">
        <v>89</v>
      </c>
      <c r="T142" s="184">
        <f t="shared" si="13"/>
        <v>0</v>
      </c>
    </row>
    <row r="143" spans="1:20" ht="14.1" customHeight="1" x14ac:dyDescent="0.3">
      <c r="A143" s="624" t="s">
        <v>50</v>
      </c>
      <c r="B143" s="460" t="s">
        <v>203</v>
      </c>
      <c r="C143" s="386"/>
      <c r="D143" s="403"/>
      <c r="E143" s="386"/>
      <c r="F143" s="388"/>
      <c r="G143" s="386"/>
      <c r="H143" s="388"/>
      <c r="I143" s="386"/>
      <c r="J143" s="388"/>
      <c r="K143" s="386"/>
      <c r="L143" s="405"/>
      <c r="M143" s="386"/>
      <c r="N143" s="385"/>
      <c r="O143" s="386"/>
      <c r="P143" s="389"/>
      <c r="Q143" s="6"/>
      <c r="R143" s="626" t="s">
        <v>50</v>
      </c>
      <c r="S143" s="490" t="s">
        <v>168</v>
      </c>
      <c r="T143" s="182">
        <f t="shared" si="13"/>
        <v>0</v>
      </c>
    </row>
    <row r="144" spans="1:20" ht="14.1" customHeight="1" x14ac:dyDescent="0.3">
      <c r="A144" s="625"/>
      <c r="B144" s="481" t="s">
        <v>205</v>
      </c>
      <c r="C144" s="392"/>
      <c r="D144" s="407"/>
      <c r="E144" s="392"/>
      <c r="F144" s="404"/>
      <c r="G144" s="392"/>
      <c r="H144" s="404"/>
      <c r="I144" s="392"/>
      <c r="J144" s="404"/>
      <c r="K144" s="392"/>
      <c r="L144" s="408"/>
      <c r="M144" s="392"/>
      <c r="N144" s="406"/>
      <c r="O144" s="409"/>
      <c r="P144" s="410"/>
      <c r="Q144" s="6"/>
      <c r="R144" s="627"/>
      <c r="S144" s="491" t="s">
        <v>213</v>
      </c>
      <c r="T144" s="183">
        <f t="shared" si="13"/>
        <v>0</v>
      </c>
    </row>
    <row r="145" spans="1:20" ht="14.1" customHeight="1" thickBot="1" x14ac:dyDescent="0.35">
      <c r="A145" s="625"/>
      <c r="B145" s="553" t="s">
        <v>211</v>
      </c>
      <c r="C145" s="398"/>
      <c r="D145" s="564"/>
      <c r="E145" s="398"/>
      <c r="F145" s="534"/>
      <c r="G145" s="398"/>
      <c r="H145" s="534"/>
      <c r="I145" s="398"/>
      <c r="J145" s="534"/>
      <c r="K145" s="398"/>
      <c r="L145" s="436"/>
      <c r="M145" s="435"/>
      <c r="N145" s="437"/>
      <c r="O145" s="435"/>
      <c r="P145" s="565"/>
      <c r="Q145" s="6"/>
      <c r="R145" s="627"/>
      <c r="S145" s="566" t="s">
        <v>214</v>
      </c>
      <c r="T145" s="184">
        <f t="shared" si="13"/>
        <v>0</v>
      </c>
    </row>
    <row r="146" spans="1:20" ht="14.1" customHeight="1" x14ac:dyDescent="0.3">
      <c r="A146" s="625"/>
      <c r="B146" s="554" t="s">
        <v>163</v>
      </c>
      <c r="C146" s="409"/>
      <c r="D146" s="407"/>
      <c r="E146" s="409"/>
      <c r="F146" s="404"/>
      <c r="G146" s="409"/>
      <c r="H146" s="404"/>
      <c r="I146" s="409"/>
      <c r="J146" s="404"/>
      <c r="K146" s="409"/>
      <c r="L146" s="408"/>
      <c r="M146" s="409"/>
      <c r="N146" s="406"/>
      <c r="O146" s="409"/>
      <c r="P146" s="410"/>
      <c r="Q146" s="6"/>
      <c r="R146" s="627"/>
      <c r="S146" s="343" t="s">
        <v>212</v>
      </c>
      <c r="T146" s="182">
        <f t="shared" si="13"/>
        <v>0</v>
      </c>
    </row>
    <row r="147" spans="1:20" ht="14.1" customHeight="1" x14ac:dyDescent="0.3">
      <c r="A147" s="625"/>
      <c r="B147" s="555" t="s">
        <v>162</v>
      </c>
      <c r="C147" s="392"/>
      <c r="D147" s="407"/>
      <c r="E147" s="392"/>
      <c r="F147" s="404"/>
      <c r="G147" s="392"/>
      <c r="H147" s="404"/>
      <c r="I147" s="392"/>
      <c r="J147" s="404"/>
      <c r="K147" s="392"/>
      <c r="L147" s="408"/>
      <c r="M147" s="409"/>
      <c r="N147" s="406"/>
      <c r="O147" s="409"/>
      <c r="P147" s="410"/>
      <c r="Q147" s="6"/>
      <c r="R147" s="627"/>
      <c r="S147" s="326" t="s">
        <v>162</v>
      </c>
      <c r="T147" s="183">
        <f t="shared" si="13"/>
        <v>0</v>
      </c>
    </row>
    <row r="148" spans="1:20" ht="14.1" customHeight="1" x14ac:dyDescent="0.3">
      <c r="A148" s="625"/>
      <c r="B148" s="556" t="s">
        <v>164</v>
      </c>
      <c r="C148" s="392"/>
      <c r="D148" s="407"/>
      <c r="E148" s="392"/>
      <c r="F148" s="404"/>
      <c r="G148" s="392"/>
      <c r="H148" s="404"/>
      <c r="I148" s="392"/>
      <c r="J148" s="404"/>
      <c r="K148" s="392"/>
      <c r="L148" s="408"/>
      <c r="M148" s="409"/>
      <c r="N148" s="406"/>
      <c r="O148" s="409"/>
      <c r="P148" s="410"/>
      <c r="Q148" s="6"/>
      <c r="R148" s="627"/>
      <c r="S148" s="343" t="s">
        <v>164</v>
      </c>
      <c r="T148" s="183">
        <f t="shared" si="13"/>
        <v>0</v>
      </c>
    </row>
    <row r="149" spans="1:20" ht="14.1" customHeight="1" x14ac:dyDescent="0.3">
      <c r="A149" s="625"/>
      <c r="B149" s="555" t="s">
        <v>165</v>
      </c>
      <c r="C149" s="392"/>
      <c r="D149" s="407"/>
      <c r="E149" s="392"/>
      <c r="F149" s="404"/>
      <c r="G149" s="392"/>
      <c r="H149" s="404"/>
      <c r="I149" s="392"/>
      <c r="J149" s="404"/>
      <c r="K149" s="392"/>
      <c r="L149" s="408"/>
      <c r="M149" s="409"/>
      <c r="N149" s="406"/>
      <c r="O149" s="409"/>
      <c r="P149" s="410"/>
      <c r="Q149" s="6"/>
      <c r="R149" s="627"/>
      <c r="S149" s="326" t="s">
        <v>165</v>
      </c>
      <c r="T149" s="183">
        <f t="shared" si="13"/>
        <v>0</v>
      </c>
    </row>
    <row r="150" spans="1:20" ht="14.1" customHeight="1" x14ac:dyDescent="0.3">
      <c r="A150" s="625"/>
      <c r="B150" s="555" t="s">
        <v>184</v>
      </c>
      <c r="C150" s="392"/>
      <c r="D150" s="407"/>
      <c r="E150" s="392"/>
      <c r="F150" s="404"/>
      <c r="G150" s="392"/>
      <c r="H150" s="404"/>
      <c r="I150" s="392"/>
      <c r="J150" s="404"/>
      <c r="K150" s="392"/>
      <c r="L150" s="408"/>
      <c r="M150" s="409"/>
      <c r="N150" s="406"/>
      <c r="O150" s="409"/>
      <c r="P150" s="410"/>
      <c r="Q150" s="6"/>
      <c r="R150" s="627"/>
      <c r="S150" s="326" t="s">
        <v>184</v>
      </c>
      <c r="T150" s="183">
        <f>T88+C150+E150+G150+I150+K150+O150</f>
        <v>0</v>
      </c>
    </row>
    <row r="151" spans="1:20" ht="14.1" customHeight="1" x14ac:dyDescent="0.3">
      <c r="A151" s="625"/>
      <c r="B151" s="555" t="s">
        <v>185</v>
      </c>
      <c r="C151" s="392"/>
      <c r="D151" s="407"/>
      <c r="E151" s="392"/>
      <c r="F151" s="404"/>
      <c r="G151" s="392"/>
      <c r="H151" s="404"/>
      <c r="I151" s="392"/>
      <c r="J151" s="404"/>
      <c r="K151" s="392"/>
      <c r="L151" s="408"/>
      <c r="M151" s="409"/>
      <c r="N151" s="406"/>
      <c r="O151" s="409"/>
      <c r="P151" s="410"/>
      <c r="Q151" s="6"/>
      <c r="R151" s="627"/>
      <c r="S151" s="326" t="s">
        <v>185</v>
      </c>
      <c r="T151" s="183">
        <f t="shared" ref="T151:T185" si="14">T88+C151+E151+G151+I151+K151+M151+O151</f>
        <v>0</v>
      </c>
    </row>
    <row r="152" spans="1:20" ht="14.1" customHeight="1" x14ac:dyDescent="0.3">
      <c r="A152" s="625"/>
      <c r="B152" s="556" t="s">
        <v>166</v>
      </c>
      <c r="C152" s="392"/>
      <c r="D152" s="407"/>
      <c r="E152" s="411"/>
      <c r="F152" s="406"/>
      <c r="G152" s="411"/>
      <c r="H152" s="404"/>
      <c r="I152" s="411"/>
      <c r="J152" s="404"/>
      <c r="K152" s="411"/>
      <c r="L152" s="408"/>
      <c r="M152" s="412"/>
      <c r="N152" s="406"/>
      <c r="O152" s="409"/>
      <c r="P152" s="410"/>
      <c r="Q152" s="6"/>
      <c r="R152" s="627"/>
      <c r="S152" s="343" t="s">
        <v>166</v>
      </c>
      <c r="T152" s="183">
        <f t="shared" si="14"/>
        <v>0</v>
      </c>
    </row>
    <row r="153" spans="1:20" ht="14.1" customHeight="1" x14ac:dyDescent="0.3">
      <c r="A153" s="625"/>
      <c r="B153" s="555" t="s">
        <v>167</v>
      </c>
      <c r="C153" s="411"/>
      <c r="D153" s="413"/>
      <c r="E153" s="411"/>
      <c r="F153" s="406"/>
      <c r="G153" s="411"/>
      <c r="H153" s="404"/>
      <c r="I153" s="411"/>
      <c r="J153" s="404"/>
      <c r="K153" s="411"/>
      <c r="L153" s="408"/>
      <c r="M153" s="412"/>
      <c r="N153" s="406"/>
      <c r="O153" s="412"/>
      <c r="P153" s="414"/>
      <c r="Q153" s="6"/>
      <c r="R153" s="627"/>
      <c r="S153" s="326" t="s">
        <v>167</v>
      </c>
      <c r="T153" s="183">
        <f t="shared" si="14"/>
        <v>0</v>
      </c>
    </row>
    <row r="154" spans="1:20" ht="14.1" customHeight="1" thickBot="1" x14ac:dyDescent="0.35">
      <c r="A154" s="625"/>
      <c r="B154" s="557" t="s">
        <v>186</v>
      </c>
      <c r="C154" s="398"/>
      <c r="D154" s="397"/>
      <c r="E154" s="398"/>
      <c r="F154" s="415"/>
      <c r="G154" s="398"/>
      <c r="H154" s="404"/>
      <c r="I154" s="398"/>
      <c r="J154" s="404"/>
      <c r="K154" s="398"/>
      <c r="L154" s="408"/>
      <c r="M154" s="398"/>
      <c r="N154" s="406"/>
      <c r="O154" s="402"/>
      <c r="P154" s="401"/>
      <c r="Q154" s="6"/>
      <c r="R154" s="627"/>
      <c r="S154" s="327" t="s">
        <v>186</v>
      </c>
      <c r="T154" s="184">
        <f t="shared" si="14"/>
        <v>0</v>
      </c>
    </row>
    <row r="155" spans="1:20" ht="14.1" customHeight="1" x14ac:dyDescent="0.3">
      <c r="A155" s="628" t="s">
        <v>19</v>
      </c>
      <c r="B155" s="461" t="s">
        <v>193</v>
      </c>
      <c r="C155" s="392"/>
      <c r="D155" s="385"/>
      <c r="E155" s="392"/>
      <c r="F155" s="388"/>
      <c r="G155" s="392"/>
      <c r="H155" s="388"/>
      <c r="I155" s="392"/>
      <c r="J155" s="388"/>
      <c r="K155" s="392"/>
      <c r="L155" s="405"/>
      <c r="M155" s="386"/>
      <c r="N155" s="385"/>
      <c r="O155" s="396"/>
      <c r="P155" s="389"/>
      <c r="Q155" s="6"/>
      <c r="R155" s="630" t="s">
        <v>19</v>
      </c>
      <c r="S155" s="379" t="s">
        <v>51</v>
      </c>
      <c r="T155" s="182">
        <f t="shared" si="14"/>
        <v>0</v>
      </c>
    </row>
    <row r="156" spans="1:20" ht="14.1" customHeight="1" x14ac:dyDescent="0.3">
      <c r="A156" s="629"/>
      <c r="B156" s="462" t="s">
        <v>194</v>
      </c>
      <c r="C156" s="392"/>
      <c r="D156" s="406"/>
      <c r="E156" s="409"/>
      <c r="F156" s="404"/>
      <c r="G156" s="392"/>
      <c r="H156" s="404"/>
      <c r="I156" s="392"/>
      <c r="J156" s="404"/>
      <c r="K156" s="392"/>
      <c r="L156" s="408"/>
      <c r="M156" s="409"/>
      <c r="N156" s="406"/>
      <c r="O156" s="396"/>
      <c r="P156" s="410"/>
      <c r="Q156" s="6"/>
      <c r="R156" s="631"/>
      <c r="S156" s="380" t="s">
        <v>43</v>
      </c>
      <c r="T156" s="183">
        <f t="shared" si="14"/>
        <v>0</v>
      </c>
    </row>
    <row r="157" spans="1:20" ht="14.1" customHeight="1" thickBot="1" x14ac:dyDescent="0.35">
      <c r="A157" s="629"/>
      <c r="B157" s="463" t="s">
        <v>195</v>
      </c>
      <c r="C157" s="412"/>
      <c r="D157" s="416"/>
      <c r="E157" s="412"/>
      <c r="F157" s="417"/>
      <c r="G157" s="412"/>
      <c r="H157" s="417"/>
      <c r="I157" s="412"/>
      <c r="J157" s="417"/>
      <c r="K157" s="412"/>
      <c r="L157" s="418"/>
      <c r="M157" s="412"/>
      <c r="N157" s="416"/>
      <c r="O157" s="419"/>
      <c r="P157" s="414"/>
      <c r="Q157" s="6"/>
      <c r="R157" s="631"/>
      <c r="S157" s="381" t="s">
        <v>53</v>
      </c>
      <c r="T157" s="184">
        <f t="shared" si="14"/>
        <v>0</v>
      </c>
    </row>
    <row r="158" spans="1:20" ht="14.1" customHeight="1" x14ac:dyDescent="0.3">
      <c r="A158" s="629"/>
      <c r="B158" s="461" t="s">
        <v>196</v>
      </c>
      <c r="C158" s="386"/>
      <c r="D158" s="385"/>
      <c r="E158" s="386"/>
      <c r="F158" s="388"/>
      <c r="G158" s="386"/>
      <c r="H158" s="388"/>
      <c r="I158" s="386"/>
      <c r="J158" s="388"/>
      <c r="K158" s="386"/>
      <c r="L158" s="405"/>
      <c r="M158" s="386"/>
      <c r="N158" s="385"/>
      <c r="O158" s="390"/>
      <c r="P158" s="389"/>
      <c r="Q158" s="6"/>
      <c r="R158" s="631"/>
      <c r="S158" s="358" t="s">
        <v>65</v>
      </c>
      <c r="T158" s="182">
        <f t="shared" si="14"/>
        <v>0</v>
      </c>
    </row>
    <row r="159" spans="1:20" ht="14.1" customHeight="1" x14ac:dyDescent="0.3">
      <c r="A159" s="629"/>
      <c r="B159" s="488" t="s">
        <v>197</v>
      </c>
      <c r="C159" s="392"/>
      <c r="D159" s="406"/>
      <c r="E159" s="392"/>
      <c r="F159" s="404"/>
      <c r="G159" s="392"/>
      <c r="H159" s="404"/>
      <c r="I159" s="392"/>
      <c r="J159" s="404"/>
      <c r="K159" s="392"/>
      <c r="L159" s="408"/>
      <c r="M159" s="392"/>
      <c r="N159" s="406"/>
      <c r="O159" s="396"/>
      <c r="P159" s="410"/>
      <c r="Q159" s="6"/>
      <c r="R159" s="631"/>
      <c r="S159" s="359" t="s">
        <v>8</v>
      </c>
      <c r="T159" s="183">
        <f t="shared" si="14"/>
        <v>0</v>
      </c>
    </row>
    <row r="160" spans="1:20" ht="14.1" customHeight="1" thickBot="1" x14ac:dyDescent="0.35">
      <c r="A160" s="629"/>
      <c r="B160" s="489" t="s">
        <v>198</v>
      </c>
      <c r="C160" s="398"/>
      <c r="D160" s="397"/>
      <c r="E160" s="398"/>
      <c r="F160" s="400"/>
      <c r="G160" s="398"/>
      <c r="H160" s="400"/>
      <c r="I160" s="398"/>
      <c r="J160" s="400"/>
      <c r="K160" s="398"/>
      <c r="L160" s="420"/>
      <c r="M160" s="398"/>
      <c r="N160" s="397"/>
      <c r="O160" s="402"/>
      <c r="P160" s="421"/>
      <c r="Q160" s="6"/>
      <c r="R160" s="631"/>
      <c r="S160" s="360" t="s">
        <v>5</v>
      </c>
      <c r="T160" s="184">
        <f t="shared" si="14"/>
        <v>0</v>
      </c>
    </row>
    <row r="161" spans="1:20" ht="14.1" customHeight="1" x14ac:dyDescent="0.3">
      <c r="A161" s="629"/>
      <c r="B161" s="461" t="s">
        <v>210</v>
      </c>
      <c r="C161" s="386"/>
      <c r="D161" s="385"/>
      <c r="E161" s="386"/>
      <c r="F161" s="388"/>
      <c r="G161" s="386"/>
      <c r="H161" s="388"/>
      <c r="I161" s="386"/>
      <c r="J161" s="388"/>
      <c r="K161" s="386"/>
      <c r="L161" s="405"/>
      <c r="M161" s="386"/>
      <c r="N161" s="385"/>
      <c r="O161" s="390"/>
      <c r="P161" s="389"/>
      <c r="Q161" s="6"/>
      <c r="R161" s="631"/>
      <c r="S161" s="361" t="s">
        <v>199</v>
      </c>
      <c r="T161" s="182">
        <f t="shared" si="14"/>
        <v>0</v>
      </c>
    </row>
    <row r="162" spans="1:20" ht="14.1" customHeight="1" x14ac:dyDescent="0.3">
      <c r="A162" s="629"/>
      <c r="B162" s="488" t="s">
        <v>200</v>
      </c>
      <c r="C162" s="392"/>
      <c r="D162" s="406"/>
      <c r="E162" s="392"/>
      <c r="F162" s="404"/>
      <c r="G162" s="392"/>
      <c r="H162" s="404"/>
      <c r="I162" s="392"/>
      <c r="J162" s="404"/>
      <c r="K162" s="392"/>
      <c r="L162" s="408"/>
      <c r="M162" s="392"/>
      <c r="N162" s="406"/>
      <c r="O162" s="396"/>
      <c r="P162" s="410"/>
      <c r="Q162" s="6"/>
      <c r="R162" s="631"/>
      <c r="S162" s="362" t="s">
        <v>200</v>
      </c>
      <c r="T162" s="183">
        <f t="shared" si="14"/>
        <v>0</v>
      </c>
    </row>
    <row r="163" spans="1:20" ht="14.1" customHeight="1" thickBot="1" x14ac:dyDescent="0.35">
      <c r="A163" s="629"/>
      <c r="B163" s="489" t="s">
        <v>209</v>
      </c>
      <c r="C163" s="398"/>
      <c r="D163" s="397"/>
      <c r="E163" s="398"/>
      <c r="F163" s="400"/>
      <c r="G163" s="398"/>
      <c r="H163" s="400"/>
      <c r="I163" s="398"/>
      <c r="J163" s="400"/>
      <c r="K163" s="398"/>
      <c r="L163" s="420"/>
      <c r="M163" s="398"/>
      <c r="N163" s="397"/>
      <c r="O163" s="402"/>
      <c r="P163" s="421"/>
      <c r="Q163" s="6"/>
      <c r="R163" s="631"/>
      <c r="S163" s="363" t="s">
        <v>201</v>
      </c>
      <c r="T163" s="184">
        <f t="shared" si="14"/>
        <v>0</v>
      </c>
    </row>
    <row r="164" spans="1:20" ht="14.1" customHeight="1" x14ac:dyDescent="0.3">
      <c r="A164" s="611" t="s">
        <v>16</v>
      </c>
      <c r="B164" s="464" t="s">
        <v>36</v>
      </c>
      <c r="C164" s="386"/>
      <c r="D164" s="422"/>
      <c r="E164" s="386"/>
      <c r="F164" s="388"/>
      <c r="G164" s="386"/>
      <c r="H164" s="388"/>
      <c r="I164" s="386"/>
      <c r="J164" s="388"/>
      <c r="K164" s="386"/>
      <c r="L164" s="405"/>
      <c r="M164" s="386"/>
      <c r="N164" s="385"/>
      <c r="O164" s="390"/>
      <c r="P164" s="389"/>
      <c r="Q164" s="6"/>
      <c r="R164" s="611" t="s">
        <v>16</v>
      </c>
      <c r="S164" s="364" t="s">
        <v>36</v>
      </c>
      <c r="T164" s="182">
        <f t="shared" si="14"/>
        <v>0</v>
      </c>
    </row>
    <row r="165" spans="1:20" ht="14.1" customHeight="1" x14ac:dyDescent="0.3">
      <c r="A165" s="612"/>
      <c r="B165" s="465" t="s">
        <v>81</v>
      </c>
      <c r="C165" s="392"/>
      <c r="D165" s="423"/>
      <c r="E165" s="392"/>
      <c r="F165" s="424"/>
      <c r="G165" s="392"/>
      <c r="H165" s="394"/>
      <c r="I165" s="392"/>
      <c r="J165" s="394"/>
      <c r="K165" s="392"/>
      <c r="L165" s="425"/>
      <c r="M165" s="392"/>
      <c r="N165" s="391"/>
      <c r="O165" s="396"/>
      <c r="P165" s="395"/>
      <c r="Q165" s="6"/>
      <c r="R165" s="612"/>
      <c r="S165" s="365" t="s">
        <v>81</v>
      </c>
      <c r="T165" s="183">
        <f t="shared" si="14"/>
        <v>0</v>
      </c>
    </row>
    <row r="166" spans="1:20" ht="14.1" customHeight="1" x14ac:dyDescent="0.3">
      <c r="A166" s="612"/>
      <c r="B166" s="465" t="s">
        <v>78</v>
      </c>
      <c r="C166" s="392"/>
      <c r="D166" s="426"/>
      <c r="E166" s="392"/>
      <c r="F166" s="426"/>
      <c r="G166" s="392"/>
      <c r="H166" s="391"/>
      <c r="I166" s="392"/>
      <c r="J166" s="391"/>
      <c r="K166" s="392"/>
      <c r="L166" s="425"/>
      <c r="M166" s="392"/>
      <c r="N166" s="391"/>
      <c r="O166" s="396"/>
      <c r="P166" s="395"/>
      <c r="Q166" s="6"/>
      <c r="R166" s="612"/>
      <c r="S166" s="365" t="s">
        <v>78</v>
      </c>
      <c r="T166" s="183">
        <f t="shared" si="14"/>
        <v>0</v>
      </c>
    </row>
    <row r="167" spans="1:20" ht="14.1" customHeight="1" thickBot="1" x14ac:dyDescent="0.35">
      <c r="A167" s="613"/>
      <c r="B167" s="466" t="s">
        <v>87</v>
      </c>
      <c r="C167" s="398"/>
      <c r="D167" s="427"/>
      <c r="E167" s="398"/>
      <c r="F167" s="427"/>
      <c r="G167" s="392"/>
      <c r="H167" s="397"/>
      <c r="I167" s="392"/>
      <c r="J167" s="397"/>
      <c r="K167" s="392"/>
      <c r="L167" s="420"/>
      <c r="M167" s="398"/>
      <c r="N167" s="397"/>
      <c r="O167" s="402"/>
      <c r="P167" s="401"/>
      <c r="Q167" s="6"/>
      <c r="R167" s="613"/>
      <c r="S167" s="366" t="s">
        <v>87</v>
      </c>
      <c r="T167" s="184">
        <f t="shared" si="14"/>
        <v>0</v>
      </c>
    </row>
    <row r="168" spans="1:20" ht="14.1" customHeight="1" x14ac:dyDescent="0.3">
      <c r="A168" s="614" t="s">
        <v>47</v>
      </c>
      <c r="B168" s="467" t="s">
        <v>48</v>
      </c>
      <c r="C168" s="409"/>
      <c r="D168" s="428"/>
      <c r="E168" s="386"/>
      <c r="F168" s="388"/>
      <c r="G168" s="386"/>
      <c r="H168" s="385"/>
      <c r="I168" s="386"/>
      <c r="J168" s="385"/>
      <c r="K168" s="386"/>
      <c r="L168" s="405"/>
      <c r="M168" s="386"/>
      <c r="N168" s="385"/>
      <c r="O168" s="390"/>
      <c r="P168" s="389"/>
      <c r="Q168" s="6"/>
      <c r="R168" s="614" t="s">
        <v>47</v>
      </c>
      <c r="S168" s="367" t="s">
        <v>48</v>
      </c>
      <c r="T168" s="182">
        <f t="shared" si="14"/>
        <v>0</v>
      </c>
    </row>
    <row r="169" spans="1:20" ht="14.1" customHeight="1" x14ac:dyDescent="0.3">
      <c r="A169" s="615"/>
      <c r="B169" s="468" t="s">
        <v>44</v>
      </c>
      <c r="C169" s="392"/>
      <c r="D169" s="424"/>
      <c r="E169" s="392"/>
      <c r="F169" s="394"/>
      <c r="G169" s="392"/>
      <c r="H169" s="391"/>
      <c r="I169" s="392"/>
      <c r="J169" s="391"/>
      <c r="K169" s="392"/>
      <c r="L169" s="425"/>
      <c r="M169" s="392"/>
      <c r="N169" s="391"/>
      <c r="O169" s="396"/>
      <c r="P169" s="395"/>
      <c r="Q169" s="6"/>
      <c r="R169" s="615"/>
      <c r="S169" s="368" t="s">
        <v>44</v>
      </c>
      <c r="T169" s="183">
        <f t="shared" si="14"/>
        <v>0</v>
      </c>
    </row>
    <row r="170" spans="1:20" ht="14.1" customHeight="1" thickBot="1" x14ac:dyDescent="0.35">
      <c r="A170" s="616"/>
      <c r="B170" s="469" t="s">
        <v>54</v>
      </c>
      <c r="C170" s="398"/>
      <c r="D170" s="429"/>
      <c r="E170" s="398"/>
      <c r="F170" s="400"/>
      <c r="G170" s="398"/>
      <c r="H170" s="397"/>
      <c r="I170" s="398"/>
      <c r="J170" s="397"/>
      <c r="K170" s="398"/>
      <c r="L170" s="420"/>
      <c r="M170" s="398"/>
      <c r="N170" s="397"/>
      <c r="O170" s="430"/>
      <c r="P170" s="410"/>
      <c r="Q170" s="6"/>
      <c r="R170" s="616"/>
      <c r="S170" s="369" t="s">
        <v>54</v>
      </c>
      <c r="T170" s="184">
        <f t="shared" si="14"/>
        <v>0</v>
      </c>
    </row>
    <row r="171" spans="1:20" ht="14.1" customHeight="1" x14ac:dyDescent="0.3">
      <c r="A171" s="617" t="s">
        <v>39</v>
      </c>
      <c r="B171" s="470" t="s">
        <v>44</v>
      </c>
      <c r="C171" s="386"/>
      <c r="D171" s="403"/>
      <c r="E171" s="386"/>
      <c r="F171" s="404"/>
      <c r="G171" s="386"/>
      <c r="H171" s="406"/>
      <c r="I171" s="386"/>
      <c r="J171" s="406"/>
      <c r="K171" s="386"/>
      <c r="L171" s="405"/>
      <c r="M171" s="409"/>
      <c r="N171" s="406"/>
      <c r="O171" s="390"/>
      <c r="P171" s="389"/>
      <c r="Q171" s="6"/>
      <c r="R171" s="617" t="s">
        <v>39</v>
      </c>
      <c r="S171" s="480" t="s">
        <v>44</v>
      </c>
      <c r="T171" s="182">
        <f t="shared" si="14"/>
        <v>0</v>
      </c>
    </row>
    <row r="172" spans="1:20" ht="14.1" customHeight="1" x14ac:dyDescent="0.3">
      <c r="A172" s="618"/>
      <c r="B172" s="470" t="s">
        <v>54</v>
      </c>
      <c r="C172" s="392"/>
      <c r="D172" s="426"/>
      <c r="E172" s="392"/>
      <c r="F172" s="394"/>
      <c r="G172" s="392"/>
      <c r="H172" s="391"/>
      <c r="I172" s="392"/>
      <c r="J172" s="391"/>
      <c r="K172" s="392"/>
      <c r="L172" s="425"/>
      <c r="M172" s="392"/>
      <c r="N172" s="406"/>
      <c r="O172" s="396"/>
      <c r="P172" s="395"/>
      <c r="Q172" s="6"/>
      <c r="R172" s="618"/>
      <c r="S172" s="480" t="s">
        <v>54</v>
      </c>
      <c r="T172" s="183">
        <f t="shared" si="14"/>
        <v>0</v>
      </c>
    </row>
    <row r="173" spans="1:20" ht="14.1" customHeight="1" x14ac:dyDescent="0.3">
      <c r="A173" s="618"/>
      <c r="B173" s="470" t="s">
        <v>204</v>
      </c>
      <c r="C173" s="392"/>
      <c r="D173" s="426"/>
      <c r="E173" s="392"/>
      <c r="F173" s="404"/>
      <c r="G173" s="392"/>
      <c r="H173" s="406"/>
      <c r="I173" s="392"/>
      <c r="J173" s="406"/>
      <c r="K173" s="392"/>
      <c r="L173" s="408"/>
      <c r="M173" s="392"/>
      <c r="N173" s="406"/>
      <c r="O173" s="396"/>
      <c r="P173" s="395"/>
      <c r="Q173" s="6"/>
      <c r="R173" s="618"/>
      <c r="S173" s="480" t="s">
        <v>204</v>
      </c>
      <c r="T173" s="183">
        <f t="shared" si="14"/>
        <v>0</v>
      </c>
    </row>
    <row r="174" spans="1:20" ht="14.1" customHeight="1" thickBot="1" x14ac:dyDescent="0.35">
      <c r="A174" s="618"/>
      <c r="B174" s="471" t="s">
        <v>113</v>
      </c>
      <c r="C174" s="411"/>
      <c r="D174" s="427"/>
      <c r="E174" s="411"/>
      <c r="F174" s="417"/>
      <c r="G174" s="411"/>
      <c r="H174" s="416"/>
      <c r="I174" s="411"/>
      <c r="J174" s="416"/>
      <c r="K174" s="411"/>
      <c r="L174" s="431"/>
      <c r="M174" s="411"/>
      <c r="N174" s="432"/>
      <c r="O174" s="433"/>
      <c r="P174" s="421"/>
      <c r="Q174" s="6"/>
      <c r="R174" s="618"/>
      <c r="S174" s="513" t="s">
        <v>113</v>
      </c>
      <c r="T174" s="184">
        <f t="shared" si="14"/>
        <v>0</v>
      </c>
    </row>
    <row r="175" spans="1:20" ht="14.1" customHeight="1" x14ac:dyDescent="0.3">
      <c r="A175" s="603" t="s">
        <v>215</v>
      </c>
      <c r="B175" s="472" t="s">
        <v>45</v>
      </c>
      <c r="C175" s="386"/>
      <c r="D175" s="403"/>
      <c r="E175" s="386"/>
      <c r="F175" s="388"/>
      <c r="G175" s="386"/>
      <c r="H175" s="385"/>
      <c r="I175" s="386"/>
      <c r="J175" s="385"/>
      <c r="K175" s="386"/>
      <c r="L175" s="405"/>
      <c r="M175" s="386"/>
      <c r="N175" s="385"/>
      <c r="O175" s="390"/>
      <c r="P175" s="389"/>
      <c r="Q175" s="6"/>
      <c r="R175" s="603" t="s">
        <v>215</v>
      </c>
      <c r="S175" s="483" t="s">
        <v>45</v>
      </c>
      <c r="T175" s="182">
        <f t="shared" si="14"/>
        <v>0</v>
      </c>
    </row>
    <row r="176" spans="1:20" ht="14.1" customHeight="1" thickBot="1" x14ac:dyDescent="0.35">
      <c r="A176" s="604"/>
      <c r="B176" s="482" t="s">
        <v>42</v>
      </c>
      <c r="C176" s="435"/>
      <c r="D176" s="434"/>
      <c r="E176" s="435"/>
      <c r="F176" s="400"/>
      <c r="G176" s="435"/>
      <c r="H176" s="397"/>
      <c r="I176" s="435"/>
      <c r="J176" s="397"/>
      <c r="K176" s="435"/>
      <c r="L176" s="436"/>
      <c r="M176" s="435"/>
      <c r="N176" s="437"/>
      <c r="O176" s="438"/>
      <c r="P176" s="401"/>
      <c r="Q176" s="6"/>
      <c r="R176" s="604"/>
      <c r="S176" s="503" t="s">
        <v>42</v>
      </c>
      <c r="T176" s="184">
        <f t="shared" si="14"/>
        <v>0</v>
      </c>
    </row>
    <row r="177" spans="1:20" ht="14.1" customHeight="1" x14ac:dyDescent="0.3">
      <c r="A177" s="605" t="s">
        <v>206</v>
      </c>
      <c r="B177" s="484" t="s">
        <v>207</v>
      </c>
      <c r="C177" s="412"/>
      <c r="D177" s="439"/>
      <c r="E177" s="412"/>
      <c r="F177" s="417"/>
      <c r="G177" s="412"/>
      <c r="H177" s="416"/>
      <c r="I177" s="412"/>
      <c r="J177" s="416"/>
      <c r="K177" s="412"/>
      <c r="L177" s="418"/>
      <c r="M177" s="412"/>
      <c r="N177" s="416"/>
      <c r="O177" s="419"/>
      <c r="P177" s="414"/>
      <c r="Q177" s="6"/>
      <c r="R177" s="605" t="s">
        <v>206</v>
      </c>
      <c r="S177" s="486" t="s">
        <v>207</v>
      </c>
      <c r="T177" s="182">
        <f t="shared" si="14"/>
        <v>0</v>
      </c>
    </row>
    <row r="178" spans="1:20" ht="14.1" customHeight="1" thickBot="1" x14ac:dyDescent="0.35">
      <c r="A178" s="606"/>
      <c r="B178" s="485" t="s">
        <v>208</v>
      </c>
      <c r="C178" s="412"/>
      <c r="D178" s="439"/>
      <c r="E178" s="412"/>
      <c r="F178" s="417"/>
      <c r="G178" s="412"/>
      <c r="H178" s="416"/>
      <c r="I178" s="412"/>
      <c r="J178" s="416"/>
      <c r="K178" s="412"/>
      <c r="L178" s="418"/>
      <c r="M178" s="412"/>
      <c r="N178" s="416"/>
      <c r="O178" s="419"/>
      <c r="P178" s="414"/>
      <c r="Q178" s="6"/>
      <c r="R178" s="607"/>
      <c r="S178" s="559" t="s">
        <v>208</v>
      </c>
      <c r="T178" s="184">
        <f t="shared" si="14"/>
        <v>0</v>
      </c>
    </row>
    <row r="179" spans="1:20" ht="14.1" customHeight="1" x14ac:dyDescent="0.3">
      <c r="A179" s="608" t="s">
        <v>125</v>
      </c>
      <c r="B179" s="473" t="s">
        <v>126</v>
      </c>
      <c r="C179" s="386"/>
      <c r="D179" s="422"/>
      <c r="E179" s="386"/>
      <c r="F179" s="388"/>
      <c r="G179" s="386"/>
      <c r="H179" s="405"/>
      <c r="I179" s="386"/>
      <c r="J179" s="385"/>
      <c r="K179" s="386"/>
      <c r="L179" s="405"/>
      <c r="M179" s="386"/>
      <c r="N179" s="385"/>
      <c r="O179" s="390"/>
      <c r="P179" s="389"/>
      <c r="Q179" s="6"/>
      <c r="R179" s="610" t="s">
        <v>125</v>
      </c>
      <c r="S179" s="562" t="s">
        <v>126</v>
      </c>
      <c r="T179" s="182">
        <f t="shared" si="14"/>
        <v>0</v>
      </c>
    </row>
    <row r="180" spans="1:20" ht="14.1" customHeight="1" x14ac:dyDescent="0.3">
      <c r="A180" s="608"/>
      <c r="B180" s="474" t="s">
        <v>127</v>
      </c>
      <c r="C180" s="412"/>
      <c r="D180" s="439"/>
      <c r="E180" s="412"/>
      <c r="F180" s="404"/>
      <c r="G180" s="412"/>
      <c r="H180" s="408"/>
      <c r="I180" s="412"/>
      <c r="J180" s="406"/>
      <c r="K180" s="412"/>
      <c r="L180" s="418"/>
      <c r="M180" s="412"/>
      <c r="N180" s="416"/>
      <c r="O180" s="419"/>
      <c r="P180" s="414"/>
      <c r="Q180" s="6"/>
      <c r="R180" s="608"/>
      <c r="S180" s="504" t="s">
        <v>127</v>
      </c>
      <c r="T180" s="183">
        <f t="shared" si="14"/>
        <v>0</v>
      </c>
    </row>
    <row r="181" spans="1:20" ht="14.1" customHeight="1" thickBot="1" x14ac:dyDescent="0.35">
      <c r="A181" s="609"/>
      <c r="B181" s="475" t="s">
        <v>128</v>
      </c>
      <c r="C181" s="398"/>
      <c r="D181" s="440"/>
      <c r="E181" s="398"/>
      <c r="F181" s="404"/>
      <c r="G181" s="398"/>
      <c r="H181" s="408"/>
      <c r="I181" s="398"/>
      <c r="J181" s="406"/>
      <c r="K181" s="398"/>
      <c r="L181" s="420"/>
      <c r="M181" s="398"/>
      <c r="N181" s="397"/>
      <c r="O181" s="402"/>
      <c r="P181" s="401"/>
      <c r="Q181" s="6"/>
      <c r="R181" s="609"/>
      <c r="S181" s="505" t="s">
        <v>128</v>
      </c>
      <c r="T181" s="184">
        <f t="shared" si="14"/>
        <v>0</v>
      </c>
    </row>
    <row r="182" spans="1:20" ht="14.1" customHeight="1" x14ac:dyDescent="0.3">
      <c r="A182" s="582" t="s">
        <v>52</v>
      </c>
      <c r="B182" s="476" t="s">
        <v>41</v>
      </c>
      <c r="C182" s="386"/>
      <c r="D182" s="441"/>
      <c r="E182" s="390"/>
      <c r="F182" s="388"/>
      <c r="G182" s="386"/>
      <c r="H182" s="405"/>
      <c r="I182" s="386"/>
      <c r="J182" s="385"/>
      <c r="K182" s="386"/>
      <c r="L182" s="405"/>
      <c r="M182" s="386"/>
      <c r="N182" s="385"/>
      <c r="O182" s="396"/>
      <c r="P182" s="389"/>
      <c r="Q182" s="6"/>
      <c r="R182" s="582" t="s">
        <v>52</v>
      </c>
      <c r="S182" s="377" t="s">
        <v>41</v>
      </c>
      <c r="T182" s="182">
        <f t="shared" si="14"/>
        <v>0</v>
      </c>
    </row>
    <row r="183" spans="1:20" ht="14.1" customHeight="1" x14ac:dyDescent="0.3">
      <c r="A183" s="583"/>
      <c r="B183" s="476" t="s">
        <v>11</v>
      </c>
      <c r="C183" s="392"/>
      <c r="D183" s="442"/>
      <c r="E183" s="396"/>
      <c r="F183" s="394"/>
      <c r="G183" s="392"/>
      <c r="H183" s="425"/>
      <c r="I183" s="392"/>
      <c r="J183" s="443"/>
      <c r="K183" s="392"/>
      <c r="L183" s="425"/>
      <c r="M183" s="392"/>
      <c r="N183" s="391"/>
      <c r="O183" s="396"/>
      <c r="P183" s="395"/>
      <c r="Q183" s="6"/>
      <c r="R183" s="583"/>
      <c r="S183" s="377" t="s">
        <v>11</v>
      </c>
      <c r="T183" s="183">
        <f t="shared" si="14"/>
        <v>0</v>
      </c>
    </row>
    <row r="184" spans="1:20" ht="14.1" customHeight="1" thickBot="1" x14ac:dyDescent="0.35">
      <c r="A184" s="584"/>
      <c r="B184" s="477" t="s">
        <v>27</v>
      </c>
      <c r="C184" s="409"/>
      <c r="D184" s="423"/>
      <c r="E184" s="430"/>
      <c r="F184" s="404"/>
      <c r="G184" s="409"/>
      <c r="H184" s="408"/>
      <c r="I184" s="409"/>
      <c r="J184" s="391"/>
      <c r="K184" s="409"/>
      <c r="L184" s="408"/>
      <c r="M184" s="409"/>
      <c r="N184" s="406"/>
      <c r="O184" s="396"/>
      <c r="P184" s="395"/>
      <c r="Q184" s="6"/>
      <c r="R184" s="584"/>
      <c r="S184" s="378" t="s">
        <v>27</v>
      </c>
      <c r="T184" s="184">
        <f t="shared" si="14"/>
        <v>0</v>
      </c>
    </row>
    <row r="185" spans="1:20" ht="14.1" customHeight="1" thickBot="1" x14ac:dyDescent="0.35">
      <c r="A185" s="585" t="s">
        <v>30</v>
      </c>
      <c r="B185" s="586"/>
      <c r="C185" s="445"/>
      <c r="D185" s="444"/>
      <c r="E185" s="445"/>
      <c r="F185" s="446"/>
      <c r="G185" s="445"/>
      <c r="H185" s="447"/>
      <c r="I185" s="445"/>
      <c r="J185" s="448"/>
      <c r="K185" s="445"/>
      <c r="L185" s="447"/>
      <c r="M185" s="445"/>
      <c r="N185" s="448"/>
      <c r="O185" s="449"/>
      <c r="P185" s="450"/>
      <c r="Q185" s="6"/>
      <c r="R185" s="585" t="s">
        <v>30</v>
      </c>
      <c r="S185" s="587"/>
      <c r="T185" s="184">
        <f t="shared" si="14"/>
        <v>0</v>
      </c>
    </row>
    <row r="186" spans="1:20" ht="14.1" customHeight="1" x14ac:dyDescent="0.3">
      <c r="A186" s="588" t="s">
        <v>38</v>
      </c>
      <c r="B186" s="589"/>
      <c r="C186" s="451"/>
      <c r="D186" s="385"/>
      <c r="E186" s="451"/>
      <c r="F186" s="391"/>
      <c r="G186" s="451"/>
      <c r="H186" s="405"/>
      <c r="I186" s="451"/>
      <c r="J186" s="452"/>
      <c r="K186" s="453"/>
      <c r="L186" s="405"/>
      <c r="M186" s="451"/>
      <c r="N186" s="408"/>
      <c r="O186" s="451"/>
      <c r="P186" s="389"/>
      <c r="Q186" s="6"/>
      <c r="R186" s="594" t="s">
        <v>38</v>
      </c>
      <c r="S186" s="597"/>
      <c r="T186" s="598"/>
    </row>
    <row r="187" spans="1:20" ht="14.1" customHeight="1" x14ac:dyDescent="0.3">
      <c r="A187" s="590"/>
      <c r="B187" s="591"/>
      <c r="C187" s="453"/>
      <c r="D187" s="391"/>
      <c r="E187" s="453"/>
      <c r="F187" s="406"/>
      <c r="G187" s="453"/>
      <c r="H187" s="425"/>
      <c r="I187" s="453"/>
      <c r="J187" s="391"/>
      <c r="K187" s="454"/>
      <c r="L187" s="425"/>
      <c r="M187" s="453"/>
      <c r="N187" s="425"/>
      <c r="O187" s="453"/>
      <c r="P187" s="395"/>
      <c r="Q187" s="6"/>
      <c r="R187" s="595"/>
      <c r="S187" s="599"/>
      <c r="T187" s="600"/>
    </row>
    <row r="188" spans="1:20" ht="14.1" customHeight="1" x14ac:dyDescent="0.3">
      <c r="A188" s="590"/>
      <c r="B188" s="591"/>
      <c r="C188" s="453"/>
      <c r="D188" s="391"/>
      <c r="E188" s="453"/>
      <c r="F188" s="406"/>
      <c r="G188" s="453"/>
      <c r="H188" s="425"/>
      <c r="I188" s="453"/>
      <c r="J188" s="406"/>
      <c r="K188" s="453"/>
      <c r="L188" s="391"/>
      <c r="M188" s="453"/>
      <c r="N188" s="408"/>
      <c r="O188" s="453"/>
      <c r="P188" s="395"/>
      <c r="Q188" s="6"/>
      <c r="R188" s="595"/>
      <c r="S188" s="599"/>
      <c r="T188" s="600"/>
    </row>
    <row r="189" spans="1:20" ht="14.1" customHeight="1" thickBot="1" x14ac:dyDescent="0.35">
      <c r="A189" s="592"/>
      <c r="B189" s="593"/>
      <c r="C189" s="455"/>
      <c r="D189" s="397"/>
      <c r="E189" s="455"/>
      <c r="F189" s="456"/>
      <c r="G189" s="455"/>
      <c r="H189" s="420"/>
      <c r="I189" s="455"/>
      <c r="J189" s="400"/>
      <c r="K189" s="455"/>
      <c r="L189" s="400"/>
      <c r="M189" s="455"/>
      <c r="N189" s="397"/>
      <c r="O189" s="455"/>
      <c r="P189" s="401"/>
      <c r="Q189" s="6"/>
      <c r="R189" s="596"/>
      <c r="S189" s="601"/>
      <c r="T189" s="602"/>
    </row>
    <row r="190" spans="1:20" ht="21" customHeight="1" x14ac:dyDescent="0.3">
      <c r="A190" s="652" t="str">
        <f>A127</f>
        <v>ㅇㅇㅇ님 보장분석(전)</v>
      </c>
      <c r="B190" s="653"/>
      <c r="C190" s="649"/>
      <c r="D190" s="649"/>
      <c r="E190" s="649"/>
      <c r="F190" s="649"/>
      <c r="G190" s="649"/>
      <c r="H190" s="649"/>
      <c r="I190" s="649"/>
      <c r="J190" s="649"/>
      <c r="K190" s="649"/>
      <c r="L190" s="649"/>
      <c r="M190" s="649"/>
      <c r="N190" s="649"/>
      <c r="O190" s="649"/>
      <c r="P190" s="649"/>
      <c r="Q190" s="138"/>
      <c r="R190" s="650" t="s">
        <v>15</v>
      </c>
      <c r="S190" s="651"/>
      <c r="T190" s="137">
        <f ca="1">T127</f>
        <v>46140</v>
      </c>
    </row>
    <row r="191" spans="1:20" ht="14.1" customHeight="1" x14ac:dyDescent="0.3">
      <c r="A191" s="647" t="s">
        <v>49</v>
      </c>
      <c r="B191" s="648"/>
      <c r="C191" s="645"/>
      <c r="D191" s="645"/>
      <c r="E191" s="645"/>
      <c r="F191" s="645"/>
      <c r="G191" s="645"/>
      <c r="H191" s="645"/>
      <c r="I191" s="645"/>
      <c r="J191" s="645"/>
      <c r="K191" s="645"/>
      <c r="L191" s="645"/>
      <c r="M191" s="645"/>
      <c r="N191" s="645"/>
      <c r="O191" s="645"/>
      <c r="P191" s="645"/>
      <c r="Q191" s="25"/>
      <c r="R191" s="654"/>
      <c r="S191" s="655"/>
      <c r="T191" s="656"/>
    </row>
    <row r="192" spans="1:20" ht="14.1" customHeight="1" x14ac:dyDescent="0.3">
      <c r="A192" s="637" t="s">
        <v>28</v>
      </c>
      <c r="B192" s="638"/>
      <c r="C192" s="645"/>
      <c r="D192" s="645"/>
      <c r="E192" s="645"/>
      <c r="F192" s="645"/>
      <c r="G192" s="645"/>
      <c r="H192" s="645"/>
      <c r="I192" s="645"/>
      <c r="J192" s="645"/>
      <c r="K192" s="645"/>
      <c r="L192" s="645"/>
      <c r="M192" s="645"/>
      <c r="N192" s="645"/>
      <c r="O192" s="646"/>
      <c r="P192" s="646"/>
      <c r="Q192" s="25"/>
      <c r="R192" s="657"/>
      <c r="S192" s="658"/>
      <c r="T192" s="659"/>
    </row>
    <row r="193" spans="1:20" ht="14.1" customHeight="1" x14ac:dyDescent="0.3">
      <c r="A193" s="647" t="s">
        <v>17</v>
      </c>
      <c r="B193" s="648"/>
      <c r="C193" s="646"/>
      <c r="D193" s="645"/>
      <c r="E193" s="646"/>
      <c r="F193" s="646"/>
      <c r="G193" s="646"/>
      <c r="H193" s="646"/>
      <c r="I193" s="646"/>
      <c r="J193" s="645"/>
      <c r="K193" s="646"/>
      <c r="L193" s="645"/>
      <c r="M193" s="646"/>
      <c r="N193" s="645"/>
      <c r="O193" s="646"/>
      <c r="P193" s="646"/>
      <c r="Q193" s="25"/>
      <c r="R193" s="657"/>
      <c r="S193" s="658"/>
      <c r="T193" s="659"/>
    </row>
    <row r="194" spans="1:20" ht="14.1" customHeight="1" x14ac:dyDescent="0.3">
      <c r="A194" s="647" t="s">
        <v>23</v>
      </c>
      <c r="B194" s="648"/>
      <c r="C194" s="383"/>
      <c r="D194" s="382"/>
      <c r="E194" s="383"/>
      <c r="F194" s="382">
        <f ca="1">IF(DATEDIF(E193,$T$1,"m")&lt;E194*12,DATEDIF(E193,$T$1,"m"),E194*12)</f>
        <v>0</v>
      </c>
      <c r="G194" s="383"/>
      <c r="H194" s="382">
        <f ca="1">IF(DATEDIF(G193,$T$1,"m")&lt;G194*12,DATEDIF(G193,$T$1,"m"),G194*12)</f>
        <v>0</v>
      </c>
      <c r="I194" s="383"/>
      <c r="J194" s="382">
        <f ca="1">IF(DATEDIF(I193,$T$1,"m")&lt;I194*12,DATEDIF(I193,$T$1,"m"),I194*12)</f>
        <v>0</v>
      </c>
      <c r="K194" s="383"/>
      <c r="L194" s="382">
        <f ca="1">IF(DATEDIF(K193,$T$1,"m")&lt;K194*12,DATEDIF(K193,$T$1,"m"),K194*12)</f>
        <v>0</v>
      </c>
      <c r="M194" s="383"/>
      <c r="N194" s="384">
        <f ca="1">IF(DATEDIF(M193,$T$1,"m")&lt;M194*12,DATEDIF(M193,$T$1,"m"),M194*12)</f>
        <v>0</v>
      </c>
      <c r="O194" s="383"/>
      <c r="P194" s="382">
        <f ca="1">IF(DATEDIF(O193,$T$1,"m")&lt;O194*12,DATEDIF(O193,$T$1,"m"),O194*12)</f>
        <v>0</v>
      </c>
      <c r="Q194" s="25"/>
      <c r="R194" s="657"/>
      <c r="S194" s="658"/>
      <c r="T194" s="659"/>
    </row>
    <row r="195" spans="1:20" ht="14.1" customHeight="1" x14ac:dyDescent="0.3">
      <c r="A195" s="647" t="s">
        <v>2</v>
      </c>
      <c r="B195" s="648"/>
      <c r="C195" s="645"/>
      <c r="D195" s="645"/>
      <c r="E195" s="645"/>
      <c r="F195" s="645"/>
      <c r="G195" s="645"/>
      <c r="H195" s="645"/>
      <c r="I195" s="645"/>
      <c r="J195" s="645"/>
      <c r="K195" s="645"/>
      <c r="L195" s="645"/>
      <c r="M195" s="645"/>
      <c r="N195" s="645"/>
      <c r="O195" s="645"/>
      <c r="P195" s="645"/>
      <c r="Q195" s="25"/>
      <c r="R195" s="660"/>
      <c r="S195" s="661"/>
      <c r="T195" s="662"/>
    </row>
    <row r="196" spans="1:20" ht="14.1" customHeight="1" x14ac:dyDescent="0.3">
      <c r="A196" s="632" t="s">
        <v>37</v>
      </c>
      <c r="B196" s="633"/>
      <c r="C196" s="642"/>
      <c r="D196" s="642"/>
      <c r="E196" s="642"/>
      <c r="F196" s="642"/>
      <c r="G196" s="642"/>
      <c r="H196" s="642"/>
      <c r="I196" s="642"/>
      <c r="J196" s="642"/>
      <c r="K196" s="642"/>
      <c r="L196" s="642"/>
      <c r="M196" s="642"/>
      <c r="N196" s="642"/>
      <c r="O196" s="642"/>
      <c r="P196" s="642"/>
      <c r="Q196" s="25"/>
      <c r="R196" s="643"/>
      <c r="S196" s="644"/>
      <c r="T196" s="27" t="s">
        <v>91</v>
      </c>
    </row>
    <row r="197" spans="1:20" ht="14.1" customHeight="1" x14ac:dyDescent="0.3">
      <c r="A197" s="639" t="s">
        <v>12</v>
      </c>
      <c r="B197" s="640"/>
      <c r="C197" s="641"/>
      <c r="D197" s="641"/>
      <c r="E197" s="641"/>
      <c r="F197" s="641"/>
      <c r="G197" s="641"/>
      <c r="H197" s="641"/>
      <c r="I197" s="641"/>
      <c r="J197" s="641"/>
      <c r="K197" s="641"/>
      <c r="L197" s="641"/>
      <c r="M197" s="641"/>
      <c r="N197" s="641"/>
      <c r="O197" s="641"/>
      <c r="P197" s="641"/>
      <c r="Q197" s="26"/>
      <c r="R197" s="635" t="s">
        <v>34</v>
      </c>
      <c r="S197" s="636"/>
      <c r="T197" s="60">
        <f>T134+C197+E197+G197+I197+K197+O197</f>
        <v>0</v>
      </c>
    </row>
    <row r="198" spans="1:20" ht="14.1" customHeight="1" x14ac:dyDescent="0.3">
      <c r="A198" s="637" t="s">
        <v>3</v>
      </c>
      <c r="B198" s="638"/>
      <c r="C198" s="634"/>
      <c r="D198" s="634"/>
      <c r="E198" s="634">
        <f>E197*E194*12</f>
        <v>0</v>
      </c>
      <c r="F198" s="634"/>
      <c r="G198" s="634">
        <f>G197*G194*12</f>
        <v>0</v>
      </c>
      <c r="H198" s="634"/>
      <c r="I198" s="634">
        <f>I197*I194*12</f>
        <v>0</v>
      </c>
      <c r="J198" s="634"/>
      <c r="K198" s="634">
        <f>K197*K194*12</f>
        <v>0</v>
      </c>
      <c r="L198" s="634"/>
      <c r="M198" s="634">
        <f>M197*M194*12</f>
        <v>0</v>
      </c>
      <c r="N198" s="634"/>
      <c r="O198" s="634">
        <f>O197*O194*12</f>
        <v>0</v>
      </c>
      <c r="P198" s="634"/>
      <c r="Q198" s="26"/>
      <c r="R198" s="635" t="s">
        <v>33</v>
      </c>
      <c r="S198" s="636"/>
      <c r="T198" s="51">
        <f>T135+C198+E198+G198+I198+K198+O198</f>
        <v>0</v>
      </c>
    </row>
    <row r="199" spans="1:20" ht="14.1" customHeight="1" x14ac:dyDescent="0.3">
      <c r="A199" s="637" t="s">
        <v>4</v>
      </c>
      <c r="B199" s="638"/>
      <c r="C199" s="634"/>
      <c r="D199" s="634"/>
      <c r="E199" s="634">
        <f ca="1">E197*F194</f>
        <v>0</v>
      </c>
      <c r="F199" s="634"/>
      <c r="G199" s="634">
        <f ca="1">G197*H194</f>
        <v>0</v>
      </c>
      <c r="H199" s="634"/>
      <c r="I199" s="634">
        <f ca="1">I197*J194</f>
        <v>0</v>
      </c>
      <c r="J199" s="634"/>
      <c r="K199" s="634">
        <f ca="1">K197*L194</f>
        <v>0</v>
      </c>
      <c r="L199" s="634"/>
      <c r="M199" s="634">
        <f ca="1">M197*N194</f>
        <v>0</v>
      </c>
      <c r="N199" s="634"/>
      <c r="O199" s="634">
        <f ca="1">O197*P194</f>
        <v>0</v>
      </c>
      <c r="P199" s="634"/>
      <c r="Q199" s="26"/>
      <c r="R199" s="635" t="s">
        <v>31</v>
      </c>
      <c r="S199" s="636"/>
      <c r="T199" s="51">
        <f ca="1">T136+C199+E199+G199+I199+K199+O199</f>
        <v>0</v>
      </c>
    </row>
    <row r="200" spans="1:20" ht="14.1" customHeight="1" thickBot="1" x14ac:dyDescent="0.35">
      <c r="A200" s="632" t="s">
        <v>18</v>
      </c>
      <c r="B200" s="633"/>
      <c r="C200" s="634"/>
      <c r="D200" s="634"/>
      <c r="E200" s="634">
        <f ca="1">E198-E199</f>
        <v>0</v>
      </c>
      <c r="F200" s="634"/>
      <c r="G200" s="634">
        <f ca="1">G198-G199</f>
        <v>0</v>
      </c>
      <c r="H200" s="634"/>
      <c r="I200" s="634">
        <f ca="1">I198-I199</f>
        <v>0</v>
      </c>
      <c r="J200" s="634"/>
      <c r="K200" s="634">
        <f ca="1">K198-K199</f>
        <v>0</v>
      </c>
      <c r="L200" s="634"/>
      <c r="M200" s="634">
        <f ca="1">M198-M199</f>
        <v>0</v>
      </c>
      <c r="N200" s="634"/>
      <c r="O200" s="634">
        <f ca="1">O198-O199</f>
        <v>0</v>
      </c>
      <c r="P200" s="634"/>
      <c r="Q200" s="26"/>
      <c r="R200" s="619" t="s">
        <v>35</v>
      </c>
      <c r="S200" s="620"/>
      <c r="T200" s="52">
        <f ca="1">T137+C200+E200+G200+I200+K200+O200</f>
        <v>0</v>
      </c>
    </row>
    <row r="201" spans="1:20" ht="14.1" customHeight="1" x14ac:dyDescent="0.3">
      <c r="A201" s="621" t="s">
        <v>202</v>
      </c>
      <c r="B201" s="457" t="s">
        <v>149</v>
      </c>
      <c r="C201" s="386"/>
      <c r="D201" s="385"/>
      <c r="E201" s="386"/>
      <c r="F201" s="387"/>
      <c r="G201" s="386"/>
      <c r="H201" s="388"/>
      <c r="I201" s="386"/>
      <c r="J201" s="388"/>
      <c r="K201" s="386"/>
      <c r="L201" s="385"/>
      <c r="M201" s="386"/>
      <c r="N201" s="389"/>
      <c r="O201" s="390"/>
      <c r="P201" s="389"/>
      <c r="Q201" s="6"/>
      <c r="R201" s="621" t="s">
        <v>202</v>
      </c>
      <c r="S201" s="352" t="s">
        <v>149</v>
      </c>
      <c r="T201" s="182">
        <f t="shared" ref="T201:T248" si="15">T138+C201+E201+G201+I201+K201+M201+O201</f>
        <v>0</v>
      </c>
    </row>
    <row r="202" spans="1:20" ht="14.1" customHeight="1" x14ac:dyDescent="0.3">
      <c r="A202" s="622"/>
      <c r="B202" s="458" t="s">
        <v>150</v>
      </c>
      <c r="C202" s="392"/>
      <c r="D202" s="391"/>
      <c r="E202" s="392"/>
      <c r="F202" s="393"/>
      <c r="G202" s="392"/>
      <c r="H202" s="394"/>
      <c r="I202" s="392"/>
      <c r="J202" s="394"/>
      <c r="K202" s="392"/>
      <c r="L202" s="391"/>
      <c r="M202" s="392"/>
      <c r="N202" s="395"/>
      <c r="O202" s="396"/>
      <c r="P202" s="395"/>
      <c r="Q202" s="6"/>
      <c r="R202" s="622"/>
      <c r="S202" s="353" t="s">
        <v>150</v>
      </c>
      <c r="T202" s="183">
        <f t="shared" si="15"/>
        <v>0</v>
      </c>
    </row>
    <row r="203" spans="1:20" ht="14.1" customHeight="1" x14ac:dyDescent="0.3">
      <c r="A203" s="622"/>
      <c r="B203" s="458" t="s">
        <v>151</v>
      </c>
      <c r="C203" s="392"/>
      <c r="D203" s="391"/>
      <c r="E203" s="392"/>
      <c r="F203" s="393"/>
      <c r="G203" s="392"/>
      <c r="H203" s="394"/>
      <c r="I203" s="392"/>
      <c r="J203" s="394"/>
      <c r="K203" s="392"/>
      <c r="L203" s="391"/>
      <c r="M203" s="392"/>
      <c r="N203" s="395"/>
      <c r="O203" s="396"/>
      <c r="P203" s="395"/>
      <c r="Q203" s="6"/>
      <c r="R203" s="622"/>
      <c r="S203" s="353" t="s">
        <v>151</v>
      </c>
      <c r="T203" s="183">
        <f t="shared" si="15"/>
        <v>0</v>
      </c>
    </row>
    <row r="204" spans="1:20" ht="14.1" customHeight="1" x14ac:dyDescent="0.3">
      <c r="A204" s="622"/>
      <c r="B204" s="458" t="s">
        <v>148</v>
      </c>
      <c r="C204" s="392"/>
      <c r="D204" s="391"/>
      <c r="E204" s="392"/>
      <c r="F204" s="393"/>
      <c r="G204" s="392"/>
      <c r="H204" s="394"/>
      <c r="I204" s="392"/>
      <c r="J204" s="394"/>
      <c r="K204" s="392"/>
      <c r="L204" s="391"/>
      <c r="M204" s="392"/>
      <c r="N204" s="395"/>
      <c r="O204" s="396"/>
      <c r="P204" s="395"/>
      <c r="Q204" s="6"/>
      <c r="R204" s="622"/>
      <c r="S204" s="353" t="s">
        <v>148</v>
      </c>
      <c r="T204" s="183">
        <f t="shared" si="15"/>
        <v>0</v>
      </c>
    </row>
    <row r="205" spans="1:20" ht="14.1" customHeight="1" thickBot="1" x14ac:dyDescent="0.35">
      <c r="A205" s="623"/>
      <c r="B205" s="459" t="s">
        <v>89</v>
      </c>
      <c r="C205" s="398"/>
      <c r="D205" s="397"/>
      <c r="E205" s="398"/>
      <c r="F205" s="399"/>
      <c r="G205" s="398"/>
      <c r="H205" s="400"/>
      <c r="I205" s="398"/>
      <c r="J205" s="400"/>
      <c r="K205" s="398"/>
      <c r="L205" s="397"/>
      <c r="M205" s="398"/>
      <c r="N205" s="401"/>
      <c r="O205" s="402"/>
      <c r="P205" s="401"/>
      <c r="Q205" s="6"/>
      <c r="R205" s="623"/>
      <c r="S205" s="354" t="s">
        <v>89</v>
      </c>
      <c r="T205" s="184">
        <f t="shared" si="15"/>
        <v>0</v>
      </c>
    </row>
    <row r="206" spans="1:20" ht="14.1" customHeight="1" x14ac:dyDescent="0.3">
      <c r="A206" s="624" t="s">
        <v>50</v>
      </c>
      <c r="B206" s="460" t="s">
        <v>203</v>
      </c>
      <c r="C206" s="386"/>
      <c r="D206" s="403"/>
      <c r="E206" s="386"/>
      <c r="F206" s="388"/>
      <c r="G206" s="386"/>
      <c r="H206" s="388"/>
      <c r="I206" s="386"/>
      <c r="J206" s="388"/>
      <c r="K206" s="386"/>
      <c r="L206" s="405"/>
      <c r="M206" s="386"/>
      <c r="N206" s="385"/>
      <c r="O206" s="386"/>
      <c r="P206" s="389"/>
      <c r="Q206" s="6"/>
      <c r="R206" s="626" t="s">
        <v>50</v>
      </c>
      <c r="S206" s="490" t="s">
        <v>168</v>
      </c>
      <c r="T206" s="182">
        <f t="shared" si="15"/>
        <v>0</v>
      </c>
    </row>
    <row r="207" spans="1:20" ht="14.1" customHeight="1" x14ac:dyDescent="0.3">
      <c r="A207" s="625"/>
      <c r="B207" s="481" t="s">
        <v>205</v>
      </c>
      <c r="C207" s="392"/>
      <c r="D207" s="407"/>
      <c r="E207" s="392"/>
      <c r="F207" s="404"/>
      <c r="G207" s="392"/>
      <c r="H207" s="404"/>
      <c r="I207" s="392"/>
      <c r="J207" s="404"/>
      <c r="K207" s="392"/>
      <c r="L207" s="408"/>
      <c r="M207" s="392"/>
      <c r="N207" s="406"/>
      <c r="O207" s="409"/>
      <c r="P207" s="410"/>
      <c r="Q207" s="6"/>
      <c r="R207" s="627"/>
      <c r="S207" s="491" t="s">
        <v>213</v>
      </c>
      <c r="T207" s="183">
        <f t="shared" si="15"/>
        <v>0</v>
      </c>
    </row>
    <row r="208" spans="1:20" ht="14.1" customHeight="1" thickBot="1" x14ac:dyDescent="0.35">
      <c r="A208" s="625"/>
      <c r="B208" s="553" t="s">
        <v>211</v>
      </c>
      <c r="C208" s="398"/>
      <c r="D208" s="564"/>
      <c r="E208" s="398"/>
      <c r="F208" s="534"/>
      <c r="G208" s="398"/>
      <c r="H208" s="534"/>
      <c r="I208" s="398"/>
      <c r="J208" s="534"/>
      <c r="K208" s="398"/>
      <c r="L208" s="436"/>
      <c r="M208" s="435"/>
      <c r="N208" s="437"/>
      <c r="O208" s="435"/>
      <c r="P208" s="565"/>
      <c r="Q208" s="6"/>
      <c r="R208" s="627"/>
      <c r="S208" s="566" t="s">
        <v>214</v>
      </c>
      <c r="T208" s="183">
        <f t="shared" si="15"/>
        <v>0</v>
      </c>
    </row>
    <row r="209" spans="1:20" ht="14.1" customHeight="1" x14ac:dyDescent="0.3">
      <c r="A209" s="625"/>
      <c r="B209" s="554" t="s">
        <v>163</v>
      </c>
      <c r="C209" s="409"/>
      <c r="D209" s="407"/>
      <c r="E209" s="409"/>
      <c r="F209" s="404"/>
      <c r="G209" s="409"/>
      <c r="H209" s="404"/>
      <c r="I209" s="409"/>
      <c r="J209" s="404"/>
      <c r="K209" s="409"/>
      <c r="L209" s="408"/>
      <c r="M209" s="409"/>
      <c r="N209" s="406"/>
      <c r="O209" s="409"/>
      <c r="P209" s="410"/>
      <c r="Q209" s="6"/>
      <c r="R209" s="627"/>
      <c r="S209" s="343" t="s">
        <v>212</v>
      </c>
      <c r="T209" s="182">
        <f t="shared" si="15"/>
        <v>0</v>
      </c>
    </row>
    <row r="210" spans="1:20" ht="14.1" customHeight="1" x14ac:dyDescent="0.3">
      <c r="A210" s="625"/>
      <c r="B210" s="555" t="s">
        <v>162</v>
      </c>
      <c r="C210" s="392"/>
      <c r="D210" s="407"/>
      <c r="E210" s="392"/>
      <c r="F210" s="404"/>
      <c r="G210" s="392"/>
      <c r="H210" s="404"/>
      <c r="I210" s="392"/>
      <c r="J210" s="404"/>
      <c r="K210" s="392"/>
      <c r="L210" s="408"/>
      <c r="M210" s="409"/>
      <c r="N210" s="406"/>
      <c r="O210" s="409"/>
      <c r="P210" s="410"/>
      <c r="Q210" s="6"/>
      <c r="R210" s="627"/>
      <c r="S210" s="326" t="s">
        <v>162</v>
      </c>
      <c r="T210" s="183">
        <f t="shared" si="15"/>
        <v>0</v>
      </c>
    </row>
    <row r="211" spans="1:20" ht="14.1" customHeight="1" x14ac:dyDescent="0.3">
      <c r="A211" s="625"/>
      <c r="B211" s="556" t="s">
        <v>164</v>
      </c>
      <c r="C211" s="392"/>
      <c r="D211" s="407"/>
      <c r="E211" s="392"/>
      <c r="F211" s="404"/>
      <c r="G211" s="392"/>
      <c r="H211" s="404"/>
      <c r="I211" s="392"/>
      <c r="J211" s="404"/>
      <c r="K211" s="392"/>
      <c r="L211" s="408"/>
      <c r="M211" s="409"/>
      <c r="N211" s="406"/>
      <c r="O211" s="409"/>
      <c r="P211" s="410"/>
      <c r="Q211" s="6"/>
      <c r="R211" s="627"/>
      <c r="S211" s="343" t="s">
        <v>164</v>
      </c>
      <c r="T211" s="183">
        <f t="shared" si="15"/>
        <v>0</v>
      </c>
    </row>
    <row r="212" spans="1:20" ht="14.1" customHeight="1" x14ac:dyDescent="0.3">
      <c r="A212" s="625"/>
      <c r="B212" s="555" t="s">
        <v>165</v>
      </c>
      <c r="C212" s="392"/>
      <c r="D212" s="407"/>
      <c r="E212" s="392"/>
      <c r="F212" s="404"/>
      <c r="G212" s="392"/>
      <c r="H212" s="404"/>
      <c r="I212" s="392"/>
      <c r="J212" s="404"/>
      <c r="K212" s="392"/>
      <c r="L212" s="408"/>
      <c r="M212" s="409"/>
      <c r="N212" s="406"/>
      <c r="O212" s="409"/>
      <c r="P212" s="410"/>
      <c r="Q212" s="6"/>
      <c r="R212" s="627"/>
      <c r="S212" s="326" t="s">
        <v>165</v>
      </c>
      <c r="T212" s="183">
        <f t="shared" si="15"/>
        <v>0</v>
      </c>
    </row>
    <row r="213" spans="1:20" ht="14.1" customHeight="1" x14ac:dyDescent="0.3">
      <c r="A213" s="625"/>
      <c r="B213" s="555" t="s">
        <v>184</v>
      </c>
      <c r="C213" s="392"/>
      <c r="D213" s="407"/>
      <c r="E213" s="392"/>
      <c r="F213" s="404"/>
      <c r="G213" s="392"/>
      <c r="H213" s="404"/>
      <c r="I213" s="392"/>
      <c r="J213" s="404"/>
      <c r="K213" s="392"/>
      <c r="L213" s="408"/>
      <c r="M213" s="409"/>
      <c r="N213" s="406"/>
      <c r="O213" s="409"/>
      <c r="P213" s="410"/>
      <c r="Q213" s="6"/>
      <c r="R213" s="627"/>
      <c r="S213" s="326" t="s">
        <v>184</v>
      </c>
      <c r="T213" s="183">
        <f t="shared" si="15"/>
        <v>0</v>
      </c>
    </row>
    <row r="214" spans="1:20" ht="14.1" customHeight="1" x14ac:dyDescent="0.3">
      <c r="A214" s="625"/>
      <c r="B214" s="555" t="s">
        <v>185</v>
      </c>
      <c r="C214" s="392"/>
      <c r="D214" s="407"/>
      <c r="E214" s="392"/>
      <c r="F214" s="404"/>
      <c r="G214" s="392"/>
      <c r="H214" s="404"/>
      <c r="I214" s="392"/>
      <c r="J214" s="404"/>
      <c r="K214" s="392"/>
      <c r="L214" s="408"/>
      <c r="M214" s="409"/>
      <c r="N214" s="406"/>
      <c r="O214" s="409"/>
      <c r="P214" s="410"/>
      <c r="Q214" s="6"/>
      <c r="R214" s="627"/>
      <c r="S214" s="326" t="s">
        <v>185</v>
      </c>
      <c r="T214" s="183">
        <f t="shared" si="15"/>
        <v>0</v>
      </c>
    </row>
    <row r="215" spans="1:20" ht="14.1" customHeight="1" x14ac:dyDescent="0.3">
      <c r="A215" s="625"/>
      <c r="B215" s="556" t="s">
        <v>166</v>
      </c>
      <c r="C215" s="392"/>
      <c r="D215" s="407"/>
      <c r="E215" s="411"/>
      <c r="F215" s="406"/>
      <c r="G215" s="411"/>
      <c r="H215" s="404"/>
      <c r="I215" s="411"/>
      <c r="J215" s="404"/>
      <c r="K215" s="411"/>
      <c r="L215" s="408"/>
      <c r="M215" s="412"/>
      <c r="N215" s="406"/>
      <c r="O215" s="409"/>
      <c r="P215" s="410"/>
      <c r="Q215" s="6"/>
      <c r="R215" s="627"/>
      <c r="S215" s="343" t="s">
        <v>166</v>
      </c>
      <c r="T215" s="183">
        <f t="shared" si="15"/>
        <v>0</v>
      </c>
    </row>
    <row r="216" spans="1:20" ht="14.1" customHeight="1" x14ac:dyDescent="0.3">
      <c r="A216" s="625"/>
      <c r="B216" s="555" t="s">
        <v>167</v>
      </c>
      <c r="C216" s="411"/>
      <c r="D216" s="413"/>
      <c r="E216" s="411"/>
      <c r="F216" s="406"/>
      <c r="G216" s="411"/>
      <c r="H216" s="404"/>
      <c r="I216" s="411"/>
      <c r="J216" s="404"/>
      <c r="K216" s="411"/>
      <c r="L216" s="408"/>
      <c r="M216" s="412"/>
      <c r="N216" s="406"/>
      <c r="O216" s="412"/>
      <c r="P216" s="414"/>
      <c r="Q216" s="6"/>
      <c r="R216" s="627"/>
      <c r="S216" s="326" t="s">
        <v>167</v>
      </c>
      <c r="T216" s="183">
        <f t="shared" si="15"/>
        <v>0</v>
      </c>
    </row>
    <row r="217" spans="1:20" ht="14.1" customHeight="1" thickBot="1" x14ac:dyDescent="0.35">
      <c r="A217" s="625"/>
      <c r="B217" s="557" t="s">
        <v>186</v>
      </c>
      <c r="C217" s="398"/>
      <c r="D217" s="397"/>
      <c r="E217" s="398"/>
      <c r="F217" s="415"/>
      <c r="G217" s="398"/>
      <c r="H217" s="404"/>
      <c r="I217" s="398"/>
      <c r="J217" s="404"/>
      <c r="K217" s="398"/>
      <c r="L217" s="408"/>
      <c r="M217" s="398"/>
      <c r="N217" s="406"/>
      <c r="O217" s="402"/>
      <c r="P217" s="401"/>
      <c r="Q217" s="6"/>
      <c r="R217" s="627"/>
      <c r="S217" s="327" t="s">
        <v>186</v>
      </c>
      <c r="T217" s="184">
        <f t="shared" si="15"/>
        <v>0</v>
      </c>
    </row>
    <row r="218" spans="1:20" ht="14.1" customHeight="1" x14ac:dyDescent="0.3">
      <c r="A218" s="628" t="s">
        <v>19</v>
      </c>
      <c r="B218" s="461" t="s">
        <v>193</v>
      </c>
      <c r="C218" s="392"/>
      <c r="D218" s="385"/>
      <c r="E218" s="392"/>
      <c r="F218" s="388"/>
      <c r="G218" s="392"/>
      <c r="H218" s="388"/>
      <c r="I218" s="392"/>
      <c r="J218" s="388"/>
      <c r="K218" s="392"/>
      <c r="L218" s="405"/>
      <c r="M218" s="386"/>
      <c r="N218" s="385"/>
      <c r="O218" s="396"/>
      <c r="P218" s="389"/>
      <c r="Q218" s="6"/>
      <c r="R218" s="630" t="s">
        <v>19</v>
      </c>
      <c r="S218" s="379" t="s">
        <v>51</v>
      </c>
      <c r="T218" s="182">
        <f t="shared" si="15"/>
        <v>0</v>
      </c>
    </row>
    <row r="219" spans="1:20" ht="14.1" customHeight="1" x14ac:dyDescent="0.3">
      <c r="A219" s="629"/>
      <c r="B219" s="462" t="s">
        <v>194</v>
      </c>
      <c r="C219" s="392"/>
      <c r="D219" s="406"/>
      <c r="E219" s="409"/>
      <c r="F219" s="404"/>
      <c r="G219" s="392"/>
      <c r="H219" s="404"/>
      <c r="I219" s="392"/>
      <c r="J219" s="404"/>
      <c r="K219" s="392"/>
      <c r="L219" s="408"/>
      <c r="M219" s="409"/>
      <c r="N219" s="406"/>
      <c r="O219" s="396"/>
      <c r="P219" s="410"/>
      <c r="Q219" s="6"/>
      <c r="R219" s="631"/>
      <c r="S219" s="380" t="s">
        <v>43</v>
      </c>
      <c r="T219" s="183">
        <f t="shared" si="15"/>
        <v>0</v>
      </c>
    </row>
    <row r="220" spans="1:20" ht="14.1" customHeight="1" thickBot="1" x14ac:dyDescent="0.35">
      <c r="A220" s="629"/>
      <c r="B220" s="463" t="s">
        <v>195</v>
      </c>
      <c r="C220" s="412"/>
      <c r="D220" s="416"/>
      <c r="E220" s="412"/>
      <c r="F220" s="417"/>
      <c r="G220" s="412"/>
      <c r="H220" s="417"/>
      <c r="I220" s="412"/>
      <c r="J220" s="417"/>
      <c r="K220" s="412"/>
      <c r="L220" s="418"/>
      <c r="M220" s="412"/>
      <c r="N220" s="416"/>
      <c r="O220" s="419"/>
      <c r="P220" s="414"/>
      <c r="Q220" s="6"/>
      <c r="R220" s="631"/>
      <c r="S220" s="381" t="s">
        <v>53</v>
      </c>
      <c r="T220" s="183">
        <f t="shared" si="15"/>
        <v>0</v>
      </c>
    </row>
    <row r="221" spans="1:20" ht="14.1" customHeight="1" x14ac:dyDescent="0.3">
      <c r="A221" s="629"/>
      <c r="B221" s="461" t="s">
        <v>196</v>
      </c>
      <c r="C221" s="386"/>
      <c r="D221" s="385"/>
      <c r="E221" s="386"/>
      <c r="F221" s="388"/>
      <c r="G221" s="386"/>
      <c r="H221" s="388"/>
      <c r="I221" s="386"/>
      <c r="J221" s="388"/>
      <c r="K221" s="386"/>
      <c r="L221" s="405"/>
      <c r="M221" s="386"/>
      <c r="N221" s="385"/>
      <c r="O221" s="390"/>
      <c r="P221" s="389"/>
      <c r="Q221" s="6"/>
      <c r="R221" s="631"/>
      <c r="S221" s="358" t="s">
        <v>65</v>
      </c>
      <c r="T221" s="182">
        <f t="shared" si="15"/>
        <v>0</v>
      </c>
    </row>
    <row r="222" spans="1:20" ht="14.1" customHeight="1" x14ac:dyDescent="0.3">
      <c r="A222" s="629"/>
      <c r="B222" s="488" t="s">
        <v>197</v>
      </c>
      <c r="C222" s="392"/>
      <c r="D222" s="406"/>
      <c r="E222" s="392"/>
      <c r="F222" s="404"/>
      <c r="G222" s="392"/>
      <c r="H222" s="404"/>
      <c r="I222" s="392"/>
      <c r="J222" s="404"/>
      <c r="K222" s="392"/>
      <c r="L222" s="408"/>
      <c r="M222" s="392"/>
      <c r="N222" s="406"/>
      <c r="O222" s="396"/>
      <c r="P222" s="410"/>
      <c r="Q222" s="6"/>
      <c r="R222" s="631"/>
      <c r="S222" s="359" t="s">
        <v>8</v>
      </c>
      <c r="T222" s="183">
        <f t="shared" si="15"/>
        <v>0</v>
      </c>
    </row>
    <row r="223" spans="1:20" ht="14.1" customHeight="1" thickBot="1" x14ac:dyDescent="0.35">
      <c r="A223" s="629"/>
      <c r="B223" s="489" t="s">
        <v>198</v>
      </c>
      <c r="C223" s="398"/>
      <c r="D223" s="397"/>
      <c r="E223" s="398"/>
      <c r="F223" s="400"/>
      <c r="G223" s="398"/>
      <c r="H223" s="400"/>
      <c r="I223" s="398"/>
      <c r="J223" s="400"/>
      <c r="K223" s="398"/>
      <c r="L223" s="420"/>
      <c r="M223" s="398"/>
      <c r="N223" s="397"/>
      <c r="O223" s="402"/>
      <c r="P223" s="421"/>
      <c r="Q223" s="6"/>
      <c r="R223" s="631"/>
      <c r="S223" s="360" t="s">
        <v>5</v>
      </c>
      <c r="T223" s="183">
        <f t="shared" si="15"/>
        <v>0</v>
      </c>
    </row>
    <row r="224" spans="1:20" ht="14.1" customHeight="1" x14ac:dyDescent="0.3">
      <c r="A224" s="629"/>
      <c r="B224" s="461" t="s">
        <v>210</v>
      </c>
      <c r="C224" s="386"/>
      <c r="D224" s="385"/>
      <c r="E224" s="386"/>
      <c r="F224" s="388"/>
      <c r="G224" s="386"/>
      <c r="H224" s="388"/>
      <c r="I224" s="386"/>
      <c r="J224" s="388"/>
      <c r="K224" s="386"/>
      <c r="L224" s="405"/>
      <c r="M224" s="386"/>
      <c r="N224" s="385"/>
      <c r="O224" s="390"/>
      <c r="P224" s="389"/>
      <c r="Q224" s="6"/>
      <c r="R224" s="631"/>
      <c r="S224" s="361" t="s">
        <v>199</v>
      </c>
      <c r="T224" s="182">
        <f t="shared" si="15"/>
        <v>0</v>
      </c>
    </row>
    <row r="225" spans="1:20" ht="14.1" customHeight="1" x14ac:dyDescent="0.3">
      <c r="A225" s="629"/>
      <c r="B225" s="488" t="s">
        <v>200</v>
      </c>
      <c r="C225" s="392"/>
      <c r="D225" s="406"/>
      <c r="E225" s="392"/>
      <c r="F225" s="404"/>
      <c r="G225" s="392"/>
      <c r="H225" s="404"/>
      <c r="I225" s="392"/>
      <c r="J225" s="404"/>
      <c r="K225" s="392"/>
      <c r="L225" s="408"/>
      <c r="M225" s="392"/>
      <c r="N225" s="406"/>
      <c r="O225" s="396"/>
      <c r="P225" s="410"/>
      <c r="Q225" s="6"/>
      <c r="R225" s="631"/>
      <c r="S225" s="362" t="s">
        <v>200</v>
      </c>
      <c r="T225" s="183">
        <f t="shared" si="15"/>
        <v>0</v>
      </c>
    </row>
    <row r="226" spans="1:20" ht="14.1" customHeight="1" thickBot="1" x14ac:dyDescent="0.35">
      <c r="A226" s="629"/>
      <c r="B226" s="489" t="s">
        <v>209</v>
      </c>
      <c r="C226" s="398"/>
      <c r="D226" s="397"/>
      <c r="E226" s="398"/>
      <c r="F226" s="400"/>
      <c r="G226" s="398"/>
      <c r="H226" s="400"/>
      <c r="I226" s="398"/>
      <c r="J226" s="400"/>
      <c r="K226" s="398"/>
      <c r="L226" s="420"/>
      <c r="M226" s="398"/>
      <c r="N226" s="397"/>
      <c r="O226" s="402"/>
      <c r="P226" s="421"/>
      <c r="Q226" s="6"/>
      <c r="R226" s="631"/>
      <c r="S226" s="363" t="s">
        <v>201</v>
      </c>
      <c r="T226" s="183">
        <f t="shared" si="15"/>
        <v>0</v>
      </c>
    </row>
    <row r="227" spans="1:20" ht="14.1" customHeight="1" x14ac:dyDescent="0.3">
      <c r="A227" s="611" t="s">
        <v>16</v>
      </c>
      <c r="B227" s="464" t="s">
        <v>36</v>
      </c>
      <c r="C227" s="386"/>
      <c r="D227" s="422"/>
      <c r="E227" s="386"/>
      <c r="F227" s="388"/>
      <c r="G227" s="386"/>
      <c r="H227" s="388"/>
      <c r="I227" s="386"/>
      <c r="J227" s="388"/>
      <c r="K227" s="386"/>
      <c r="L227" s="405"/>
      <c r="M227" s="386"/>
      <c r="N227" s="385"/>
      <c r="O227" s="390"/>
      <c r="P227" s="389"/>
      <c r="Q227" s="6"/>
      <c r="R227" s="611" t="s">
        <v>16</v>
      </c>
      <c r="S227" s="364" t="s">
        <v>36</v>
      </c>
      <c r="T227" s="182">
        <f t="shared" si="15"/>
        <v>0</v>
      </c>
    </row>
    <row r="228" spans="1:20" ht="14.1" customHeight="1" x14ac:dyDescent="0.3">
      <c r="A228" s="612"/>
      <c r="B228" s="465" t="s">
        <v>81</v>
      </c>
      <c r="C228" s="392"/>
      <c r="D228" s="423"/>
      <c r="E228" s="392"/>
      <c r="F228" s="424"/>
      <c r="G228" s="392"/>
      <c r="H228" s="394"/>
      <c r="I228" s="392"/>
      <c r="J228" s="394"/>
      <c r="K228" s="392"/>
      <c r="L228" s="425"/>
      <c r="M228" s="392"/>
      <c r="N228" s="391"/>
      <c r="O228" s="396"/>
      <c r="P228" s="395"/>
      <c r="Q228" s="6"/>
      <c r="R228" s="612"/>
      <c r="S228" s="365" t="s">
        <v>81</v>
      </c>
      <c r="T228" s="183">
        <f t="shared" si="15"/>
        <v>0</v>
      </c>
    </row>
    <row r="229" spans="1:20" ht="14.1" customHeight="1" x14ac:dyDescent="0.3">
      <c r="A229" s="612"/>
      <c r="B229" s="465" t="s">
        <v>78</v>
      </c>
      <c r="C229" s="392"/>
      <c r="D229" s="426"/>
      <c r="E229" s="392"/>
      <c r="F229" s="426"/>
      <c r="G229" s="392"/>
      <c r="H229" s="391"/>
      <c r="I229" s="392"/>
      <c r="J229" s="391"/>
      <c r="K229" s="392"/>
      <c r="L229" s="425"/>
      <c r="M229" s="392"/>
      <c r="N229" s="391"/>
      <c r="O229" s="396"/>
      <c r="P229" s="395"/>
      <c r="Q229" s="6"/>
      <c r="R229" s="612"/>
      <c r="S229" s="365" t="s">
        <v>78</v>
      </c>
      <c r="T229" s="183">
        <f t="shared" si="15"/>
        <v>0</v>
      </c>
    </row>
    <row r="230" spans="1:20" ht="14.1" customHeight="1" thickBot="1" x14ac:dyDescent="0.35">
      <c r="A230" s="613"/>
      <c r="B230" s="466" t="s">
        <v>87</v>
      </c>
      <c r="C230" s="398"/>
      <c r="D230" s="427"/>
      <c r="E230" s="398"/>
      <c r="F230" s="427"/>
      <c r="G230" s="392"/>
      <c r="H230" s="397"/>
      <c r="I230" s="392"/>
      <c r="J230" s="397"/>
      <c r="K230" s="392"/>
      <c r="L230" s="420"/>
      <c r="M230" s="398"/>
      <c r="N230" s="397"/>
      <c r="O230" s="402"/>
      <c r="P230" s="401"/>
      <c r="Q230" s="6"/>
      <c r="R230" s="613"/>
      <c r="S230" s="366" t="s">
        <v>87</v>
      </c>
      <c r="T230" s="183">
        <f t="shared" si="15"/>
        <v>0</v>
      </c>
    </row>
    <row r="231" spans="1:20" ht="14.1" customHeight="1" x14ac:dyDescent="0.3">
      <c r="A231" s="614" t="s">
        <v>47</v>
      </c>
      <c r="B231" s="467" t="s">
        <v>48</v>
      </c>
      <c r="C231" s="409"/>
      <c r="D231" s="428"/>
      <c r="E231" s="386"/>
      <c r="F231" s="388"/>
      <c r="G231" s="386"/>
      <c r="H231" s="385"/>
      <c r="I231" s="386"/>
      <c r="J231" s="385"/>
      <c r="K231" s="386"/>
      <c r="L231" s="405"/>
      <c r="M231" s="386"/>
      <c r="N231" s="385"/>
      <c r="O231" s="390"/>
      <c r="P231" s="389"/>
      <c r="Q231" s="6"/>
      <c r="R231" s="614" t="s">
        <v>47</v>
      </c>
      <c r="S231" s="367" t="s">
        <v>48</v>
      </c>
      <c r="T231" s="182">
        <f t="shared" si="15"/>
        <v>0</v>
      </c>
    </row>
    <row r="232" spans="1:20" ht="14.1" customHeight="1" x14ac:dyDescent="0.3">
      <c r="A232" s="615"/>
      <c r="B232" s="468" t="s">
        <v>44</v>
      </c>
      <c r="C232" s="392"/>
      <c r="D232" s="424"/>
      <c r="E232" s="392"/>
      <c r="F232" s="394"/>
      <c r="G232" s="392"/>
      <c r="H232" s="391"/>
      <c r="I232" s="392"/>
      <c r="J232" s="391"/>
      <c r="K232" s="392"/>
      <c r="L232" s="425"/>
      <c r="M232" s="392"/>
      <c r="N232" s="391"/>
      <c r="O232" s="396"/>
      <c r="P232" s="395"/>
      <c r="Q232" s="6"/>
      <c r="R232" s="615"/>
      <c r="S232" s="368" t="s">
        <v>44</v>
      </c>
      <c r="T232" s="183">
        <f t="shared" si="15"/>
        <v>0</v>
      </c>
    </row>
    <row r="233" spans="1:20" ht="14.1" customHeight="1" thickBot="1" x14ac:dyDescent="0.35">
      <c r="A233" s="616"/>
      <c r="B233" s="469" t="s">
        <v>54</v>
      </c>
      <c r="C233" s="398"/>
      <c r="D233" s="429"/>
      <c r="E233" s="398"/>
      <c r="F233" s="400"/>
      <c r="G233" s="398"/>
      <c r="H233" s="397"/>
      <c r="I233" s="398"/>
      <c r="J233" s="397"/>
      <c r="K233" s="398"/>
      <c r="L233" s="420"/>
      <c r="M233" s="398"/>
      <c r="N233" s="397"/>
      <c r="O233" s="430"/>
      <c r="P233" s="410"/>
      <c r="Q233" s="6"/>
      <c r="R233" s="616"/>
      <c r="S233" s="369" t="s">
        <v>54</v>
      </c>
      <c r="T233" s="183">
        <f t="shared" si="15"/>
        <v>0</v>
      </c>
    </row>
    <row r="234" spans="1:20" ht="14.1" customHeight="1" x14ac:dyDescent="0.3">
      <c r="A234" s="617" t="s">
        <v>39</v>
      </c>
      <c r="B234" s="470" t="s">
        <v>44</v>
      </c>
      <c r="C234" s="386"/>
      <c r="D234" s="403"/>
      <c r="E234" s="386"/>
      <c r="F234" s="404"/>
      <c r="G234" s="386"/>
      <c r="H234" s="406"/>
      <c r="I234" s="386"/>
      <c r="J234" s="406"/>
      <c r="K234" s="386"/>
      <c r="L234" s="405"/>
      <c r="M234" s="409"/>
      <c r="N234" s="406"/>
      <c r="O234" s="390"/>
      <c r="P234" s="389"/>
      <c r="Q234" s="6"/>
      <c r="R234" s="617" t="s">
        <v>39</v>
      </c>
      <c r="S234" s="480" t="s">
        <v>44</v>
      </c>
      <c r="T234" s="182">
        <f t="shared" si="15"/>
        <v>0</v>
      </c>
    </row>
    <row r="235" spans="1:20" ht="14.1" customHeight="1" x14ac:dyDescent="0.3">
      <c r="A235" s="618"/>
      <c r="B235" s="470" t="s">
        <v>54</v>
      </c>
      <c r="C235" s="392"/>
      <c r="D235" s="426"/>
      <c r="E235" s="392"/>
      <c r="F235" s="394"/>
      <c r="G235" s="392"/>
      <c r="H235" s="391"/>
      <c r="I235" s="392"/>
      <c r="J235" s="391"/>
      <c r="K235" s="392"/>
      <c r="L235" s="425"/>
      <c r="M235" s="392"/>
      <c r="N235" s="406"/>
      <c r="O235" s="396"/>
      <c r="P235" s="395"/>
      <c r="Q235" s="6"/>
      <c r="R235" s="618"/>
      <c r="S235" s="480" t="s">
        <v>54</v>
      </c>
      <c r="T235" s="183">
        <f t="shared" si="15"/>
        <v>0</v>
      </c>
    </row>
    <row r="236" spans="1:20" ht="14.1" customHeight="1" x14ac:dyDescent="0.3">
      <c r="A236" s="618"/>
      <c r="B236" s="470" t="s">
        <v>204</v>
      </c>
      <c r="C236" s="392"/>
      <c r="D236" s="426"/>
      <c r="E236" s="392"/>
      <c r="F236" s="404"/>
      <c r="G236" s="392"/>
      <c r="H236" s="406"/>
      <c r="I236" s="392"/>
      <c r="J236" s="406"/>
      <c r="K236" s="392"/>
      <c r="L236" s="408"/>
      <c r="M236" s="392"/>
      <c r="N236" s="406"/>
      <c r="O236" s="396"/>
      <c r="P236" s="395"/>
      <c r="Q236" s="6"/>
      <c r="R236" s="618"/>
      <c r="S236" s="480" t="s">
        <v>204</v>
      </c>
      <c r="T236" s="183">
        <f t="shared" si="15"/>
        <v>0</v>
      </c>
    </row>
    <row r="237" spans="1:20" ht="14.1" customHeight="1" thickBot="1" x14ac:dyDescent="0.35">
      <c r="A237" s="618"/>
      <c r="B237" s="471" t="s">
        <v>113</v>
      </c>
      <c r="C237" s="411"/>
      <c r="D237" s="427"/>
      <c r="E237" s="411"/>
      <c r="F237" s="417"/>
      <c r="G237" s="411"/>
      <c r="H237" s="416"/>
      <c r="I237" s="411"/>
      <c r="J237" s="416"/>
      <c r="K237" s="411"/>
      <c r="L237" s="431"/>
      <c r="M237" s="411"/>
      <c r="N237" s="432"/>
      <c r="O237" s="433"/>
      <c r="P237" s="421"/>
      <c r="Q237" s="6"/>
      <c r="R237" s="618"/>
      <c r="S237" s="513" t="s">
        <v>113</v>
      </c>
      <c r="T237" s="183">
        <f t="shared" si="15"/>
        <v>0</v>
      </c>
    </row>
    <row r="238" spans="1:20" ht="14.1" customHeight="1" x14ac:dyDescent="0.3">
      <c r="A238" s="603" t="s">
        <v>215</v>
      </c>
      <c r="B238" s="472" t="s">
        <v>45</v>
      </c>
      <c r="C238" s="386"/>
      <c r="D238" s="403"/>
      <c r="E238" s="386"/>
      <c r="F238" s="388"/>
      <c r="G238" s="386"/>
      <c r="H238" s="385"/>
      <c r="I238" s="386"/>
      <c r="J238" s="385"/>
      <c r="K238" s="386"/>
      <c r="L238" s="405"/>
      <c r="M238" s="386"/>
      <c r="N238" s="385"/>
      <c r="O238" s="390"/>
      <c r="P238" s="389"/>
      <c r="Q238" s="6"/>
      <c r="R238" s="603" t="s">
        <v>215</v>
      </c>
      <c r="S238" s="483" t="s">
        <v>45</v>
      </c>
      <c r="T238" s="182">
        <f t="shared" si="15"/>
        <v>0</v>
      </c>
    </row>
    <row r="239" spans="1:20" ht="14.1" customHeight="1" thickBot="1" x14ac:dyDescent="0.35">
      <c r="A239" s="604"/>
      <c r="B239" s="482" t="s">
        <v>42</v>
      </c>
      <c r="C239" s="435"/>
      <c r="D239" s="434"/>
      <c r="E239" s="435"/>
      <c r="F239" s="400"/>
      <c r="G239" s="435"/>
      <c r="H239" s="397"/>
      <c r="I239" s="435"/>
      <c r="J239" s="397"/>
      <c r="K239" s="435"/>
      <c r="L239" s="436"/>
      <c r="M239" s="435"/>
      <c r="N239" s="437"/>
      <c r="O239" s="438"/>
      <c r="P239" s="401"/>
      <c r="Q239" s="6"/>
      <c r="R239" s="604"/>
      <c r="S239" s="503" t="s">
        <v>42</v>
      </c>
      <c r="T239" s="183">
        <f t="shared" si="15"/>
        <v>0</v>
      </c>
    </row>
    <row r="240" spans="1:20" ht="14.1" customHeight="1" x14ac:dyDescent="0.3">
      <c r="A240" s="605" t="s">
        <v>206</v>
      </c>
      <c r="B240" s="484" t="s">
        <v>207</v>
      </c>
      <c r="C240" s="412"/>
      <c r="D240" s="439"/>
      <c r="E240" s="412"/>
      <c r="F240" s="417"/>
      <c r="G240" s="412"/>
      <c r="H240" s="416"/>
      <c r="I240" s="412"/>
      <c r="J240" s="416"/>
      <c r="K240" s="412"/>
      <c r="L240" s="418"/>
      <c r="M240" s="412"/>
      <c r="N240" s="416"/>
      <c r="O240" s="419"/>
      <c r="P240" s="414"/>
      <c r="Q240" s="6"/>
      <c r="R240" s="605" t="s">
        <v>206</v>
      </c>
      <c r="S240" s="486" t="s">
        <v>207</v>
      </c>
      <c r="T240" s="182">
        <f t="shared" si="15"/>
        <v>0</v>
      </c>
    </row>
    <row r="241" spans="1:20" ht="14.1" customHeight="1" thickBot="1" x14ac:dyDescent="0.35">
      <c r="A241" s="606"/>
      <c r="B241" s="485" t="s">
        <v>208</v>
      </c>
      <c r="C241" s="412"/>
      <c r="D241" s="439"/>
      <c r="E241" s="412"/>
      <c r="F241" s="417"/>
      <c r="G241" s="412"/>
      <c r="H241" s="416"/>
      <c r="I241" s="412"/>
      <c r="J241" s="416"/>
      <c r="K241" s="412"/>
      <c r="L241" s="418"/>
      <c r="M241" s="412"/>
      <c r="N241" s="416"/>
      <c r="O241" s="419"/>
      <c r="P241" s="414"/>
      <c r="Q241" s="6"/>
      <c r="R241" s="607"/>
      <c r="S241" s="559" t="s">
        <v>208</v>
      </c>
      <c r="T241" s="183">
        <f t="shared" si="15"/>
        <v>0</v>
      </c>
    </row>
    <row r="242" spans="1:20" ht="14.1" customHeight="1" x14ac:dyDescent="0.3">
      <c r="A242" s="608" t="s">
        <v>125</v>
      </c>
      <c r="B242" s="473" t="s">
        <v>126</v>
      </c>
      <c r="C242" s="386"/>
      <c r="D242" s="422"/>
      <c r="E242" s="386"/>
      <c r="F242" s="388"/>
      <c r="G242" s="386"/>
      <c r="H242" s="405"/>
      <c r="I242" s="386"/>
      <c r="J242" s="385"/>
      <c r="K242" s="386"/>
      <c r="L242" s="405"/>
      <c r="M242" s="386"/>
      <c r="N242" s="385"/>
      <c r="O242" s="390"/>
      <c r="P242" s="389"/>
      <c r="Q242" s="6"/>
      <c r="R242" s="610" t="s">
        <v>125</v>
      </c>
      <c r="S242" s="562" t="s">
        <v>126</v>
      </c>
      <c r="T242" s="182">
        <f t="shared" si="15"/>
        <v>0</v>
      </c>
    </row>
    <row r="243" spans="1:20" ht="14.1" customHeight="1" x14ac:dyDescent="0.3">
      <c r="A243" s="608"/>
      <c r="B243" s="474" t="s">
        <v>127</v>
      </c>
      <c r="C243" s="412"/>
      <c r="D243" s="439"/>
      <c r="E243" s="412"/>
      <c r="F243" s="404"/>
      <c r="G243" s="412"/>
      <c r="H243" s="408"/>
      <c r="I243" s="412"/>
      <c r="J243" s="406"/>
      <c r="K243" s="412"/>
      <c r="L243" s="418"/>
      <c r="M243" s="412"/>
      <c r="N243" s="416"/>
      <c r="O243" s="419"/>
      <c r="P243" s="414"/>
      <c r="Q243" s="6"/>
      <c r="R243" s="608"/>
      <c r="S243" s="504" t="s">
        <v>127</v>
      </c>
      <c r="T243" s="183">
        <f t="shared" si="15"/>
        <v>0</v>
      </c>
    </row>
    <row r="244" spans="1:20" ht="14.1" customHeight="1" thickBot="1" x14ac:dyDescent="0.35">
      <c r="A244" s="609"/>
      <c r="B244" s="475" t="s">
        <v>128</v>
      </c>
      <c r="C244" s="398"/>
      <c r="D244" s="440"/>
      <c r="E244" s="398"/>
      <c r="F244" s="404"/>
      <c r="G244" s="398"/>
      <c r="H244" s="408"/>
      <c r="I244" s="398"/>
      <c r="J244" s="406"/>
      <c r="K244" s="398"/>
      <c r="L244" s="420"/>
      <c r="M244" s="398"/>
      <c r="N244" s="397"/>
      <c r="O244" s="402"/>
      <c r="P244" s="401"/>
      <c r="Q244" s="6"/>
      <c r="R244" s="609"/>
      <c r="S244" s="505" t="s">
        <v>128</v>
      </c>
      <c r="T244" s="183">
        <f t="shared" si="15"/>
        <v>0</v>
      </c>
    </row>
    <row r="245" spans="1:20" ht="14.1" customHeight="1" x14ac:dyDescent="0.3">
      <c r="A245" s="582" t="s">
        <v>52</v>
      </c>
      <c r="B245" s="476" t="s">
        <v>41</v>
      </c>
      <c r="C245" s="386"/>
      <c r="D245" s="441"/>
      <c r="E245" s="390"/>
      <c r="F245" s="388"/>
      <c r="G245" s="386"/>
      <c r="H245" s="405"/>
      <c r="I245" s="386"/>
      <c r="J245" s="385"/>
      <c r="K245" s="386"/>
      <c r="L245" s="405"/>
      <c r="M245" s="386"/>
      <c r="N245" s="385"/>
      <c r="O245" s="396"/>
      <c r="P245" s="389"/>
      <c r="Q245" s="6"/>
      <c r="R245" s="582" t="s">
        <v>52</v>
      </c>
      <c r="S245" s="377" t="s">
        <v>41</v>
      </c>
      <c r="T245" s="182">
        <f t="shared" si="15"/>
        <v>0</v>
      </c>
    </row>
    <row r="246" spans="1:20" ht="14.1" customHeight="1" x14ac:dyDescent="0.3">
      <c r="A246" s="583"/>
      <c r="B246" s="476" t="s">
        <v>11</v>
      </c>
      <c r="C246" s="392"/>
      <c r="D246" s="442"/>
      <c r="E246" s="396"/>
      <c r="F246" s="394"/>
      <c r="G246" s="392"/>
      <c r="H246" s="425"/>
      <c r="I246" s="392"/>
      <c r="J246" s="443"/>
      <c r="K246" s="392"/>
      <c r="L246" s="425"/>
      <c r="M246" s="392"/>
      <c r="N246" s="391"/>
      <c r="O246" s="396"/>
      <c r="P246" s="395"/>
      <c r="Q246" s="6"/>
      <c r="R246" s="583"/>
      <c r="S246" s="377" t="s">
        <v>11</v>
      </c>
      <c r="T246" s="183">
        <f t="shared" si="15"/>
        <v>0</v>
      </c>
    </row>
    <row r="247" spans="1:20" ht="14.1" customHeight="1" thickBot="1" x14ac:dyDescent="0.35">
      <c r="A247" s="584"/>
      <c r="B247" s="477" t="s">
        <v>27</v>
      </c>
      <c r="C247" s="409"/>
      <c r="D247" s="423"/>
      <c r="E247" s="430"/>
      <c r="F247" s="404"/>
      <c r="G247" s="409"/>
      <c r="H247" s="408"/>
      <c r="I247" s="409"/>
      <c r="J247" s="391"/>
      <c r="K247" s="409"/>
      <c r="L247" s="408"/>
      <c r="M247" s="409"/>
      <c r="N247" s="406"/>
      <c r="O247" s="396"/>
      <c r="P247" s="395"/>
      <c r="Q247" s="6"/>
      <c r="R247" s="584"/>
      <c r="S247" s="378" t="s">
        <v>27</v>
      </c>
      <c r="T247" s="183">
        <f t="shared" si="15"/>
        <v>0</v>
      </c>
    </row>
    <row r="248" spans="1:20" ht="14.1" customHeight="1" thickBot="1" x14ac:dyDescent="0.35">
      <c r="A248" s="585" t="s">
        <v>30</v>
      </c>
      <c r="B248" s="586"/>
      <c r="C248" s="445"/>
      <c r="D248" s="444"/>
      <c r="E248" s="445"/>
      <c r="F248" s="446"/>
      <c r="G248" s="445"/>
      <c r="H248" s="447"/>
      <c r="I248" s="445"/>
      <c r="J248" s="448"/>
      <c r="K248" s="445"/>
      <c r="L248" s="447"/>
      <c r="M248" s="445"/>
      <c r="N248" s="448"/>
      <c r="O248" s="449"/>
      <c r="P248" s="450"/>
      <c r="Q248" s="6"/>
      <c r="R248" s="585" t="s">
        <v>30</v>
      </c>
      <c r="S248" s="587"/>
      <c r="T248" s="182">
        <f t="shared" si="15"/>
        <v>0</v>
      </c>
    </row>
    <row r="249" spans="1:20" ht="14.1" customHeight="1" x14ac:dyDescent="0.3">
      <c r="A249" s="588" t="s">
        <v>38</v>
      </c>
      <c r="B249" s="589"/>
      <c r="C249" s="451"/>
      <c r="D249" s="385"/>
      <c r="E249" s="451"/>
      <c r="F249" s="391"/>
      <c r="G249" s="451"/>
      <c r="H249" s="405"/>
      <c r="I249" s="451"/>
      <c r="J249" s="452"/>
      <c r="K249" s="453"/>
      <c r="L249" s="405"/>
      <c r="M249" s="451"/>
      <c r="N249" s="408"/>
      <c r="O249" s="451"/>
      <c r="P249" s="389"/>
      <c r="Q249" s="6"/>
      <c r="R249" s="594" t="s">
        <v>38</v>
      </c>
      <c r="S249" s="597"/>
      <c r="T249" s="598"/>
    </row>
    <row r="250" spans="1:20" ht="14.1" customHeight="1" x14ac:dyDescent="0.3">
      <c r="A250" s="590"/>
      <c r="B250" s="591"/>
      <c r="C250" s="453"/>
      <c r="D250" s="391"/>
      <c r="E250" s="453"/>
      <c r="F250" s="406"/>
      <c r="G250" s="453"/>
      <c r="H250" s="425"/>
      <c r="I250" s="453"/>
      <c r="J250" s="391"/>
      <c r="K250" s="454"/>
      <c r="L250" s="425"/>
      <c r="M250" s="453"/>
      <c r="N250" s="425"/>
      <c r="O250" s="453"/>
      <c r="P250" s="395"/>
      <c r="Q250" s="6"/>
      <c r="R250" s="595"/>
      <c r="S250" s="599"/>
      <c r="T250" s="600"/>
    </row>
    <row r="251" spans="1:20" ht="14.1" customHeight="1" x14ac:dyDescent="0.3">
      <c r="A251" s="590"/>
      <c r="B251" s="591"/>
      <c r="C251" s="453"/>
      <c r="D251" s="391"/>
      <c r="E251" s="453"/>
      <c r="F251" s="406"/>
      <c r="G251" s="453"/>
      <c r="H251" s="425"/>
      <c r="I251" s="453"/>
      <c r="J251" s="406"/>
      <c r="K251" s="453"/>
      <c r="L251" s="391"/>
      <c r="M251" s="453"/>
      <c r="N251" s="408"/>
      <c r="O251" s="453"/>
      <c r="P251" s="395"/>
      <c r="Q251" s="6"/>
      <c r="R251" s="595"/>
      <c r="S251" s="599"/>
      <c r="T251" s="600"/>
    </row>
    <row r="252" spans="1:20" ht="14.1" customHeight="1" thickBot="1" x14ac:dyDescent="0.35">
      <c r="A252" s="592"/>
      <c r="B252" s="593"/>
      <c r="C252" s="455"/>
      <c r="D252" s="397"/>
      <c r="E252" s="455"/>
      <c r="F252" s="456"/>
      <c r="G252" s="455"/>
      <c r="H252" s="420"/>
      <c r="I252" s="455"/>
      <c r="J252" s="400"/>
      <c r="K252" s="455"/>
      <c r="L252" s="400"/>
      <c r="M252" s="455"/>
      <c r="N252" s="397"/>
      <c r="O252" s="455"/>
      <c r="P252" s="401"/>
      <c r="Q252" s="6"/>
      <c r="R252" s="596"/>
      <c r="S252" s="601"/>
      <c r="T252" s="602"/>
    </row>
    <row r="253" spans="1:20" ht="18.95" customHeight="1" x14ac:dyDescent="0.3">
      <c r="A253" s="652" t="str">
        <f>A190</f>
        <v>ㅇㅇㅇ님 보장분석(전)</v>
      </c>
      <c r="B253" s="653"/>
      <c r="C253" s="649"/>
      <c r="D253" s="649"/>
      <c r="E253" s="649"/>
      <c r="F253" s="649"/>
      <c r="G253" s="649"/>
      <c r="H253" s="649"/>
      <c r="I253" s="649"/>
      <c r="J253" s="649"/>
      <c r="K253" s="649"/>
      <c r="L253" s="649"/>
      <c r="M253" s="649"/>
      <c r="N253" s="649"/>
      <c r="O253" s="649"/>
      <c r="P253" s="649"/>
      <c r="Q253" s="138"/>
      <c r="R253" s="650" t="s">
        <v>15</v>
      </c>
      <c r="S253" s="651"/>
      <c r="T253" s="137">
        <f ca="1">T190</f>
        <v>46140</v>
      </c>
    </row>
    <row r="254" spans="1:20" ht="14.1" customHeight="1" x14ac:dyDescent="0.3">
      <c r="A254" s="647" t="s">
        <v>49</v>
      </c>
      <c r="B254" s="648"/>
      <c r="C254" s="645"/>
      <c r="D254" s="645"/>
      <c r="E254" s="645"/>
      <c r="F254" s="645"/>
      <c r="G254" s="645"/>
      <c r="H254" s="645"/>
      <c r="I254" s="645"/>
      <c r="J254" s="645"/>
      <c r="K254" s="645"/>
      <c r="L254" s="645"/>
      <c r="M254" s="645"/>
      <c r="N254" s="645"/>
      <c r="O254" s="645"/>
      <c r="P254" s="645"/>
      <c r="Q254" s="25"/>
      <c r="R254" s="654"/>
      <c r="S254" s="655"/>
      <c r="T254" s="656"/>
    </row>
    <row r="255" spans="1:20" ht="14.1" customHeight="1" x14ac:dyDescent="0.3">
      <c r="A255" s="637" t="s">
        <v>28</v>
      </c>
      <c r="B255" s="638"/>
      <c r="C255" s="645"/>
      <c r="D255" s="645"/>
      <c r="E255" s="645"/>
      <c r="F255" s="645"/>
      <c r="G255" s="645"/>
      <c r="H255" s="645"/>
      <c r="I255" s="645"/>
      <c r="J255" s="645"/>
      <c r="K255" s="645"/>
      <c r="L255" s="645"/>
      <c r="M255" s="645"/>
      <c r="N255" s="645"/>
      <c r="O255" s="646"/>
      <c r="P255" s="646"/>
      <c r="Q255" s="25"/>
      <c r="R255" s="657"/>
      <c r="S255" s="658"/>
      <c r="T255" s="659"/>
    </row>
    <row r="256" spans="1:20" ht="14.1" customHeight="1" x14ac:dyDescent="0.3">
      <c r="A256" s="647" t="s">
        <v>17</v>
      </c>
      <c r="B256" s="648"/>
      <c r="C256" s="646"/>
      <c r="D256" s="645"/>
      <c r="E256" s="646"/>
      <c r="F256" s="646"/>
      <c r="G256" s="646"/>
      <c r="H256" s="646"/>
      <c r="I256" s="646"/>
      <c r="J256" s="645"/>
      <c r="K256" s="646"/>
      <c r="L256" s="645"/>
      <c r="M256" s="646"/>
      <c r="N256" s="645"/>
      <c r="O256" s="646"/>
      <c r="P256" s="646"/>
      <c r="Q256" s="25"/>
      <c r="R256" s="657"/>
      <c r="S256" s="658"/>
      <c r="T256" s="659"/>
    </row>
    <row r="257" spans="1:20" ht="14.1" customHeight="1" x14ac:dyDescent="0.3">
      <c r="A257" s="647" t="s">
        <v>23</v>
      </c>
      <c r="B257" s="648"/>
      <c r="C257" s="383"/>
      <c r="D257" s="382"/>
      <c r="E257" s="383"/>
      <c r="F257" s="382">
        <f ca="1">IF(DATEDIF(E256,$T$1,"m")&lt;E257*12,DATEDIF(E256,$T$1,"m"),E257*12)</f>
        <v>0</v>
      </c>
      <c r="G257" s="383"/>
      <c r="H257" s="382">
        <f ca="1">IF(DATEDIF(G256,$T$1,"m")&lt;G257*12,DATEDIF(G256,$T$1,"m"),G257*12)</f>
        <v>0</v>
      </c>
      <c r="I257" s="383"/>
      <c r="J257" s="382">
        <f ca="1">IF(DATEDIF(I256,$T$1,"m")&lt;I257*12,DATEDIF(I256,$T$1,"m"),I257*12)</f>
        <v>0</v>
      </c>
      <c r="K257" s="383"/>
      <c r="L257" s="382">
        <f ca="1">IF(DATEDIF(K256,$T$1,"m")&lt;K257*12,DATEDIF(K256,$T$1,"m"),K257*12)</f>
        <v>0</v>
      </c>
      <c r="M257" s="383"/>
      <c r="N257" s="384">
        <f ca="1">IF(DATEDIF(M256,$T$1,"m")&lt;M257*12,DATEDIF(M256,$T$1,"m"),M257*12)</f>
        <v>0</v>
      </c>
      <c r="O257" s="383"/>
      <c r="P257" s="382">
        <f ca="1">IF(DATEDIF(O256,$T$1,"m")&lt;O257*12,DATEDIF(O256,$T$1,"m"),O257*12)</f>
        <v>0</v>
      </c>
      <c r="Q257" s="25"/>
      <c r="R257" s="657"/>
      <c r="S257" s="658"/>
      <c r="T257" s="659"/>
    </row>
    <row r="258" spans="1:20" ht="14.1" customHeight="1" x14ac:dyDescent="0.3">
      <c r="A258" s="647" t="s">
        <v>2</v>
      </c>
      <c r="B258" s="648"/>
      <c r="C258" s="645"/>
      <c r="D258" s="645"/>
      <c r="E258" s="645"/>
      <c r="F258" s="645"/>
      <c r="G258" s="645"/>
      <c r="H258" s="645"/>
      <c r="I258" s="645"/>
      <c r="J258" s="645"/>
      <c r="K258" s="645"/>
      <c r="L258" s="645"/>
      <c r="M258" s="645"/>
      <c r="N258" s="645"/>
      <c r="O258" s="645"/>
      <c r="P258" s="645"/>
      <c r="Q258" s="25"/>
      <c r="R258" s="660"/>
      <c r="S258" s="661"/>
      <c r="T258" s="662"/>
    </row>
    <row r="259" spans="1:20" ht="14.1" customHeight="1" x14ac:dyDescent="0.3">
      <c r="A259" s="632" t="s">
        <v>37</v>
      </c>
      <c r="B259" s="633"/>
      <c r="C259" s="642"/>
      <c r="D259" s="642"/>
      <c r="E259" s="642"/>
      <c r="F259" s="642"/>
      <c r="G259" s="642"/>
      <c r="H259" s="642"/>
      <c r="I259" s="642"/>
      <c r="J259" s="642"/>
      <c r="K259" s="642"/>
      <c r="L259" s="642"/>
      <c r="M259" s="642"/>
      <c r="N259" s="642"/>
      <c r="O259" s="642"/>
      <c r="P259" s="642"/>
      <c r="Q259" s="25"/>
      <c r="R259" s="643"/>
      <c r="S259" s="644"/>
      <c r="T259" s="27" t="s">
        <v>91</v>
      </c>
    </row>
    <row r="260" spans="1:20" ht="14.1" customHeight="1" x14ac:dyDescent="0.3">
      <c r="A260" s="639" t="s">
        <v>12</v>
      </c>
      <c r="B260" s="640"/>
      <c r="C260" s="641"/>
      <c r="D260" s="641"/>
      <c r="E260" s="641"/>
      <c r="F260" s="641"/>
      <c r="G260" s="641"/>
      <c r="H260" s="641"/>
      <c r="I260" s="641"/>
      <c r="J260" s="641"/>
      <c r="K260" s="641"/>
      <c r="L260" s="641"/>
      <c r="M260" s="641"/>
      <c r="N260" s="641"/>
      <c r="O260" s="641"/>
      <c r="P260" s="641"/>
      <c r="Q260" s="26"/>
      <c r="R260" s="635" t="s">
        <v>34</v>
      </c>
      <c r="S260" s="636"/>
      <c r="T260" s="60">
        <f>T197+C260+E260+G260+I260+K260+O260</f>
        <v>0</v>
      </c>
    </row>
    <row r="261" spans="1:20" ht="14.1" customHeight="1" x14ac:dyDescent="0.3">
      <c r="A261" s="637" t="s">
        <v>3</v>
      </c>
      <c r="B261" s="638"/>
      <c r="C261" s="634"/>
      <c r="D261" s="634"/>
      <c r="E261" s="634">
        <f>E260*E257*12</f>
        <v>0</v>
      </c>
      <c r="F261" s="634"/>
      <c r="G261" s="634">
        <f>G260*G257*12</f>
        <v>0</v>
      </c>
      <c r="H261" s="634"/>
      <c r="I261" s="634">
        <f>I260*I257*12</f>
        <v>0</v>
      </c>
      <c r="J261" s="634"/>
      <c r="K261" s="634">
        <f>K260*K257*12</f>
        <v>0</v>
      </c>
      <c r="L261" s="634"/>
      <c r="M261" s="634">
        <f>M260*M257*12</f>
        <v>0</v>
      </c>
      <c r="N261" s="634"/>
      <c r="O261" s="634">
        <f>O260*O257*12</f>
        <v>0</v>
      </c>
      <c r="P261" s="634"/>
      <c r="Q261" s="26"/>
      <c r="R261" s="635" t="s">
        <v>33</v>
      </c>
      <c r="S261" s="636"/>
      <c r="T261" s="51">
        <f>T198+C261+E261+G261+I261+K261+O261</f>
        <v>0</v>
      </c>
    </row>
    <row r="262" spans="1:20" ht="14.1" customHeight="1" x14ac:dyDescent="0.3">
      <c r="A262" s="637" t="s">
        <v>4</v>
      </c>
      <c r="B262" s="638"/>
      <c r="C262" s="634"/>
      <c r="D262" s="634"/>
      <c r="E262" s="634">
        <f ca="1">E260*F257</f>
        <v>0</v>
      </c>
      <c r="F262" s="634"/>
      <c r="G262" s="634">
        <f ca="1">G260*H257</f>
        <v>0</v>
      </c>
      <c r="H262" s="634"/>
      <c r="I262" s="634">
        <f ca="1">I260*J257</f>
        <v>0</v>
      </c>
      <c r="J262" s="634"/>
      <c r="K262" s="634">
        <f ca="1">K260*L257</f>
        <v>0</v>
      </c>
      <c r="L262" s="634"/>
      <c r="M262" s="634">
        <f ca="1">M260*N257</f>
        <v>0</v>
      </c>
      <c r="N262" s="634"/>
      <c r="O262" s="634">
        <f ca="1">O260*P257</f>
        <v>0</v>
      </c>
      <c r="P262" s="634"/>
      <c r="Q262" s="26"/>
      <c r="R262" s="635" t="s">
        <v>31</v>
      </c>
      <c r="S262" s="636"/>
      <c r="T262" s="51">
        <f ca="1">T199+C262+E262+G262+I262+K262+O262</f>
        <v>0</v>
      </c>
    </row>
    <row r="263" spans="1:20" ht="14.1" customHeight="1" thickBot="1" x14ac:dyDescent="0.35">
      <c r="A263" s="632" t="s">
        <v>18</v>
      </c>
      <c r="B263" s="633"/>
      <c r="C263" s="634"/>
      <c r="D263" s="634"/>
      <c r="E263" s="634">
        <f ca="1">E261-E262</f>
        <v>0</v>
      </c>
      <c r="F263" s="634"/>
      <c r="G263" s="634">
        <f ca="1">G261-G262</f>
        <v>0</v>
      </c>
      <c r="H263" s="634"/>
      <c r="I263" s="634">
        <f ca="1">I261-I262</f>
        <v>0</v>
      </c>
      <c r="J263" s="634"/>
      <c r="K263" s="634">
        <f ca="1">K261-K262</f>
        <v>0</v>
      </c>
      <c r="L263" s="634"/>
      <c r="M263" s="634">
        <f ca="1">M261-M262</f>
        <v>0</v>
      </c>
      <c r="N263" s="634"/>
      <c r="O263" s="634">
        <f ca="1">O261-O262</f>
        <v>0</v>
      </c>
      <c r="P263" s="634"/>
      <c r="Q263" s="26"/>
      <c r="R263" s="619" t="s">
        <v>35</v>
      </c>
      <c r="S263" s="620"/>
      <c r="T263" s="52">
        <f ca="1">T200+C263+E263+G263+I263+K263+O263</f>
        <v>0</v>
      </c>
    </row>
    <row r="264" spans="1:20" ht="14.1" customHeight="1" x14ac:dyDescent="0.3">
      <c r="A264" s="621" t="s">
        <v>202</v>
      </c>
      <c r="B264" s="457" t="s">
        <v>149</v>
      </c>
      <c r="C264" s="386"/>
      <c r="D264" s="385"/>
      <c r="E264" s="386"/>
      <c r="F264" s="387"/>
      <c r="G264" s="386"/>
      <c r="H264" s="388"/>
      <c r="I264" s="386"/>
      <c r="J264" s="388"/>
      <c r="K264" s="386"/>
      <c r="L264" s="385"/>
      <c r="M264" s="386"/>
      <c r="N264" s="389"/>
      <c r="O264" s="390"/>
      <c r="P264" s="389"/>
      <c r="Q264" s="6"/>
      <c r="R264" s="621" t="s">
        <v>202</v>
      </c>
      <c r="S264" s="352" t="s">
        <v>149</v>
      </c>
      <c r="T264" s="182">
        <f t="shared" ref="T264:T311" si="16">T201+C264+E264+G264+I264+K264+M264+O264</f>
        <v>0</v>
      </c>
    </row>
    <row r="265" spans="1:20" ht="14.1" customHeight="1" x14ac:dyDescent="0.3">
      <c r="A265" s="622"/>
      <c r="B265" s="458" t="s">
        <v>150</v>
      </c>
      <c r="C265" s="392"/>
      <c r="D265" s="391"/>
      <c r="E265" s="392"/>
      <c r="F265" s="393"/>
      <c r="G265" s="392"/>
      <c r="H265" s="394"/>
      <c r="I265" s="392"/>
      <c r="J265" s="394"/>
      <c r="K265" s="392"/>
      <c r="L265" s="391"/>
      <c r="M265" s="392"/>
      <c r="N265" s="395"/>
      <c r="O265" s="396"/>
      <c r="P265" s="395"/>
      <c r="Q265" s="6"/>
      <c r="R265" s="622"/>
      <c r="S265" s="353" t="s">
        <v>150</v>
      </c>
      <c r="T265" s="183">
        <f t="shared" si="16"/>
        <v>0</v>
      </c>
    </row>
    <row r="266" spans="1:20" ht="14.1" customHeight="1" x14ac:dyDescent="0.3">
      <c r="A266" s="622"/>
      <c r="B266" s="458" t="s">
        <v>151</v>
      </c>
      <c r="C266" s="392"/>
      <c r="D266" s="391"/>
      <c r="E266" s="392"/>
      <c r="F266" s="393"/>
      <c r="G266" s="392"/>
      <c r="H266" s="394"/>
      <c r="I266" s="392"/>
      <c r="J266" s="394"/>
      <c r="K266" s="392"/>
      <c r="L266" s="391"/>
      <c r="M266" s="392"/>
      <c r="N266" s="395"/>
      <c r="O266" s="396"/>
      <c r="P266" s="395"/>
      <c r="Q266" s="6"/>
      <c r="R266" s="622"/>
      <c r="S266" s="353" t="s">
        <v>151</v>
      </c>
      <c r="T266" s="183">
        <f t="shared" si="16"/>
        <v>0</v>
      </c>
    </row>
    <row r="267" spans="1:20" ht="14.1" customHeight="1" x14ac:dyDescent="0.3">
      <c r="A267" s="622"/>
      <c r="B267" s="458" t="s">
        <v>148</v>
      </c>
      <c r="C267" s="392"/>
      <c r="D267" s="391"/>
      <c r="E267" s="392"/>
      <c r="F267" s="393"/>
      <c r="G267" s="392"/>
      <c r="H267" s="394"/>
      <c r="I267" s="392"/>
      <c r="J267" s="394"/>
      <c r="K267" s="392"/>
      <c r="L267" s="391"/>
      <c r="M267" s="392"/>
      <c r="N267" s="395"/>
      <c r="O267" s="396"/>
      <c r="P267" s="395"/>
      <c r="Q267" s="6"/>
      <c r="R267" s="622"/>
      <c r="S267" s="353" t="s">
        <v>148</v>
      </c>
      <c r="T267" s="183">
        <f t="shared" si="16"/>
        <v>0</v>
      </c>
    </row>
    <row r="268" spans="1:20" ht="14.1" customHeight="1" thickBot="1" x14ac:dyDescent="0.35">
      <c r="A268" s="623"/>
      <c r="B268" s="459" t="s">
        <v>89</v>
      </c>
      <c r="C268" s="398"/>
      <c r="D268" s="397"/>
      <c r="E268" s="398"/>
      <c r="F268" s="399"/>
      <c r="G268" s="398"/>
      <c r="H268" s="400"/>
      <c r="I268" s="398"/>
      <c r="J268" s="400"/>
      <c r="K268" s="398"/>
      <c r="L268" s="397"/>
      <c r="M268" s="398"/>
      <c r="N268" s="401"/>
      <c r="O268" s="402"/>
      <c r="P268" s="401"/>
      <c r="Q268" s="6"/>
      <c r="R268" s="623"/>
      <c r="S268" s="354" t="s">
        <v>89</v>
      </c>
      <c r="T268" s="184">
        <f t="shared" si="16"/>
        <v>0</v>
      </c>
    </row>
    <row r="269" spans="1:20" ht="14.1" customHeight="1" x14ac:dyDescent="0.3">
      <c r="A269" s="624" t="s">
        <v>50</v>
      </c>
      <c r="B269" s="460" t="s">
        <v>203</v>
      </c>
      <c r="C269" s="386"/>
      <c r="D269" s="403"/>
      <c r="E269" s="386"/>
      <c r="F269" s="388"/>
      <c r="G269" s="386"/>
      <c r="H269" s="388"/>
      <c r="I269" s="386"/>
      <c r="J269" s="388"/>
      <c r="K269" s="386"/>
      <c r="L269" s="405"/>
      <c r="M269" s="386"/>
      <c r="N269" s="385"/>
      <c r="O269" s="386"/>
      <c r="P269" s="389"/>
      <c r="Q269" s="6"/>
      <c r="R269" s="626" t="s">
        <v>50</v>
      </c>
      <c r="S269" s="490" t="s">
        <v>168</v>
      </c>
      <c r="T269" s="182">
        <f t="shared" si="16"/>
        <v>0</v>
      </c>
    </row>
    <row r="270" spans="1:20" ht="14.1" customHeight="1" x14ac:dyDescent="0.3">
      <c r="A270" s="625"/>
      <c r="B270" s="481" t="s">
        <v>205</v>
      </c>
      <c r="C270" s="392"/>
      <c r="D270" s="407"/>
      <c r="E270" s="392"/>
      <c r="F270" s="404"/>
      <c r="G270" s="392"/>
      <c r="H270" s="404"/>
      <c r="I270" s="392"/>
      <c r="J270" s="404"/>
      <c r="K270" s="392"/>
      <c r="L270" s="408"/>
      <c r="M270" s="392"/>
      <c r="N270" s="406"/>
      <c r="O270" s="409"/>
      <c r="P270" s="410"/>
      <c r="Q270" s="6"/>
      <c r="R270" s="627"/>
      <c r="S270" s="491" t="s">
        <v>213</v>
      </c>
      <c r="T270" s="183">
        <f t="shared" si="16"/>
        <v>0</v>
      </c>
    </row>
    <row r="271" spans="1:20" ht="14.1" customHeight="1" thickBot="1" x14ac:dyDescent="0.35">
      <c r="A271" s="625"/>
      <c r="B271" s="553" t="s">
        <v>211</v>
      </c>
      <c r="C271" s="398"/>
      <c r="D271" s="564"/>
      <c r="E271" s="398"/>
      <c r="F271" s="534"/>
      <c r="G271" s="398"/>
      <c r="H271" s="534"/>
      <c r="I271" s="398"/>
      <c r="J271" s="534"/>
      <c r="K271" s="398"/>
      <c r="L271" s="436"/>
      <c r="M271" s="435"/>
      <c r="N271" s="437"/>
      <c r="O271" s="435"/>
      <c r="P271" s="565"/>
      <c r="Q271" s="6"/>
      <c r="R271" s="627"/>
      <c r="S271" s="566" t="s">
        <v>214</v>
      </c>
      <c r="T271" s="183">
        <f t="shared" si="16"/>
        <v>0</v>
      </c>
    </row>
    <row r="272" spans="1:20" ht="14.1" customHeight="1" x14ac:dyDescent="0.3">
      <c r="A272" s="625"/>
      <c r="B272" s="554" t="s">
        <v>163</v>
      </c>
      <c r="C272" s="409"/>
      <c r="D272" s="407"/>
      <c r="E272" s="409"/>
      <c r="F272" s="404"/>
      <c r="G272" s="409"/>
      <c r="H272" s="404"/>
      <c r="I272" s="409"/>
      <c r="J272" s="404"/>
      <c r="K272" s="409"/>
      <c r="L272" s="408"/>
      <c r="M272" s="409"/>
      <c r="N272" s="406"/>
      <c r="O272" s="409"/>
      <c r="P272" s="410"/>
      <c r="Q272" s="6"/>
      <c r="R272" s="627"/>
      <c r="S272" s="343" t="s">
        <v>212</v>
      </c>
      <c r="T272" s="182">
        <f t="shared" si="16"/>
        <v>0</v>
      </c>
    </row>
    <row r="273" spans="1:20" ht="14.1" customHeight="1" x14ac:dyDescent="0.3">
      <c r="A273" s="625"/>
      <c r="B273" s="555" t="s">
        <v>162</v>
      </c>
      <c r="C273" s="392"/>
      <c r="D273" s="407"/>
      <c r="E273" s="392"/>
      <c r="F273" s="404"/>
      <c r="G273" s="392"/>
      <c r="H273" s="404"/>
      <c r="I273" s="392"/>
      <c r="J273" s="404"/>
      <c r="K273" s="392"/>
      <c r="L273" s="408"/>
      <c r="M273" s="409"/>
      <c r="N273" s="406"/>
      <c r="O273" s="409"/>
      <c r="P273" s="410"/>
      <c r="Q273" s="6"/>
      <c r="R273" s="627"/>
      <c r="S273" s="326" t="s">
        <v>162</v>
      </c>
      <c r="T273" s="183">
        <f t="shared" si="16"/>
        <v>0</v>
      </c>
    </row>
    <row r="274" spans="1:20" ht="14.1" customHeight="1" x14ac:dyDescent="0.3">
      <c r="A274" s="625"/>
      <c r="B274" s="556" t="s">
        <v>164</v>
      </c>
      <c r="C274" s="392"/>
      <c r="D274" s="407"/>
      <c r="E274" s="392"/>
      <c r="F274" s="404"/>
      <c r="G274" s="392"/>
      <c r="H274" s="404"/>
      <c r="I274" s="392"/>
      <c r="J274" s="404"/>
      <c r="K274" s="392"/>
      <c r="L274" s="408"/>
      <c r="M274" s="409"/>
      <c r="N274" s="406"/>
      <c r="O274" s="409"/>
      <c r="P274" s="410"/>
      <c r="Q274" s="6"/>
      <c r="R274" s="627"/>
      <c r="S274" s="343" t="s">
        <v>164</v>
      </c>
      <c r="T274" s="183">
        <f t="shared" si="16"/>
        <v>0</v>
      </c>
    </row>
    <row r="275" spans="1:20" ht="14.1" customHeight="1" x14ac:dyDescent="0.3">
      <c r="A275" s="625"/>
      <c r="B275" s="555" t="s">
        <v>165</v>
      </c>
      <c r="C275" s="392"/>
      <c r="D275" s="407"/>
      <c r="E275" s="392"/>
      <c r="F275" s="404"/>
      <c r="G275" s="392"/>
      <c r="H275" s="404"/>
      <c r="I275" s="392"/>
      <c r="J275" s="404"/>
      <c r="K275" s="392"/>
      <c r="L275" s="408"/>
      <c r="M275" s="409"/>
      <c r="N275" s="406"/>
      <c r="O275" s="409"/>
      <c r="P275" s="410"/>
      <c r="Q275" s="6"/>
      <c r="R275" s="627"/>
      <c r="S275" s="326" t="s">
        <v>165</v>
      </c>
      <c r="T275" s="183">
        <f t="shared" si="16"/>
        <v>0</v>
      </c>
    </row>
    <row r="276" spans="1:20" ht="14.1" customHeight="1" x14ac:dyDescent="0.3">
      <c r="A276" s="625"/>
      <c r="B276" s="555" t="s">
        <v>184</v>
      </c>
      <c r="C276" s="392"/>
      <c r="D276" s="407"/>
      <c r="E276" s="392"/>
      <c r="F276" s="404"/>
      <c r="G276" s="392"/>
      <c r="H276" s="404"/>
      <c r="I276" s="392"/>
      <c r="J276" s="404"/>
      <c r="K276" s="392"/>
      <c r="L276" s="408"/>
      <c r="M276" s="409"/>
      <c r="N276" s="406"/>
      <c r="O276" s="409"/>
      <c r="P276" s="410"/>
      <c r="Q276" s="6"/>
      <c r="R276" s="627"/>
      <c r="S276" s="326" t="s">
        <v>184</v>
      </c>
      <c r="T276" s="183">
        <f t="shared" si="16"/>
        <v>0</v>
      </c>
    </row>
    <row r="277" spans="1:20" ht="14.1" customHeight="1" x14ac:dyDescent="0.3">
      <c r="A277" s="625"/>
      <c r="B277" s="555" t="s">
        <v>185</v>
      </c>
      <c r="C277" s="392"/>
      <c r="D277" s="407"/>
      <c r="E277" s="392"/>
      <c r="F277" s="404"/>
      <c r="G277" s="392"/>
      <c r="H277" s="404"/>
      <c r="I277" s="392"/>
      <c r="J277" s="404"/>
      <c r="K277" s="392"/>
      <c r="L277" s="408"/>
      <c r="M277" s="409"/>
      <c r="N277" s="406"/>
      <c r="O277" s="409"/>
      <c r="P277" s="410"/>
      <c r="Q277" s="6"/>
      <c r="R277" s="627"/>
      <c r="S277" s="326" t="s">
        <v>185</v>
      </c>
      <c r="T277" s="183">
        <f t="shared" si="16"/>
        <v>0</v>
      </c>
    </row>
    <row r="278" spans="1:20" ht="14.1" customHeight="1" x14ac:dyDescent="0.3">
      <c r="A278" s="625"/>
      <c r="B278" s="556" t="s">
        <v>166</v>
      </c>
      <c r="C278" s="392"/>
      <c r="D278" s="407"/>
      <c r="E278" s="411"/>
      <c r="F278" s="406"/>
      <c r="G278" s="411"/>
      <c r="H278" s="404"/>
      <c r="I278" s="411"/>
      <c r="J278" s="404"/>
      <c r="K278" s="411"/>
      <c r="L278" s="408"/>
      <c r="M278" s="412"/>
      <c r="N278" s="406"/>
      <c r="O278" s="409"/>
      <c r="P278" s="410"/>
      <c r="Q278" s="6"/>
      <c r="R278" s="627"/>
      <c r="S278" s="343" t="s">
        <v>166</v>
      </c>
      <c r="T278" s="183">
        <f t="shared" si="16"/>
        <v>0</v>
      </c>
    </row>
    <row r="279" spans="1:20" ht="14.1" customHeight="1" x14ac:dyDescent="0.3">
      <c r="A279" s="625"/>
      <c r="B279" s="555" t="s">
        <v>167</v>
      </c>
      <c r="C279" s="411"/>
      <c r="D279" s="413"/>
      <c r="E279" s="411"/>
      <c r="F279" s="406"/>
      <c r="G279" s="411"/>
      <c r="H279" s="404"/>
      <c r="I279" s="411"/>
      <c r="J279" s="404"/>
      <c r="K279" s="411"/>
      <c r="L279" s="408"/>
      <c r="M279" s="412"/>
      <c r="N279" s="406"/>
      <c r="O279" s="412"/>
      <c r="P279" s="414"/>
      <c r="Q279" s="6"/>
      <c r="R279" s="627"/>
      <c r="S279" s="326" t="s">
        <v>167</v>
      </c>
      <c r="T279" s="183">
        <f t="shared" si="16"/>
        <v>0</v>
      </c>
    </row>
    <row r="280" spans="1:20" ht="14.1" customHeight="1" thickBot="1" x14ac:dyDescent="0.35">
      <c r="A280" s="625"/>
      <c r="B280" s="557" t="s">
        <v>186</v>
      </c>
      <c r="C280" s="398"/>
      <c r="D280" s="397"/>
      <c r="E280" s="398"/>
      <c r="F280" s="415"/>
      <c r="G280" s="398"/>
      <c r="H280" s="404"/>
      <c r="I280" s="398"/>
      <c r="J280" s="404"/>
      <c r="K280" s="398"/>
      <c r="L280" s="408"/>
      <c r="M280" s="398"/>
      <c r="N280" s="406"/>
      <c r="O280" s="402"/>
      <c r="P280" s="401"/>
      <c r="Q280" s="6"/>
      <c r="R280" s="627"/>
      <c r="S280" s="327" t="s">
        <v>186</v>
      </c>
      <c r="T280" s="184">
        <f t="shared" si="16"/>
        <v>0</v>
      </c>
    </row>
    <row r="281" spans="1:20" ht="14.1" customHeight="1" x14ac:dyDescent="0.3">
      <c r="A281" s="628" t="s">
        <v>19</v>
      </c>
      <c r="B281" s="461" t="s">
        <v>193</v>
      </c>
      <c r="C281" s="392"/>
      <c r="D281" s="385"/>
      <c r="E281" s="392"/>
      <c r="F281" s="388"/>
      <c r="G281" s="392"/>
      <c r="H281" s="388"/>
      <c r="I281" s="392"/>
      <c r="J281" s="388"/>
      <c r="K281" s="392"/>
      <c r="L281" s="405"/>
      <c r="M281" s="386"/>
      <c r="N281" s="385"/>
      <c r="O281" s="396"/>
      <c r="P281" s="389"/>
      <c r="Q281" s="6"/>
      <c r="R281" s="630" t="s">
        <v>19</v>
      </c>
      <c r="S281" s="379" t="s">
        <v>51</v>
      </c>
      <c r="T281" s="182">
        <f t="shared" si="16"/>
        <v>0</v>
      </c>
    </row>
    <row r="282" spans="1:20" ht="14.1" customHeight="1" x14ac:dyDescent="0.3">
      <c r="A282" s="629"/>
      <c r="B282" s="462" t="s">
        <v>194</v>
      </c>
      <c r="C282" s="392"/>
      <c r="D282" s="406"/>
      <c r="E282" s="409"/>
      <c r="F282" s="404"/>
      <c r="G282" s="392"/>
      <c r="H282" s="404"/>
      <c r="I282" s="392"/>
      <c r="J282" s="404"/>
      <c r="K282" s="392"/>
      <c r="L282" s="408"/>
      <c r="M282" s="409"/>
      <c r="N282" s="406"/>
      <c r="O282" s="396"/>
      <c r="P282" s="410"/>
      <c r="Q282" s="6"/>
      <c r="R282" s="631"/>
      <c r="S282" s="380" t="s">
        <v>43</v>
      </c>
      <c r="T282" s="183">
        <f t="shared" si="16"/>
        <v>0</v>
      </c>
    </row>
    <row r="283" spans="1:20" ht="14.1" customHeight="1" thickBot="1" x14ac:dyDescent="0.35">
      <c r="A283" s="629"/>
      <c r="B283" s="463" t="s">
        <v>195</v>
      </c>
      <c r="C283" s="412"/>
      <c r="D283" s="416"/>
      <c r="E283" s="412"/>
      <c r="F283" s="417"/>
      <c r="G283" s="412"/>
      <c r="H283" s="417"/>
      <c r="I283" s="412"/>
      <c r="J283" s="417"/>
      <c r="K283" s="412"/>
      <c r="L283" s="418"/>
      <c r="M283" s="412"/>
      <c r="N283" s="416"/>
      <c r="O283" s="419"/>
      <c r="P283" s="414"/>
      <c r="Q283" s="6"/>
      <c r="R283" s="631"/>
      <c r="S283" s="381" t="s">
        <v>53</v>
      </c>
      <c r="T283" s="183">
        <f t="shared" si="16"/>
        <v>0</v>
      </c>
    </row>
    <row r="284" spans="1:20" ht="14.1" customHeight="1" x14ac:dyDescent="0.3">
      <c r="A284" s="629"/>
      <c r="B284" s="461" t="s">
        <v>196</v>
      </c>
      <c r="C284" s="386"/>
      <c r="D284" s="385"/>
      <c r="E284" s="386"/>
      <c r="F284" s="388"/>
      <c r="G284" s="386"/>
      <c r="H284" s="388"/>
      <c r="I284" s="386"/>
      <c r="J284" s="388"/>
      <c r="K284" s="386"/>
      <c r="L284" s="405"/>
      <c r="M284" s="386"/>
      <c r="N284" s="385"/>
      <c r="O284" s="390"/>
      <c r="P284" s="389"/>
      <c r="Q284" s="6"/>
      <c r="R284" s="631"/>
      <c r="S284" s="358" t="s">
        <v>65</v>
      </c>
      <c r="T284" s="182">
        <f t="shared" si="16"/>
        <v>0</v>
      </c>
    </row>
    <row r="285" spans="1:20" ht="14.1" customHeight="1" x14ac:dyDescent="0.3">
      <c r="A285" s="629"/>
      <c r="B285" s="488" t="s">
        <v>197</v>
      </c>
      <c r="C285" s="392"/>
      <c r="D285" s="406"/>
      <c r="E285" s="392"/>
      <c r="F285" s="404"/>
      <c r="G285" s="392"/>
      <c r="H285" s="404"/>
      <c r="I285" s="392"/>
      <c r="J285" s="404"/>
      <c r="K285" s="392"/>
      <c r="L285" s="408"/>
      <c r="M285" s="392"/>
      <c r="N285" s="406"/>
      <c r="O285" s="396"/>
      <c r="P285" s="410"/>
      <c r="Q285" s="6"/>
      <c r="R285" s="631"/>
      <c r="S285" s="359" t="s">
        <v>8</v>
      </c>
      <c r="T285" s="183">
        <f t="shared" si="16"/>
        <v>0</v>
      </c>
    </row>
    <row r="286" spans="1:20" ht="14.1" customHeight="1" thickBot="1" x14ac:dyDescent="0.35">
      <c r="A286" s="629"/>
      <c r="B286" s="489" t="s">
        <v>198</v>
      </c>
      <c r="C286" s="398"/>
      <c r="D286" s="397"/>
      <c r="E286" s="398"/>
      <c r="F286" s="400"/>
      <c r="G286" s="398"/>
      <c r="H286" s="400"/>
      <c r="I286" s="398"/>
      <c r="J286" s="400"/>
      <c r="K286" s="398"/>
      <c r="L286" s="420"/>
      <c r="M286" s="398"/>
      <c r="N286" s="397"/>
      <c r="O286" s="402"/>
      <c r="P286" s="421"/>
      <c r="Q286" s="6"/>
      <c r="R286" s="631"/>
      <c r="S286" s="360" t="s">
        <v>5</v>
      </c>
      <c r="T286" s="183">
        <f t="shared" si="16"/>
        <v>0</v>
      </c>
    </row>
    <row r="287" spans="1:20" ht="14.1" customHeight="1" x14ac:dyDescent="0.3">
      <c r="A287" s="629"/>
      <c r="B287" s="461" t="s">
        <v>210</v>
      </c>
      <c r="C287" s="386"/>
      <c r="D287" s="385"/>
      <c r="E287" s="386"/>
      <c r="F287" s="388"/>
      <c r="G287" s="386"/>
      <c r="H287" s="388"/>
      <c r="I287" s="386"/>
      <c r="J287" s="388"/>
      <c r="K287" s="386"/>
      <c r="L287" s="405"/>
      <c r="M287" s="386"/>
      <c r="N287" s="385"/>
      <c r="O287" s="390"/>
      <c r="P287" s="389"/>
      <c r="Q287" s="6"/>
      <c r="R287" s="631"/>
      <c r="S287" s="361" t="s">
        <v>199</v>
      </c>
      <c r="T287" s="182">
        <f t="shared" si="16"/>
        <v>0</v>
      </c>
    </row>
    <row r="288" spans="1:20" ht="14.1" customHeight="1" x14ac:dyDescent="0.3">
      <c r="A288" s="629"/>
      <c r="B288" s="488" t="s">
        <v>200</v>
      </c>
      <c r="C288" s="392"/>
      <c r="D288" s="406"/>
      <c r="E288" s="392"/>
      <c r="F288" s="404"/>
      <c r="G288" s="392"/>
      <c r="H288" s="404"/>
      <c r="I288" s="392"/>
      <c r="J288" s="404"/>
      <c r="K288" s="392"/>
      <c r="L288" s="408"/>
      <c r="M288" s="392"/>
      <c r="N288" s="406"/>
      <c r="O288" s="396"/>
      <c r="P288" s="410"/>
      <c r="Q288" s="6"/>
      <c r="R288" s="631"/>
      <c r="S288" s="362" t="s">
        <v>200</v>
      </c>
      <c r="T288" s="183">
        <f t="shared" si="16"/>
        <v>0</v>
      </c>
    </row>
    <row r="289" spans="1:20" ht="14.1" customHeight="1" thickBot="1" x14ac:dyDescent="0.35">
      <c r="A289" s="629"/>
      <c r="B289" s="489" t="s">
        <v>209</v>
      </c>
      <c r="C289" s="398"/>
      <c r="D289" s="397"/>
      <c r="E289" s="398"/>
      <c r="F289" s="400"/>
      <c r="G289" s="398"/>
      <c r="H289" s="400"/>
      <c r="I289" s="398"/>
      <c r="J289" s="400"/>
      <c r="K289" s="398"/>
      <c r="L289" s="420"/>
      <c r="M289" s="398"/>
      <c r="N289" s="397"/>
      <c r="O289" s="402"/>
      <c r="P289" s="421"/>
      <c r="Q289" s="6"/>
      <c r="R289" s="631"/>
      <c r="S289" s="363" t="s">
        <v>201</v>
      </c>
      <c r="T289" s="183">
        <f t="shared" si="16"/>
        <v>0</v>
      </c>
    </row>
    <row r="290" spans="1:20" ht="14.1" customHeight="1" x14ac:dyDescent="0.3">
      <c r="A290" s="611" t="s">
        <v>16</v>
      </c>
      <c r="B290" s="464" t="s">
        <v>36</v>
      </c>
      <c r="C290" s="386"/>
      <c r="D290" s="422"/>
      <c r="E290" s="386"/>
      <c r="F290" s="388"/>
      <c r="G290" s="386"/>
      <c r="H290" s="388"/>
      <c r="I290" s="386"/>
      <c r="J290" s="388"/>
      <c r="K290" s="386"/>
      <c r="L290" s="405"/>
      <c r="M290" s="386"/>
      <c r="N290" s="385"/>
      <c r="O290" s="390"/>
      <c r="P290" s="389"/>
      <c r="Q290" s="6"/>
      <c r="R290" s="611" t="s">
        <v>16</v>
      </c>
      <c r="S290" s="364" t="s">
        <v>36</v>
      </c>
      <c r="T290" s="182">
        <f t="shared" si="16"/>
        <v>0</v>
      </c>
    </row>
    <row r="291" spans="1:20" ht="14.1" customHeight="1" x14ac:dyDescent="0.3">
      <c r="A291" s="612"/>
      <c r="B291" s="465" t="s">
        <v>81</v>
      </c>
      <c r="C291" s="392"/>
      <c r="D291" s="423"/>
      <c r="E291" s="392"/>
      <c r="F291" s="424"/>
      <c r="G291" s="392"/>
      <c r="H291" s="394"/>
      <c r="I291" s="392"/>
      <c r="J291" s="394"/>
      <c r="K291" s="392"/>
      <c r="L291" s="425"/>
      <c r="M291" s="392"/>
      <c r="N291" s="391"/>
      <c r="O291" s="396"/>
      <c r="P291" s="395"/>
      <c r="Q291" s="6"/>
      <c r="R291" s="612"/>
      <c r="S291" s="365" t="s">
        <v>81</v>
      </c>
      <c r="T291" s="183">
        <f t="shared" si="16"/>
        <v>0</v>
      </c>
    </row>
    <row r="292" spans="1:20" ht="14.1" customHeight="1" x14ac:dyDescent="0.3">
      <c r="A292" s="612"/>
      <c r="B292" s="465" t="s">
        <v>78</v>
      </c>
      <c r="C292" s="392"/>
      <c r="D292" s="426"/>
      <c r="E292" s="392"/>
      <c r="F292" s="426"/>
      <c r="G292" s="392"/>
      <c r="H292" s="391"/>
      <c r="I292" s="392"/>
      <c r="J292" s="391"/>
      <c r="K292" s="392"/>
      <c r="L292" s="425"/>
      <c r="M292" s="392"/>
      <c r="N292" s="391"/>
      <c r="O292" s="396"/>
      <c r="P292" s="395"/>
      <c r="Q292" s="6"/>
      <c r="R292" s="612"/>
      <c r="S292" s="365" t="s">
        <v>78</v>
      </c>
      <c r="T292" s="183">
        <f t="shared" si="16"/>
        <v>0</v>
      </c>
    </row>
    <row r="293" spans="1:20" ht="14.1" customHeight="1" thickBot="1" x14ac:dyDescent="0.35">
      <c r="A293" s="613"/>
      <c r="B293" s="466" t="s">
        <v>87</v>
      </c>
      <c r="C293" s="398"/>
      <c r="D293" s="427"/>
      <c r="E293" s="398"/>
      <c r="F293" s="427"/>
      <c r="G293" s="392"/>
      <c r="H293" s="397"/>
      <c r="I293" s="392"/>
      <c r="J293" s="397"/>
      <c r="K293" s="392"/>
      <c r="L293" s="420"/>
      <c r="M293" s="398"/>
      <c r="N293" s="397"/>
      <c r="O293" s="402"/>
      <c r="P293" s="401"/>
      <c r="Q293" s="6"/>
      <c r="R293" s="613"/>
      <c r="S293" s="366" t="s">
        <v>87</v>
      </c>
      <c r="T293" s="183">
        <f t="shared" si="16"/>
        <v>0</v>
      </c>
    </row>
    <row r="294" spans="1:20" ht="14.1" customHeight="1" x14ac:dyDescent="0.3">
      <c r="A294" s="614" t="s">
        <v>47</v>
      </c>
      <c r="B294" s="467" t="s">
        <v>48</v>
      </c>
      <c r="C294" s="409"/>
      <c r="D294" s="428"/>
      <c r="E294" s="386"/>
      <c r="F294" s="388"/>
      <c r="G294" s="386"/>
      <c r="H294" s="385"/>
      <c r="I294" s="386"/>
      <c r="J294" s="385"/>
      <c r="K294" s="386"/>
      <c r="L294" s="405"/>
      <c r="M294" s="386"/>
      <c r="N294" s="385"/>
      <c r="O294" s="390"/>
      <c r="P294" s="389"/>
      <c r="Q294" s="6"/>
      <c r="R294" s="614" t="s">
        <v>47</v>
      </c>
      <c r="S294" s="367" t="s">
        <v>48</v>
      </c>
      <c r="T294" s="182">
        <f t="shared" si="16"/>
        <v>0</v>
      </c>
    </row>
    <row r="295" spans="1:20" ht="14.1" customHeight="1" x14ac:dyDescent="0.3">
      <c r="A295" s="615"/>
      <c r="B295" s="468" t="s">
        <v>44</v>
      </c>
      <c r="C295" s="392"/>
      <c r="D295" s="424"/>
      <c r="E295" s="392"/>
      <c r="F295" s="394"/>
      <c r="G295" s="392"/>
      <c r="H295" s="391"/>
      <c r="I295" s="392"/>
      <c r="J295" s="391"/>
      <c r="K295" s="392"/>
      <c r="L295" s="425"/>
      <c r="M295" s="392"/>
      <c r="N295" s="391"/>
      <c r="O295" s="396"/>
      <c r="P295" s="395"/>
      <c r="Q295" s="6"/>
      <c r="R295" s="615"/>
      <c r="S295" s="368" t="s">
        <v>44</v>
      </c>
      <c r="T295" s="183">
        <f t="shared" si="16"/>
        <v>0</v>
      </c>
    </row>
    <row r="296" spans="1:20" ht="14.1" customHeight="1" thickBot="1" x14ac:dyDescent="0.35">
      <c r="A296" s="616"/>
      <c r="B296" s="469" t="s">
        <v>54</v>
      </c>
      <c r="C296" s="398"/>
      <c r="D296" s="429"/>
      <c r="E296" s="398"/>
      <c r="F296" s="400"/>
      <c r="G296" s="398"/>
      <c r="H296" s="397"/>
      <c r="I296" s="398"/>
      <c r="J296" s="397"/>
      <c r="K296" s="398"/>
      <c r="L296" s="420"/>
      <c r="M296" s="398"/>
      <c r="N296" s="397"/>
      <c r="O296" s="430"/>
      <c r="P296" s="410"/>
      <c r="Q296" s="6"/>
      <c r="R296" s="616"/>
      <c r="S296" s="369" t="s">
        <v>54</v>
      </c>
      <c r="T296" s="183">
        <f t="shared" si="16"/>
        <v>0</v>
      </c>
    </row>
    <row r="297" spans="1:20" ht="14.1" customHeight="1" x14ac:dyDescent="0.3">
      <c r="A297" s="617" t="s">
        <v>39</v>
      </c>
      <c r="B297" s="470" t="s">
        <v>44</v>
      </c>
      <c r="C297" s="386"/>
      <c r="D297" s="403"/>
      <c r="E297" s="386"/>
      <c r="F297" s="404"/>
      <c r="G297" s="386"/>
      <c r="H297" s="406"/>
      <c r="I297" s="386"/>
      <c r="J297" s="406"/>
      <c r="K297" s="386"/>
      <c r="L297" s="405"/>
      <c r="M297" s="409"/>
      <c r="N297" s="406"/>
      <c r="O297" s="390"/>
      <c r="P297" s="389"/>
      <c r="Q297" s="6"/>
      <c r="R297" s="617" t="s">
        <v>39</v>
      </c>
      <c r="S297" s="480" t="s">
        <v>44</v>
      </c>
      <c r="T297" s="182">
        <f t="shared" si="16"/>
        <v>0</v>
      </c>
    </row>
    <row r="298" spans="1:20" ht="14.1" customHeight="1" x14ac:dyDescent="0.3">
      <c r="A298" s="618"/>
      <c r="B298" s="470" t="s">
        <v>54</v>
      </c>
      <c r="C298" s="392"/>
      <c r="D298" s="426"/>
      <c r="E298" s="392"/>
      <c r="F298" s="394"/>
      <c r="G298" s="392"/>
      <c r="H298" s="391"/>
      <c r="I298" s="392"/>
      <c r="J298" s="391"/>
      <c r="K298" s="392"/>
      <c r="L298" s="425"/>
      <c r="M298" s="392"/>
      <c r="N298" s="406"/>
      <c r="O298" s="396"/>
      <c r="P298" s="395"/>
      <c r="Q298" s="6"/>
      <c r="R298" s="618"/>
      <c r="S298" s="480" t="s">
        <v>54</v>
      </c>
      <c r="T298" s="183">
        <f t="shared" si="16"/>
        <v>0</v>
      </c>
    </row>
    <row r="299" spans="1:20" ht="14.1" customHeight="1" x14ac:dyDescent="0.3">
      <c r="A299" s="618"/>
      <c r="B299" s="470" t="s">
        <v>204</v>
      </c>
      <c r="C299" s="392"/>
      <c r="D299" s="426"/>
      <c r="E299" s="392"/>
      <c r="F299" s="404"/>
      <c r="G299" s="392"/>
      <c r="H299" s="406"/>
      <c r="I299" s="392"/>
      <c r="J299" s="406"/>
      <c r="K299" s="392"/>
      <c r="L299" s="408"/>
      <c r="M299" s="392"/>
      <c r="N299" s="406"/>
      <c r="O299" s="396"/>
      <c r="P299" s="395"/>
      <c r="Q299" s="6"/>
      <c r="R299" s="618"/>
      <c r="S299" s="480" t="s">
        <v>204</v>
      </c>
      <c r="T299" s="183">
        <f t="shared" si="16"/>
        <v>0</v>
      </c>
    </row>
    <row r="300" spans="1:20" ht="14.1" customHeight="1" thickBot="1" x14ac:dyDescent="0.35">
      <c r="A300" s="618"/>
      <c r="B300" s="471" t="s">
        <v>113</v>
      </c>
      <c r="C300" s="411"/>
      <c r="D300" s="427"/>
      <c r="E300" s="411"/>
      <c r="F300" s="417"/>
      <c r="G300" s="411"/>
      <c r="H300" s="416"/>
      <c r="I300" s="411"/>
      <c r="J300" s="416"/>
      <c r="K300" s="411"/>
      <c r="L300" s="431"/>
      <c r="M300" s="411"/>
      <c r="N300" s="432"/>
      <c r="O300" s="433"/>
      <c r="P300" s="421"/>
      <c r="Q300" s="6"/>
      <c r="R300" s="618"/>
      <c r="S300" s="513" t="s">
        <v>113</v>
      </c>
      <c r="T300" s="183">
        <f t="shared" si="16"/>
        <v>0</v>
      </c>
    </row>
    <row r="301" spans="1:20" ht="14.1" customHeight="1" x14ac:dyDescent="0.3">
      <c r="A301" s="603" t="s">
        <v>215</v>
      </c>
      <c r="B301" s="472" t="s">
        <v>45</v>
      </c>
      <c r="C301" s="386"/>
      <c r="D301" s="403"/>
      <c r="E301" s="386"/>
      <c r="F301" s="388"/>
      <c r="G301" s="386"/>
      <c r="H301" s="385"/>
      <c r="I301" s="386"/>
      <c r="J301" s="385"/>
      <c r="K301" s="386"/>
      <c r="L301" s="405"/>
      <c r="M301" s="386"/>
      <c r="N301" s="385"/>
      <c r="O301" s="390"/>
      <c r="P301" s="389"/>
      <c r="Q301" s="6"/>
      <c r="R301" s="603" t="s">
        <v>215</v>
      </c>
      <c r="S301" s="483" t="s">
        <v>45</v>
      </c>
      <c r="T301" s="182">
        <f t="shared" si="16"/>
        <v>0</v>
      </c>
    </row>
    <row r="302" spans="1:20" ht="14.1" customHeight="1" thickBot="1" x14ac:dyDescent="0.35">
      <c r="A302" s="604"/>
      <c r="B302" s="482" t="s">
        <v>42</v>
      </c>
      <c r="C302" s="435"/>
      <c r="D302" s="434"/>
      <c r="E302" s="435"/>
      <c r="F302" s="400"/>
      <c r="G302" s="435"/>
      <c r="H302" s="397"/>
      <c r="I302" s="435"/>
      <c r="J302" s="397"/>
      <c r="K302" s="435"/>
      <c r="L302" s="436"/>
      <c r="M302" s="435"/>
      <c r="N302" s="437"/>
      <c r="O302" s="438"/>
      <c r="P302" s="401"/>
      <c r="Q302" s="6"/>
      <c r="R302" s="604"/>
      <c r="S302" s="503" t="s">
        <v>42</v>
      </c>
      <c r="T302" s="183">
        <f t="shared" si="16"/>
        <v>0</v>
      </c>
    </row>
    <row r="303" spans="1:20" ht="14.1" customHeight="1" x14ac:dyDescent="0.3">
      <c r="A303" s="605" t="s">
        <v>206</v>
      </c>
      <c r="B303" s="484" t="s">
        <v>207</v>
      </c>
      <c r="C303" s="412"/>
      <c r="D303" s="439"/>
      <c r="E303" s="412"/>
      <c r="F303" s="417"/>
      <c r="G303" s="412"/>
      <c r="H303" s="416"/>
      <c r="I303" s="412"/>
      <c r="J303" s="416"/>
      <c r="K303" s="412"/>
      <c r="L303" s="418"/>
      <c r="M303" s="412"/>
      <c r="N303" s="416"/>
      <c r="O303" s="419"/>
      <c r="P303" s="414"/>
      <c r="Q303" s="6"/>
      <c r="R303" s="605" t="s">
        <v>206</v>
      </c>
      <c r="S303" s="486" t="s">
        <v>207</v>
      </c>
      <c r="T303" s="182">
        <f t="shared" si="16"/>
        <v>0</v>
      </c>
    </row>
    <row r="304" spans="1:20" ht="14.1" customHeight="1" thickBot="1" x14ac:dyDescent="0.35">
      <c r="A304" s="606"/>
      <c r="B304" s="485" t="s">
        <v>208</v>
      </c>
      <c r="C304" s="412"/>
      <c r="D304" s="439"/>
      <c r="E304" s="412"/>
      <c r="F304" s="417"/>
      <c r="G304" s="412"/>
      <c r="H304" s="416"/>
      <c r="I304" s="412"/>
      <c r="J304" s="416"/>
      <c r="K304" s="412"/>
      <c r="L304" s="418"/>
      <c r="M304" s="412"/>
      <c r="N304" s="416"/>
      <c r="O304" s="419"/>
      <c r="P304" s="414"/>
      <c r="Q304" s="6"/>
      <c r="R304" s="607"/>
      <c r="S304" s="559" t="s">
        <v>208</v>
      </c>
      <c r="T304" s="183">
        <f t="shared" si="16"/>
        <v>0</v>
      </c>
    </row>
    <row r="305" spans="1:20" ht="14.1" customHeight="1" x14ac:dyDescent="0.3">
      <c r="A305" s="608" t="s">
        <v>125</v>
      </c>
      <c r="B305" s="473" t="s">
        <v>126</v>
      </c>
      <c r="C305" s="386"/>
      <c r="D305" s="422"/>
      <c r="E305" s="386"/>
      <c r="F305" s="388"/>
      <c r="G305" s="386"/>
      <c r="H305" s="405"/>
      <c r="I305" s="386"/>
      <c r="J305" s="385"/>
      <c r="K305" s="386"/>
      <c r="L305" s="405"/>
      <c r="M305" s="386"/>
      <c r="N305" s="385"/>
      <c r="O305" s="390"/>
      <c r="P305" s="389"/>
      <c r="Q305" s="6"/>
      <c r="R305" s="610" t="s">
        <v>125</v>
      </c>
      <c r="S305" s="562" t="s">
        <v>126</v>
      </c>
      <c r="T305" s="182">
        <f t="shared" si="16"/>
        <v>0</v>
      </c>
    </row>
    <row r="306" spans="1:20" ht="14.1" customHeight="1" x14ac:dyDescent="0.3">
      <c r="A306" s="608"/>
      <c r="B306" s="474" t="s">
        <v>127</v>
      </c>
      <c r="C306" s="412"/>
      <c r="D306" s="439"/>
      <c r="E306" s="412"/>
      <c r="F306" s="404"/>
      <c r="G306" s="412"/>
      <c r="H306" s="408"/>
      <c r="I306" s="412"/>
      <c r="J306" s="406"/>
      <c r="K306" s="412"/>
      <c r="L306" s="418"/>
      <c r="M306" s="412"/>
      <c r="N306" s="416"/>
      <c r="O306" s="419"/>
      <c r="P306" s="414"/>
      <c r="Q306" s="6"/>
      <c r="R306" s="608"/>
      <c r="S306" s="504" t="s">
        <v>127</v>
      </c>
      <c r="T306" s="183">
        <f t="shared" si="16"/>
        <v>0</v>
      </c>
    </row>
    <row r="307" spans="1:20" ht="14.1" customHeight="1" thickBot="1" x14ac:dyDescent="0.35">
      <c r="A307" s="609"/>
      <c r="B307" s="475" t="s">
        <v>128</v>
      </c>
      <c r="C307" s="398"/>
      <c r="D307" s="440"/>
      <c r="E307" s="398"/>
      <c r="F307" s="404"/>
      <c r="G307" s="398"/>
      <c r="H307" s="408"/>
      <c r="I307" s="398"/>
      <c r="J307" s="406"/>
      <c r="K307" s="398"/>
      <c r="L307" s="420"/>
      <c r="M307" s="398"/>
      <c r="N307" s="397"/>
      <c r="O307" s="402"/>
      <c r="P307" s="401"/>
      <c r="Q307" s="6"/>
      <c r="R307" s="609"/>
      <c r="S307" s="505" t="s">
        <v>128</v>
      </c>
      <c r="T307" s="183">
        <f t="shared" si="16"/>
        <v>0</v>
      </c>
    </row>
    <row r="308" spans="1:20" ht="14.1" customHeight="1" x14ac:dyDescent="0.3">
      <c r="A308" s="582" t="s">
        <v>52</v>
      </c>
      <c r="B308" s="476" t="s">
        <v>41</v>
      </c>
      <c r="C308" s="386"/>
      <c r="D308" s="441"/>
      <c r="E308" s="390"/>
      <c r="F308" s="388"/>
      <c r="G308" s="386"/>
      <c r="H308" s="405"/>
      <c r="I308" s="386"/>
      <c r="J308" s="385"/>
      <c r="K308" s="386"/>
      <c r="L308" s="405"/>
      <c r="M308" s="386"/>
      <c r="N308" s="385"/>
      <c r="O308" s="396"/>
      <c r="P308" s="389"/>
      <c r="Q308" s="6"/>
      <c r="R308" s="582" t="s">
        <v>52</v>
      </c>
      <c r="S308" s="377" t="s">
        <v>41</v>
      </c>
      <c r="T308" s="182">
        <f t="shared" si="16"/>
        <v>0</v>
      </c>
    </row>
    <row r="309" spans="1:20" ht="14.1" customHeight="1" x14ac:dyDescent="0.3">
      <c r="A309" s="583"/>
      <c r="B309" s="476" t="s">
        <v>11</v>
      </c>
      <c r="C309" s="392"/>
      <c r="D309" s="442"/>
      <c r="E309" s="396"/>
      <c r="F309" s="394"/>
      <c r="G309" s="392"/>
      <c r="H309" s="425"/>
      <c r="I309" s="392"/>
      <c r="J309" s="443"/>
      <c r="K309" s="392"/>
      <c r="L309" s="425"/>
      <c r="M309" s="392"/>
      <c r="N309" s="391"/>
      <c r="O309" s="396"/>
      <c r="P309" s="395"/>
      <c r="Q309" s="6"/>
      <c r="R309" s="583"/>
      <c r="S309" s="377" t="s">
        <v>11</v>
      </c>
      <c r="T309" s="183">
        <f t="shared" si="16"/>
        <v>0</v>
      </c>
    </row>
    <row r="310" spans="1:20" ht="14.1" customHeight="1" thickBot="1" x14ac:dyDescent="0.35">
      <c r="A310" s="584"/>
      <c r="B310" s="477" t="s">
        <v>27</v>
      </c>
      <c r="C310" s="409"/>
      <c r="D310" s="423"/>
      <c r="E310" s="430"/>
      <c r="F310" s="404"/>
      <c r="G310" s="409"/>
      <c r="H310" s="408"/>
      <c r="I310" s="409"/>
      <c r="J310" s="391"/>
      <c r="K310" s="409"/>
      <c r="L310" s="408"/>
      <c r="M310" s="409"/>
      <c r="N310" s="406"/>
      <c r="O310" s="396"/>
      <c r="P310" s="395"/>
      <c r="Q310" s="6"/>
      <c r="R310" s="584"/>
      <c r="S310" s="378" t="s">
        <v>27</v>
      </c>
      <c r="T310" s="183">
        <f t="shared" si="16"/>
        <v>0</v>
      </c>
    </row>
    <row r="311" spans="1:20" ht="14.1" customHeight="1" thickBot="1" x14ac:dyDescent="0.35">
      <c r="A311" s="585" t="s">
        <v>30</v>
      </c>
      <c r="B311" s="586"/>
      <c r="C311" s="445"/>
      <c r="D311" s="444"/>
      <c r="E311" s="445"/>
      <c r="F311" s="446"/>
      <c r="G311" s="445"/>
      <c r="H311" s="447"/>
      <c r="I311" s="445"/>
      <c r="J311" s="448"/>
      <c r="K311" s="445"/>
      <c r="L311" s="447"/>
      <c r="M311" s="445"/>
      <c r="N311" s="448"/>
      <c r="O311" s="449"/>
      <c r="P311" s="450"/>
      <c r="Q311" s="6"/>
      <c r="R311" s="585" t="s">
        <v>30</v>
      </c>
      <c r="S311" s="587"/>
      <c r="T311" s="182">
        <f t="shared" si="16"/>
        <v>0</v>
      </c>
    </row>
    <row r="312" spans="1:20" ht="14.1" customHeight="1" x14ac:dyDescent="0.3">
      <c r="A312" s="588" t="s">
        <v>38</v>
      </c>
      <c r="B312" s="589"/>
      <c r="C312" s="451"/>
      <c r="D312" s="385"/>
      <c r="E312" s="451"/>
      <c r="F312" s="391"/>
      <c r="G312" s="451"/>
      <c r="H312" s="405"/>
      <c r="I312" s="451"/>
      <c r="J312" s="452"/>
      <c r="K312" s="453"/>
      <c r="L312" s="405"/>
      <c r="M312" s="451"/>
      <c r="N312" s="408"/>
      <c r="O312" s="451"/>
      <c r="P312" s="389"/>
      <c r="Q312" s="6"/>
      <c r="R312" s="594" t="s">
        <v>38</v>
      </c>
      <c r="S312" s="597"/>
      <c r="T312" s="598"/>
    </row>
    <row r="313" spans="1:20" ht="14.1" customHeight="1" x14ac:dyDescent="0.3">
      <c r="A313" s="590"/>
      <c r="B313" s="591"/>
      <c r="C313" s="453"/>
      <c r="D313" s="391"/>
      <c r="E313" s="453"/>
      <c r="F313" s="406"/>
      <c r="G313" s="453"/>
      <c r="H313" s="425"/>
      <c r="I313" s="453"/>
      <c r="J313" s="391"/>
      <c r="K313" s="454"/>
      <c r="L313" s="425"/>
      <c r="M313" s="453"/>
      <c r="N313" s="425"/>
      <c r="O313" s="453"/>
      <c r="P313" s="395"/>
      <c r="Q313" s="6"/>
      <c r="R313" s="595"/>
      <c r="S313" s="599"/>
      <c r="T313" s="600"/>
    </row>
    <row r="314" spans="1:20" ht="14.1" customHeight="1" x14ac:dyDescent="0.3">
      <c r="A314" s="590"/>
      <c r="B314" s="591"/>
      <c r="C314" s="453"/>
      <c r="D314" s="391"/>
      <c r="E314" s="453"/>
      <c r="F314" s="406"/>
      <c r="G314" s="453"/>
      <c r="H314" s="425"/>
      <c r="I314" s="453"/>
      <c r="J314" s="406"/>
      <c r="K314" s="453"/>
      <c r="L314" s="391"/>
      <c r="M314" s="453"/>
      <c r="N314" s="408"/>
      <c r="O314" s="453"/>
      <c r="P314" s="395"/>
      <c r="Q314" s="6"/>
      <c r="R314" s="595"/>
      <c r="S314" s="599"/>
      <c r="T314" s="600"/>
    </row>
    <row r="315" spans="1:20" ht="14.1" customHeight="1" thickBot="1" x14ac:dyDescent="0.35">
      <c r="A315" s="592"/>
      <c r="B315" s="593"/>
      <c r="C315" s="455"/>
      <c r="D315" s="397"/>
      <c r="E315" s="455"/>
      <c r="F315" s="456"/>
      <c r="G315" s="455"/>
      <c r="H315" s="420"/>
      <c r="I315" s="455"/>
      <c r="J315" s="400"/>
      <c r="K315" s="455"/>
      <c r="L315" s="400"/>
      <c r="M315" s="455"/>
      <c r="N315" s="397"/>
      <c r="O315" s="455"/>
      <c r="P315" s="401"/>
      <c r="Q315" s="6"/>
      <c r="R315" s="596"/>
      <c r="S315" s="601"/>
      <c r="T315" s="602"/>
    </row>
  </sheetData>
  <protectedRanges>
    <protectedRange sqref="P38:P46" name="범위1_2_1"/>
    <protectedRange sqref="P49:P52" name="범위1_2_2"/>
    <protectedRange sqref="P31:P32 P34:P35 P37 L17:L24 J24:J25 J20:J21 N20:N24" name="범위1_2_3"/>
    <protectedRange sqref="O5 O8:P8 O6:P6 O1:P1" name="범위1_8"/>
    <protectedRange sqref="O2:P2 O4:P4" name="범위1_6_1"/>
    <protectedRange sqref="O7:P7" name="범위1_7_1"/>
    <protectedRange sqref="O38:O48 O12:O28 O53:O63" name="범위1_9"/>
    <protectedRange sqref="O49:O52" name="범위1_5_1"/>
    <protectedRange sqref="J12:J16 E53:F55 I53:J55 I26:J28 J22:J23 I35:J37" name="범위1_10"/>
    <protectedRange sqref="I12:I16 I21:I25" name="범위1_9_1"/>
    <protectedRange sqref="A1:B1" name="범위1_3_1"/>
    <protectedRange sqref="D53:D55 D22:D28" name="범위1_12"/>
    <protectedRange sqref="D35:D37" name="범위1_2_1_3"/>
    <protectedRange sqref="C53:C55 C22:C28 C35:C37" name="범위1_9_3"/>
    <protectedRange sqref="K68 I68 D110:D111 K81:K87 J96:K96 K94:K95 J101:L107 J91:L93 L94:L97 K88:L90 K108:L108 J111 L111 G68 E68 J81:J83 D116:D126 L109 C104:C105 C75:D78 I126:L126 I123:I125 F96 F101:F102 F92:F93 H96 H101:H107 H91:H93 E75:L79 F111 H111 F110:L110 E80:F83 G124 H81:H83 G112:L112 E91:F91 F125:H126 E112:E126 F123:G123 F105:F107 F113:I122 J113:J119 J121:J122 L113:L125 K113:K123 K125 D79:D92 M75:N97 M112:N126 N111 M101:N110 J99:K99 K97:K98 K100 F99 H99 G91:G107 I91:I107 E92:E110 L98:N100 P110:P111 P116:P126 P96 P75:P93 P99 O92:O100 K131 I131 D173:D174 K144:K150 J159:K159 K157:K158 J164:L170 J154:L156 L157:L160 K151:L153 K171:L171 J174 L174 G131 E131 J144:J146 D179:D189 L172 C167:C168 C138:D141 I189:L189 I186:I188 F159 F164:F165 F155:F156 H159 H164:H170 H154:H156 E138:L142 F174 H174 F173:L173 E143:F146 G187 H144:H146 G175:L175 E154:F154 F188:H189 E175:E189 F186:G186 F168:F170 F176:I185 J176:J182 J184:J185 L176:L188 K176:K186 K188 D142:D155 M138:N160 M175:N189 N174 M164:N173 J162:K162 K160:K161 K163 F162 H162 G154:G170 I154:I170 E155:E173 L161:N163 P173:P174 P179:P189 P159 P138:P156 P162 O155:O163 K194 I194 D236:D237 K207:K213 J222:K222 K220:K221 J227:L233 J217:L219 L220:L223 K214:L216 K234:L234 J237 L237 G194 E194 J207:J209 D242:D252 L235 C230:C231 C201:D204 I252:L252 I249:I251 F222 F227:F228 F218:F219 H222 H227:H233 H217:H219 E201:L205 F237 H237 F236:L236 E206:F209 G250 H207:H209 G238:L238 E217:F217 F251:H252 E238:E252 F249:G249 F231:F233 F239:I248 J239:J245 J247:J248 L239:L251 K239:K249 K251 D205:D218 M201:N223 M238:N252 N237 M227:N236 J225:K225 K223:K224 K226 F225 H225 G217:G233 I217:I233 E218:E236 L224:N226 P236:P237 P242:P252 P222 P201:P219 P225 O218:O226 K257 I257 D299:D300 K270:K276 J285:K285 K283:K284 J290:L296 J280:L282 L283:L286 K277:L279 K297:L297 J300 L300 G257 E257 J270:J272 D305:D315 L298 C293:C294 C264:D267 I315:L315 I312:I314 F285 F290:F291 F281:F282 H285 H290:H296 H280:H282 E264:L268 F300 H300 F299:L299 E269:F272 G313 H270:H272 G301:L301 E280:F280 F314:H315 E301:E315 F312:G312 F294:F296 F302:I311 J302:J308 J310:J311 L302:L314 K302:K312 K314 D268:D281 M264:N286 M301:N315 N300 M290:N299 J288:K288 K286:K287 K289 F288 H288 G280:G296 I280:I296 E281:E299 L287:N289 P299:P300 P305:P315 P285 P264:P282 P288 O281:O289" name="범위1_3"/>
    <protectedRange sqref="J108:J109 D103:D109 H123:H124 F108:F109 H108:H109 F112 J123:J125 F103:F104 D93:D101 P101:P109 J171:J172 D166:D172 H186:H187 F171:F172 H171:H172 F175 J186:J188 F166:F167 D156:D164 P164:P172 J234:J235 D229:D235 H249:H250 F234:F235 H234:H235 F238 J249:J251 F229:F230 D219:D227 P227:P235 J297:J298 D292:D298 H312:H313 F297:F298 H297:H298 F301 J312:J314 F292:F293 D282:D290 P290:P298" name="범위1_2_1_2"/>
    <protectedRange sqref="D112:D115 P112:P115 D175:D178 P175:P178 D238:D241 P238:P241 D301:D304 P301:P304" name="범위1_2_2_2"/>
    <protectedRange sqref="J94:J95 L80:L87 I81:I83 F94:F95 H94:H95 G80:J80 E84:J90 G81:G83 J97:J98 J100 F97:F98 F100 H97:H98 H100 P94:P95 P97:P98 P100 J157:J158 L143:L150 I144:I146 F157:F158 H157:H158 G143:J143 E147:J153 G144:G146 J160:J161 J163 F160:F161 F163 H160:H161 H163 P157:P158 P160:P161 P163 J220:J221 L206:L213 I207:I209 F220:F221 H220:H221 G206:J206 E210:J216 G207:G209 J223:J224 J226 F223:F224 F226 H223:H224 H226 P220:P221 P223:P224 P226 J283:J284 L269:L276 I270:I272 F283:F284 H283:H284 G269:J269 E273:J279 G270:G272 J286:J287 J289 F286:F287 F289 H286:H287 H289 P283:P284 P286:P287 P289" name="범위1_2_3_2"/>
    <protectedRange sqref="C68 M68 O68 M71:P71 M69:P69 C64:P64 C131 M131 O131 M134:P134 M132:P132 C127:P127 C194 M194 O194 M197:P197 M195:P195 C190:P190 C257 M257 O257 M260:P260 M258:P258 C253:P253" name="범위1_8_2"/>
    <protectedRange sqref="K67:L67 O65:P67 K130:L130 O128:P130 K193:L193 O191:P193 K256:L256 O254:P256" name="범위1_6_1_2"/>
    <protectedRange sqref="M70:P70 M133:P133 M196:P196 M259:P259" name="범위1_7_1_2"/>
    <protectedRange sqref="C116:C126 I108:I109 I111 K111 K109 D102 C106:C111 C102:C103 G108:G109 G111 E111 K80 M111 C79:C100 O116:O126 O101:O111 O75:O91 C179:C189 I171:I172 I174 K174 K172 D165 C169:C174 C165:C166 G171:G172 G174 E174 K143 M174 C142:C163 O179:O189 O164:O174 O138:O154 C242:C252 I234:I235 I237 K237 K235 D228 C232:C237 C228:C229 G234:G235 G237 E237 K206 M237 C205:C226 O242:O252 O227:O237 O201:O217 C305:C315 I297:I298 I300 K300 K298 D291 C295:C300 C291:C292 G297:G298 G300 E300 K269 M300 C268:C289 O305:O315 O290:O300 O264:O280" name="범위1_9_2"/>
    <protectedRange sqref="C112:C115 O112:O115 C175:C178 O175:O178 C238:C241 O238:O241 C301:C304 O301:O304" name="범위1_5_1_2"/>
    <protectedRange sqref="C67:J67 C65:L66 M65:N67 C130:J130 C128:L129 M128:N130 C193:J193 C191:L192 M191:N193 C256:J256 C254:L255 M254:N256" name="범위1_1_2"/>
    <protectedRange sqref="C69:L71 C132:L134 C195:L197 C258:L260" name="범위1_4_2"/>
    <protectedRange sqref="B60 B123 B186 B249 B312" name="범위1_10_1_1"/>
    <protectedRange sqref="E26:F28 F22:F25 E36:F37" name="범위1_10_2"/>
    <protectedRange sqref="E22:E25" name="범위1_9_1_1"/>
    <protectedRange sqref="T1" name="범위1_2_4"/>
    <protectedRange sqref="G53:H55" name="범위1_10_1"/>
    <protectedRange sqref="H22:H25 G26:H28 G35:H37" name="범위1_10_2_1"/>
    <protectedRange sqref="G22:G25 I20" name="범위1_9_1_1_1"/>
    <protectedRange sqref="C12:E15 D16:E16 G21:H21 D20:F21 E17:F17 F12:H16" name="범위1_5"/>
    <protectedRange sqref="G20:H20" name="범위1_2_3_3"/>
    <protectedRange sqref="C16 C20:C21" name="범위1_9_4"/>
    <protectedRange sqref="E35:F35" name="범위1_11"/>
    <protectedRange sqref="K5 I5 G5 E5" name="범위1"/>
    <protectedRange sqref="C5 M5 C1:N1" name="범위1_8_4"/>
    <protectedRange sqref="K2:L2 K4:L4" name="범위1_6_1_1"/>
    <protectedRange sqref="K3:L3 M2:N4 O3:P3 C2:J4" name="범위1_1_4"/>
    <protectedRange sqref="M8:N8 M6:N6" name="범위1_8_5"/>
    <protectedRange sqref="M7:N7" name="범위1_7_1_1"/>
    <protectedRange sqref="C6:L8" name="범위1_4_5"/>
    <protectedRange sqref="J18:J19 D18:F19 H18:H19 K17:K19 D17" name="범위1_17"/>
    <protectedRange sqref="I18:I19 G17:J17 G18:G19" name="범위1_2_3_1"/>
    <protectedRange sqref="C17:C19" name="범위1_9_10"/>
    <protectedRange sqref="J33:K33 K31:K32 K34 J29:K30 D29 F33 F29:F30 H33 H29:H30 G29:G34 I29:I34 E29:E34" name="범위1_22"/>
    <protectedRange sqref="D30:D34" name="범위1_2_1_6"/>
    <protectedRange sqref="J31:J32 J34 F31:F32 F34 H31:H32 H34" name="범위1_2_3_4"/>
    <protectedRange sqref="C29:C34" name="범위1_9_11"/>
    <protectedRange sqref="D47:D48 K45:N45 J48 L48 N48 D51:D52 L46:N46 C41:C42 F48 H48 F47:N47 G49:N49 F50:N52 E49:E52 F38:N44 E38:E47" name="범위1_23"/>
    <protectedRange sqref="J45:J46 D38 D40:D46 F45:F46 H45:H46 F49" name="범위1_2_1_7"/>
    <protectedRange sqref="D49:D50" name="범위1_2_2_1"/>
    <protectedRange sqref="C51:C52 I45:I46 I48 K48 M48 K46 D39 C43:C48 C39:C40 G45:G46 G48 E48" name="범위1_9_12"/>
    <protectedRange sqref="C49:C50" name="범위1_5_1_1"/>
    <protectedRange sqref="K60:N62 I63:N63 I60:I62 G61 F56:N59 F62:H63 D56:E63 F60:G60" name="범위1_24"/>
    <protectedRange sqref="H60:H61 J60:J62" name="범위1_2_1_8"/>
    <protectedRange sqref="C56:C63" name="범위1_9_13"/>
  </protectedRanges>
  <mergeCells count="565">
    <mergeCell ref="A308:A310"/>
    <mergeCell ref="R308:R310"/>
    <mergeCell ref="A311:B311"/>
    <mergeCell ref="R311:S311"/>
    <mergeCell ref="A312:B315"/>
    <mergeCell ref="R312:R315"/>
    <mergeCell ref="S312:T315"/>
    <mergeCell ref="A297:A300"/>
    <mergeCell ref="R297:R300"/>
    <mergeCell ref="A301:A302"/>
    <mergeCell ref="R301:R302"/>
    <mergeCell ref="A303:A304"/>
    <mergeCell ref="R303:R304"/>
    <mergeCell ref="A305:A307"/>
    <mergeCell ref="R305:R307"/>
    <mergeCell ref="A290:A293"/>
    <mergeCell ref="R290:R293"/>
    <mergeCell ref="A294:A296"/>
    <mergeCell ref="R294:R296"/>
    <mergeCell ref="O263:P263"/>
    <mergeCell ref="R263:S263"/>
    <mergeCell ref="A264:A268"/>
    <mergeCell ref="R264:R268"/>
    <mergeCell ref="A269:A280"/>
    <mergeCell ref="R269:R280"/>
    <mergeCell ref="A263:B263"/>
    <mergeCell ref="C263:D263"/>
    <mergeCell ref="E263:F263"/>
    <mergeCell ref="G263:H263"/>
    <mergeCell ref="I263:J263"/>
    <mergeCell ref="K263:L263"/>
    <mergeCell ref="M263:N263"/>
    <mergeCell ref="A281:A289"/>
    <mergeCell ref="R281:R289"/>
    <mergeCell ref="O261:P261"/>
    <mergeCell ref="R261:S261"/>
    <mergeCell ref="A262:B262"/>
    <mergeCell ref="C262:D262"/>
    <mergeCell ref="E262:F262"/>
    <mergeCell ref="G262:H262"/>
    <mergeCell ref="I262:J262"/>
    <mergeCell ref="K262:L262"/>
    <mergeCell ref="O262:P262"/>
    <mergeCell ref="R262:S262"/>
    <mergeCell ref="A261:B261"/>
    <mergeCell ref="C261:D261"/>
    <mergeCell ref="E261:F261"/>
    <mergeCell ref="G261:H261"/>
    <mergeCell ref="I261:J261"/>
    <mergeCell ref="K261:L261"/>
    <mergeCell ref="R259:S259"/>
    <mergeCell ref="A260:B260"/>
    <mergeCell ref="C260:D260"/>
    <mergeCell ref="E260:F260"/>
    <mergeCell ref="G260:H260"/>
    <mergeCell ref="I260:J260"/>
    <mergeCell ref="K260:L260"/>
    <mergeCell ref="O260:P260"/>
    <mergeCell ref="R260:S260"/>
    <mergeCell ref="K258:L258"/>
    <mergeCell ref="O258:P258"/>
    <mergeCell ref="A259:B259"/>
    <mergeCell ref="C259:D259"/>
    <mergeCell ref="E259:F259"/>
    <mergeCell ref="G259:H259"/>
    <mergeCell ref="I259:J259"/>
    <mergeCell ref="K259:L259"/>
    <mergeCell ref="O259:P259"/>
    <mergeCell ref="C256:D256"/>
    <mergeCell ref="E256:F256"/>
    <mergeCell ref="G256:H256"/>
    <mergeCell ref="I256:J256"/>
    <mergeCell ref="K256:L256"/>
    <mergeCell ref="O256:P256"/>
    <mergeCell ref="A255:B255"/>
    <mergeCell ref="C255:D255"/>
    <mergeCell ref="E255:F255"/>
    <mergeCell ref="G255:H255"/>
    <mergeCell ref="I255:J255"/>
    <mergeCell ref="K255:L255"/>
    <mergeCell ref="O253:P253"/>
    <mergeCell ref="R253:S253"/>
    <mergeCell ref="A254:B254"/>
    <mergeCell ref="C254:D254"/>
    <mergeCell ref="E254:F254"/>
    <mergeCell ref="G254:H254"/>
    <mergeCell ref="I254:J254"/>
    <mergeCell ref="K254:L254"/>
    <mergeCell ref="O254:P254"/>
    <mergeCell ref="R254:T258"/>
    <mergeCell ref="A253:B253"/>
    <mergeCell ref="C253:D253"/>
    <mergeCell ref="E253:F253"/>
    <mergeCell ref="G253:H253"/>
    <mergeCell ref="I253:J253"/>
    <mergeCell ref="K253:L253"/>
    <mergeCell ref="A257:B257"/>
    <mergeCell ref="A258:B258"/>
    <mergeCell ref="C258:D258"/>
    <mergeCell ref="E258:F258"/>
    <mergeCell ref="G258:H258"/>
    <mergeCell ref="I258:J258"/>
    <mergeCell ref="O255:P255"/>
    <mergeCell ref="A256:B256"/>
    <mergeCell ref="A245:A247"/>
    <mergeCell ref="R245:R247"/>
    <mergeCell ref="A248:B248"/>
    <mergeCell ref="R248:S248"/>
    <mergeCell ref="A249:B252"/>
    <mergeCell ref="R249:R252"/>
    <mergeCell ref="S249:T252"/>
    <mergeCell ref="A234:A237"/>
    <mergeCell ref="R234:R237"/>
    <mergeCell ref="A238:A239"/>
    <mergeCell ref="R238:R239"/>
    <mergeCell ref="A240:A241"/>
    <mergeCell ref="R240:R241"/>
    <mergeCell ref="R242:R244"/>
    <mergeCell ref="A227:A230"/>
    <mergeCell ref="R227:R230"/>
    <mergeCell ref="A231:A233"/>
    <mergeCell ref="R231:R233"/>
    <mergeCell ref="O200:P200"/>
    <mergeCell ref="R200:S200"/>
    <mergeCell ref="A201:A205"/>
    <mergeCell ref="R201:R205"/>
    <mergeCell ref="A206:A217"/>
    <mergeCell ref="R206:R217"/>
    <mergeCell ref="A200:B200"/>
    <mergeCell ref="C200:D200"/>
    <mergeCell ref="E200:F200"/>
    <mergeCell ref="G200:H200"/>
    <mergeCell ref="I200:J200"/>
    <mergeCell ref="K200:L200"/>
    <mergeCell ref="R218:R226"/>
    <mergeCell ref="O198:P198"/>
    <mergeCell ref="R198:S198"/>
    <mergeCell ref="A199:B199"/>
    <mergeCell ref="C199:D199"/>
    <mergeCell ref="E199:F199"/>
    <mergeCell ref="G199:H199"/>
    <mergeCell ref="I199:J199"/>
    <mergeCell ref="K199:L199"/>
    <mergeCell ref="O199:P199"/>
    <mergeCell ref="R199:S199"/>
    <mergeCell ref="A198:B198"/>
    <mergeCell ref="C198:D198"/>
    <mergeCell ref="E198:F198"/>
    <mergeCell ref="G198:H198"/>
    <mergeCell ref="I198:J198"/>
    <mergeCell ref="K198:L198"/>
    <mergeCell ref="R196:S196"/>
    <mergeCell ref="A197:B197"/>
    <mergeCell ref="C197:D197"/>
    <mergeCell ref="E197:F197"/>
    <mergeCell ref="G197:H197"/>
    <mergeCell ref="I197:J197"/>
    <mergeCell ref="K197:L197"/>
    <mergeCell ref="O197:P197"/>
    <mergeCell ref="R197:S197"/>
    <mergeCell ref="K195:L195"/>
    <mergeCell ref="O195:P195"/>
    <mergeCell ref="A196:B196"/>
    <mergeCell ref="C196:D196"/>
    <mergeCell ref="E196:F196"/>
    <mergeCell ref="G196:H196"/>
    <mergeCell ref="I196:J196"/>
    <mergeCell ref="K196:L196"/>
    <mergeCell ref="O196:P196"/>
    <mergeCell ref="C193:D193"/>
    <mergeCell ref="E193:F193"/>
    <mergeCell ref="G193:H193"/>
    <mergeCell ref="I193:J193"/>
    <mergeCell ref="K193:L193"/>
    <mergeCell ref="O193:P193"/>
    <mergeCell ref="A192:B192"/>
    <mergeCell ref="C192:D192"/>
    <mergeCell ref="E192:F192"/>
    <mergeCell ref="G192:H192"/>
    <mergeCell ref="I192:J192"/>
    <mergeCell ref="K192:L192"/>
    <mergeCell ref="O190:P190"/>
    <mergeCell ref="R190:S190"/>
    <mergeCell ref="A191:B191"/>
    <mergeCell ref="C191:D191"/>
    <mergeCell ref="E191:F191"/>
    <mergeCell ref="G191:H191"/>
    <mergeCell ref="I191:J191"/>
    <mergeCell ref="K191:L191"/>
    <mergeCell ref="O191:P191"/>
    <mergeCell ref="R191:T195"/>
    <mergeCell ref="A190:B190"/>
    <mergeCell ref="C190:D190"/>
    <mergeCell ref="E190:F190"/>
    <mergeCell ref="G190:H190"/>
    <mergeCell ref="I190:J190"/>
    <mergeCell ref="K190:L190"/>
    <mergeCell ref="A194:B194"/>
    <mergeCell ref="A195:B195"/>
    <mergeCell ref="C195:D195"/>
    <mergeCell ref="E195:F195"/>
    <mergeCell ref="G195:H195"/>
    <mergeCell ref="I195:J195"/>
    <mergeCell ref="O192:P192"/>
    <mergeCell ref="A193:B193"/>
    <mergeCell ref="A182:A184"/>
    <mergeCell ref="R182:R184"/>
    <mergeCell ref="A185:B185"/>
    <mergeCell ref="R185:S185"/>
    <mergeCell ref="A186:B189"/>
    <mergeCell ref="R186:R189"/>
    <mergeCell ref="S186:T189"/>
    <mergeCell ref="A171:A174"/>
    <mergeCell ref="R171:R174"/>
    <mergeCell ref="A175:A176"/>
    <mergeCell ref="R175:R176"/>
    <mergeCell ref="A177:A178"/>
    <mergeCell ref="R177:R178"/>
    <mergeCell ref="A179:A181"/>
    <mergeCell ref="R179:R181"/>
    <mergeCell ref="A164:A167"/>
    <mergeCell ref="R164:R167"/>
    <mergeCell ref="A168:A170"/>
    <mergeCell ref="R168:R170"/>
    <mergeCell ref="O137:P137"/>
    <mergeCell ref="R137:S137"/>
    <mergeCell ref="A138:A142"/>
    <mergeCell ref="R138:R142"/>
    <mergeCell ref="A143:A154"/>
    <mergeCell ref="R143:R154"/>
    <mergeCell ref="A137:B137"/>
    <mergeCell ref="C137:D137"/>
    <mergeCell ref="E137:F137"/>
    <mergeCell ref="G137:H137"/>
    <mergeCell ref="I137:J137"/>
    <mergeCell ref="K137:L137"/>
    <mergeCell ref="A155:A163"/>
    <mergeCell ref="R155:R163"/>
    <mergeCell ref="O135:P135"/>
    <mergeCell ref="R135:S135"/>
    <mergeCell ref="A136:B136"/>
    <mergeCell ref="C136:D136"/>
    <mergeCell ref="E136:F136"/>
    <mergeCell ref="G136:H136"/>
    <mergeCell ref="I136:J136"/>
    <mergeCell ref="K136:L136"/>
    <mergeCell ref="O136:P136"/>
    <mergeCell ref="R136:S136"/>
    <mergeCell ref="A135:B135"/>
    <mergeCell ref="C135:D135"/>
    <mergeCell ref="E135:F135"/>
    <mergeCell ref="G135:H135"/>
    <mergeCell ref="I135:J135"/>
    <mergeCell ref="K135:L135"/>
    <mergeCell ref="R133:S133"/>
    <mergeCell ref="A134:B134"/>
    <mergeCell ref="C134:D134"/>
    <mergeCell ref="E134:F134"/>
    <mergeCell ref="G134:H134"/>
    <mergeCell ref="I134:J134"/>
    <mergeCell ref="K134:L134"/>
    <mergeCell ref="O134:P134"/>
    <mergeCell ref="R134:S134"/>
    <mergeCell ref="A133:B133"/>
    <mergeCell ref="C133:D133"/>
    <mergeCell ref="E133:F133"/>
    <mergeCell ref="G133:H133"/>
    <mergeCell ref="I133:J133"/>
    <mergeCell ref="K133:L133"/>
    <mergeCell ref="O133:P133"/>
    <mergeCell ref="A131:B131"/>
    <mergeCell ref="R128:T132"/>
    <mergeCell ref="A129:B129"/>
    <mergeCell ref="C129:D129"/>
    <mergeCell ref="E129:F129"/>
    <mergeCell ref="G129:H129"/>
    <mergeCell ref="I129:J129"/>
    <mergeCell ref="K129:L129"/>
    <mergeCell ref="O129:P129"/>
    <mergeCell ref="A130:B130"/>
    <mergeCell ref="C130:D130"/>
    <mergeCell ref="O132:P132"/>
    <mergeCell ref="A128:B128"/>
    <mergeCell ref="C128:D128"/>
    <mergeCell ref="E128:F128"/>
    <mergeCell ref="G128:H128"/>
    <mergeCell ref="I128:J128"/>
    <mergeCell ref="K128:L128"/>
    <mergeCell ref="O128:P128"/>
    <mergeCell ref="E130:F130"/>
    <mergeCell ref="G130:H130"/>
    <mergeCell ref="I130:J130"/>
    <mergeCell ref="K130:L130"/>
    <mergeCell ref="O130:P130"/>
    <mergeCell ref="M128:N128"/>
    <mergeCell ref="M129:N129"/>
    <mergeCell ref="M130:N130"/>
    <mergeCell ref="A112:A113"/>
    <mergeCell ref="R112:R113"/>
    <mergeCell ref="A116:A118"/>
    <mergeCell ref="R116:R118"/>
    <mergeCell ref="A119:A121"/>
    <mergeCell ref="R119:R121"/>
    <mergeCell ref="A122:B122"/>
    <mergeCell ref="R122:S122"/>
    <mergeCell ref="A123:B126"/>
    <mergeCell ref="R123:R126"/>
    <mergeCell ref="S123:T126"/>
    <mergeCell ref="A127:B127"/>
    <mergeCell ref="C127:D127"/>
    <mergeCell ref="E127:F127"/>
    <mergeCell ref="G127:H127"/>
    <mergeCell ref="I127:J127"/>
    <mergeCell ref="K127:L127"/>
    <mergeCell ref="O127:P127"/>
    <mergeCell ref="R127:S127"/>
    <mergeCell ref="M127:N127"/>
    <mergeCell ref="R101:R104"/>
    <mergeCell ref="A105:A107"/>
    <mergeCell ref="R105:R107"/>
    <mergeCell ref="A108:A111"/>
    <mergeCell ref="R108:R111"/>
    <mergeCell ref="A114:A115"/>
    <mergeCell ref="R114:R115"/>
    <mergeCell ref="R74:S74"/>
    <mergeCell ref="A75:A79"/>
    <mergeCell ref="R75:R79"/>
    <mergeCell ref="A80:A91"/>
    <mergeCell ref="R80:R91"/>
    <mergeCell ref="A92:A100"/>
    <mergeCell ref="R92:R100"/>
    <mergeCell ref="A74:B74"/>
    <mergeCell ref="C74:D74"/>
    <mergeCell ref="E74:F74"/>
    <mergeCell ref="G74:H74"/>
    <mergeCell ref="I74:J74"/>
    <mergeCell ref="K74:L74"/>
    <mergeCell ref="M74:N74"/>
    <mergeCell ref="O74:P74"/>
    <mergeCell ref="A101:A104"/>
    <mergeCell ref="M72:N72"/>
    <mergeCell ref="O72:P72"/>
    <mergeCell ref="R72:S72"/>
    <mergeCell ref="A73:B73"/>
    <mergeCell ref="C73:D73"/>
    <mergeCell ref="E73:F73"/>
    <mergeCell ref="G73:H73"/>
    <mergeCell ref="I73:J73"/>
    <mergeCell ref="K73:L73"/>
    <mergeCell ref="M73:N73"/>
    <mergeCell ref="A72:B72"/>
    <mergeCell ref="C72:D72"/>
    <mergeCell ref="E72:F72"/>
    <mergeCell ref="G72:H72"/>
    <mergeCell ref="I72:J72"/>
    <mergeCell ref="K72:L72"/>
    <mergeCell ref="O73:P73"/>
    <mergeCell ref="R73:S73"/>
    <mergeCell ref="A71:B71"/>
    <mergeCell ref="C71:D71"/>
    <mergeCell ref="E71:F71"/>
    <mergeCell ref="G71:H71"/>
    <mergeCell ref="I71:J71"/>
    <mergeCell ref="K71:L71"/>
    <mergeCell ref="M71:N71"/>
    <mergeCell ref="O71:P71"/>
    <mergeCell ref="R71:S71"/>
    <mergeCell ref="A70:B70"/>
    <mergeCell ref="C70:D70"/>
    <mergeCell ref="E70:F70"/>
    <mergeCell ref="G70:H70"/>
    <mergeCell ref="I70:J70"/>
    <mergeCell ref="K70:L70"/>
    <mergeCell ref="M70:N70"/>
    <mergeCell ref="O70:P70"/>
    <mergeCell ref="R70:S70"/>
    <mergeCell ref="M66:N66"/>
    <mergeCell ref="O66:P66"/>
    <mergeCell ref="M67:N67"/>
    <mergeCell ref="O67:P67"/>
    <mergeCell ref="A68:B68"/>
    <mergeCell ref="A69:B69"/>
    <mergeCell ref="C69:D69"/>
    <mergeCell ref="E69:F69"/>
    <mergeCell ref="G69:H69"/>
    <mergeCell ref="I69:J69"/>
    <mergeCell ref="K69:L69"/>
    <mergeCell ref="M69:N69"/>
    <mergeCell ref="A67:B67"/>
    <mergeCell ref="C67:D67"/>
    <mergeCell ref="E67:F67"/>
    <mergeCell ref="G67:H67"/>
    <mergeCell ref="I67:J67"/>
    <mergeCell ref="K67:L67"/>
    <mergeCell ref="O69:P69"/>
    <mergeCell ref="M64:N64"/>
    <mergeCell ref="O64:P64"/>
    <mergeCell ref="R64:S64"/>
    <mergeCell ref="A65:B65"/>
    <mergeCell ref="C65:D65"/>
    <mergeCell ref="E65:F65"/>
    <mergeCell ref="G65:H65"/>
    <mergeCell ref="I65:J65"/>
    <mergeCell ref="K65:L65"/>
    <mergeCell ref="M65:N65"/>
    <mergeCell ref="A64:B64"/>
    <mergeCell ref="C64:D64"/>
    <mergeCell ref="E64:F64"/>
    <mergeCell ref="G64:H64"/>
    <mergeCell ref="I64:J64"/>
    <mergeCell ref="K64:L64"/>
    <mergeCell ref="O65:P65"/>
    <mergeCell ref="R65:T69"/>
    <mergeCell ref="A66:B66"/>
    <mergeCell ref="C66:D66"/>
    <mergeCell ref="E66:F66"/>
    <mergeCell ref="G66:H66"/>
    <mergeCell ref="I66:J66"/>
    <mergeCell ref="K66:L66"/>
    <mergeCell ref="A56:A58"/>
    <mergeCell ref="R56:R58"/>
    <mergeCell ref="A59:B59"/>
    <mergeCell ref="R59:S59"/>
    <mergeCell ref="A60:B63"/>
    <mergeCell ref="R60:R63"/>
    <mergeCell ref="S60:T63"/>
    <mergeCell ref="A49:A50"/>
    <mergeCell ref="R49:R50"/>
    <mergeCell ref="A51:A52"/>
    <mergeCell ref="R51:R52"/>
    <mergeCell ref="A53:A55"/>
    <mergeCell ref="R53:R55"/>
    <mergeCell ref="R38:R41"/>
    <mergeCell ref="A42:A44"/>
    <mergeCell ref="R42:R44"/>
    <mergeCell ref="A45:A48"/>
    <mergeCell ref="R45:R48"/>
    <mergeCell ref="R11:S11"/>
    <mergeCell ref="A12:A16"/>
    <mergeCell ref="R12:R16"/>
    <mergeCell ref="A17:A28"/>
    <mergeCell ref="R17:R28"/>
    <mergeCell ref="A29:A37"/>
    <mergeCell ref="R29:R37"/>
    <mergeCell ref="A11:B11"/>
    <mergeCell ref="C11:D11"/>
    <mergeCell ref="E11:F11"/>
    <mergeCell ref="G11:H11"/>
    <mergeCell ref="I11:J11"/>
    <mergeCell ref="K11:L11"/>
    <mergeCell ref="M11:N11"/>
    <mergeCell ref="O11:P11"/>
    <mergeCell ref="A38:A41"/>
    <mergeCell ref="M9:N9"/>
    <mergeCell ref="O9:P9"/>
    <mergeCell ref="R9:S9"/>
    <mergeCell ref="A10:B10"/>
    <mergeCell ref="C10:D10"/>
    <mergeCell ref="E10:F10"/>
    <mergeCell ref="G10:H10"/>
    <mergeCell ref="I10:J10"/>
    <mergeCell ref="K10:L10"/>
    <mergeCell ref="M10:N10"/>
    <mergeCell ref="A9:B9"/>
    <mergeCell ref="C9:D9"/>
    <mergeCell ref="E9:F9"/>
    <mergeCell ref="G9:H9"/>
    <mergeCell ref="I9:J9"/>
    <mergeCell ref="K9:L9"/>
    <mergeCell ref="O10:P10"/>
    <mergeCell ref="R10:S10"/>
    <mergeCell ref="A8:B8"/>
    <mergeCell ref="C8:D8"/>
    <mergeCell ref="E8:F8"/>
    <mergeCell ref="G8:H8"/>
    <mergeCell ref="I8:J8"/>
    <mergeCell ref="K8:L8"/>
    <mergeCell ref="M8:N8"/>
    <mergeCell ref="O8:P8"/>
    <mergeCell ref="R8:S8"/>
    <mergeCell ref="A7:B7"/>
    <mergeCell ref="C7:D7"/>
    <mergeCell ref="E7:F7"/>
    <mergeCell ref="G7:H7"/>
    <mergeCell ref="I7:J7"/>
    <mergeCell ref="K7:L7"/>
    <mergeCell ref="M7:N7"/>
    <mergeCell ref="O7:P7"/>
    <mergeCell ref="R7:S7"/>
    <mergeCell ref="M3:N3"/>
    <mergeCell ref="O3:P3"/>
    <mergeCell ref="M4:N4"/>
    <mergeCell ref="O4:P4"/>
    <mergeCell ref="A5:B5"/>
    <mergeCell ref="A6:B6"/>
    <mergeCell ref="C6:D6"/>
    <mergeCell ref="E6:F6"/>
    <mergeCell ref="G6:H6"/>
    <mergeCell ref="I6:J6"/>
    <mergeCell ref="K6:L6"/>
    <mergeCell ref="M6:N6"/>
    <mergeCell ref="A4:B4"/>
    <mergeCell ref="C4:D4"/>
    <mergeCell ref="E4:F4"/>
    <mergeCell ref="G4:H4"/>
    <mergeCell ref="I4:J4"/>
    <mergeCell ref="K4:L4"/>
    <mergeCell ref="O6:P6"/>
    <mergeCell ref="M1:N1"/>
    <mergeCell ref="O1:P1"/>
    <mergeCell ref="R1:S1"/>
    <mergeCell ref="A2:B2"/>
    <mergeCell ref="C2:D2"/>
    <mergeCell ref="E2:F2"/>
    <mergeCell ref="G2:H2"/>
    <mergeCell ref="I2:J2"/>
    <mergeCell ref="K2:L2"/>
    <mergeCell ref="M2:N2"/>
    <mergeCell ref="A1:B1"/>
    <mergeCell ref="C1:D1"/>
    <mergeCell ref="E1:F1"/>
    <mergeCell ref="G1:H1"/>
    <mergeCell ref="I1:J1"/>
    <mergeCell ref="K1:L1"/>
    <mergeCell ref="O2:P2"/>
    <mergeCell ref="R2:T6"/>
    <mergeCell ref="A3:B3"/>
    <mergeCell ref="C3:D3"/>
    <mergeCell ref="E3:F3"/>
    <mergeCell ref="G3:H3"/>
    <mergeCell ref="I3:J3"/>
    <mergeCell ref="K3:L3"/>
    <mergeCell ref="M132:N132"/>
    <mergeCell ref="M133:N133"/>
    <mergeCell ref="M134:N134"/>
    <mergeCell ref="M135:N135"/>
    <mergeCell ref="M136:N136"/>
    <mergeCell ref="M137:N137"/>
    <mergeCell ref="A218:A226"/>
    <mergeCell ref="A242:A244"/>
    <mergeCell ref="M190:N190"/>
    <mergeCell ref="M191:N191"/>
    <mergeCell ref="M192:N192"/>
    <mergeCell ref="M193:N193"/>
    <mergeCell ref="M195:N195"/>
    <mergeCell ref="M196:N196"/>
    <mergeCell ref="M197:N197"/>
    <mergeCell ref="M198:N198"/>
    <mergeCell ref="M199:N199"/>
    <mergeCell ref="M200:N200"/>
    <mergeCell ref="A132:B132"/>
    <mergeCell ref="C132:D132"/>
    <mergeCell ref="E132:F132"/>
    <mergeCell ref="G132:H132"/>
    <mergeCell ref="I132:J132"/>
    <mergeCell ref="K132:L132"/>
    <mergeCell ref="M253:N253"/>
    <mergeCell ref="M254:N254"/>
    <mergeCell ref="M255:N255"/>
    <mergeCell ref="M256:N256"/>
    <mergeCell ref="M258:N258"/>
    <mergeCell ref="M259:N259"/>
    <mergeCell ref="M260:N260"/>
    <mergeCell ref="M261:N261"/>
    <mergeCell ref="M262:N262"/>
  </mergeCells>
  <phoneticPr fontId="26" type="noConversion"/>
  <printOptions horizontalCentered="1" verticalCentered="1"/>
  <pageMargins left="0" right="0" top="0" bottom="0" header="0" footer="0"/>
  <pageSetup paperSize="9" scale="63" orientation="landscape" r:id="rId1"/>
  <rowBreaks count="4" manualBreakCount="4">
    <brk id="63" max="19" man="1"/>
    <brk id="126" max="19" man="1"/>
    <brk id="189" max="19" man="1"/>
    <brk id="252" max="1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3"/>
  <sheetData/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7375E"/>
  </sheetPr>
  <dimension ref="A1:S266"/>
  <sheetViews>
    <sheetView view="pageBreakPreview" zoomScale="85" zoomScaleNormal="100" zoomScaleSheetLayoutView="85" workbookViewId="0">
      <pane ySplit="11" topLeftCell="A12" activePane="bottomLeft" state="frozen"/>
      <selection pane="bottomLeft" activeCell="I42" sqref="I42"/>
    </sheetView>
  </sheetViews>
  <sheetFormatPr defaultColWidth="8.625" defaultRowHeight="16.5" x14ac:dyDescent="0.3"/>
  <cols>
    <col min="1" max="1" width="7.75" style="5" customWidth="1"/>
    <col min="2" max="2" width="13.625" style="3" customWidth="1"/>
    <col min="3" max="3" width="15.125" style="3" customWidth="1"/>
    <col min="4" max="4" width="5.25" style="16" customWidth="1"/>
    <col min="5" max="5" width="15.125" style="3" customWidth="1"/>
    <col min="6" max="6" width="5.25" style="16" customWidth="1"/>
    <col min="7" max="7" width="15.125" style="3" customWidth="1"/>
    <col min="8" max="8" width="5.25" style="16" customWidth="1"/>
    <col min="9" max="9" width="15.125" style="4" customWidth="1"/>
    <col min="10" max="10" width="5.25" style="16" customWidth="1"/>
    <col min="11" max="11" width="15.125" style="185" customWidth="1"/>
    <col min="12" max="12" width="5.25" style="16" customWidth="1"/>
    <col min="13" max="13" width="15.125" style="4" customWidth="1"/>
    <col min="14" max="14" width="5.25" style="78" customWidth="1"/>
    <col min="15" max="15" width="3.625" style="4" customWidth="1"/>
    <col min="16" max="16" width="6.625" style="5" customWidth="1"/>
    <col min="17" max="17" width="12.5" style="3" customWidth="1"/>
    <col min="18" max="18" width="11.625" style="17" customWidth="1"/>
  </cols>
  <sheetData>
    <row r="1" spans="1:18" s="1" customFormat="1" ht="19.5" customHeight="1" x14ac:dyDescent="0.3">
      <c r="A1" s="652" t="s">
        <v>157</v>
      </c>
      <c r="B1" s="653"/>
      <c r="C1" s="688" t="s">
        <v>160</v>
      </c>
      <c r="D1" s="694"/>
      <c r="E1" s="688" t="s">
        <v>160</v>
      </c>
      <c r="F1" s="694"/>
      <c r="G1" s="688" t="s">
        <v>158</v>
      </c>
      <c r="H1" s="694"/>
      <c r="I1" s="688" t="s">
        <v>187</v>
      </c>
      <c r="J1" s="695"/>
      <c r="K1" s="694"/>
      <c r="L1" s="694"/>
      <c r="M1" s="688"/>
      <c r="N1" s="689"/>
      <c r="O1" s="136"/>
      <c r="P1" s="650" t="s">
        <v>15</v>
      </c>
      <c r="Q1" s="651"/>
      <c r="R1" s="137">
        <v>45898</v>
      </c>
    </row>
    <row r="2" spans="1:18" ht="15" customHeight="1" x14ac:dyDescent="0.3">
      <c r="A2" s="647" t="s">
        <v>49</v>
      </c>
      <c r="B2" s="648"/>
      <c r="C2" s="690" t="s">
        <v>159</v>
      </c>
      <c r="D2" s="691"/>
      <c r="E2" s="690" t="s">
        <v>161</v>
      </c>
      <c r="F2" s="691"/>
      <c r="G2" s="690" t="s">
        <v>177</v>
      </c>
      <c r="H2" s="691"/>
      <c r="I2" s="690" t="s">
        <v>176</v>
      </c>
      <c r="J2" s="691"/>
      <c r="K2" s="692"/>
      <c r="L2" s="691"/>
      <c r="M2" s="690"/>
      <c r="N2" s="693"/>
      <c r="O2" s="25"/>
      <c r="P2" s="679"/>
      <c r="Q2" s="680"/>
      <c r="R2" s="681"/>
    </row>
    <row r="3" spans="1:18" ht="15" customHeight="1" x14ac:dyDescent="0.3">
      <c r="A3" s="637" t="s">
        <v>28</v>
      </c>
      <c r="B3" s="638"/>
      <c r="C3" s="690" t="s">
        <v>99</v>
      </c>
      <c r="D3" s="691"/>
      <c r="E3" s="690" t="s">
        <v>99</v>
      </c>
      <c r="F3" s="691"/>
      <c r="G3" s="690" t="s">
        <v>99</v>
      </c>
      <c r="H3" s="691"/>
      <c r="I3" s="690" t="s">
        <v>99</v>
      </c>
      <c r="J3" s="691"/>
      <c r="K3" s="692"/>
      <c r="L3" s="691"/>
      <c r="M3" s="690"/>
      <c r="N3" s="693"/>
      <c r="O3" s="25"/>
      <c r="P3" s="682"/>
      <c r="Q3" s="683"/>
      <c r="R3" s="684"/>
    </row>
    <row r="4" spans="1:18" ht="15" customHeight="1" x14ac:dyDescent="0.3">
      <c r="A4" s="647" t="s">
        <v>17</v>
      </c>
      <c r="B4" s="648"/>
      <c r="C4" s="697">
        <v>45898</v>
      </c>
      <c r="D4" s="698"/>
      <c r="E4" s="697">
        <v>45898</v>
      </c>
      <c r="F4" s="698"/>
      <c r="G4" s="697">
        <v>45898</v>
      </c>
      <c r="H4" s="698"/>
      <c r="I4" s="697">
        <v>45898</v>
      </c>
      <c r="J4" s="698"/>
      <c r="K4" s="699"/>
      <c r="L4" s="698"/>
      <c r="M4" s="697"/>
      <c r="N4" s="700"/>
      <c r="O4" s="25"/>
      <c r="P4" s="682"/>
      <c r="Q4" s="683"/>
      <c r="R4" s="684"/>
    </row>
    <row r="5" spans="1:18" ht="15" customHeight="1" x14ac:dyDescent="0.3">
      <c r="A5" s="647" t="s">
        <v>23</v>
      </c>
      <c r="B5" s="648"/>
      <c r="C5" s="61">
        <v>1</v>
      </c>
      <c r="D5" s="247">
        <f>IF(DATEDIF(C4,$R$1,"m")&lt;C5*12,DATEDIF(C4,$R$1,"m"),C5*12)</f>
        <v>0</v>
      </c>
      <c r="E5" s="61">
        <v>20</v>
      </c>
      <c r="F5" s="247">
        <f>IF(DATEDIF(E4,$R$1,"m")&lt;E5*12,DATEDIF(E4,$R$1,"m"),E5*12)</f>
        <v>0</v>
      </c>
      <c r="G5" s="227">
        <v>20</v>
      </c>
      <c r="H5" s="247">
        <f>IF(DATEDIF(G4,$R$1,"m")&lt;G5*12,DATEDIF(G4,$R$1,"m"),G5*12)</f>
        <v>0</v>
      </c>
      <c r="I5" s="61">
        <v>20</v>
      </c>
      <c r="J5" s="62">
        <f>IF(DATEDIF(I4,$R$1,"m")&lt;I5*12,DATEDIF(I4,$R$1,"m"),I5*12)</f>
        <v>0</v>
      </c>
      <c r="K5" s="227"/>
      <c r="L5" s="247"/>
      <c r="M5" s="61"/>
      <c r="N5" s="64"/>
      <c r="O5" s="25"/>
      <c r="P5" s="682"/>
      <c r="Q5" s="683"/>
      <c r="R5" s="684"/>
    </row>
    <row r="6" spans="1:18" ht="15" customHeight="1" x14ac:dyDescent="0.3">
      <c r="A6" s="647" t="s">
        <v>2</v>
      </c>
      <c r="B6" s="648"/>
      <c r="C6" s="696" t="s">
        <v>105</v>
      </c>
      <c r="D6" s="696"/>
      <c r="E6" s="696" t="s">
        <v>96</v>
      </c>
      <c r="F6" s="696"/>
      <c r="G6" s="696" t="s">
        <v>96</v>
      </c>
      <c r="H6" s="696"/>
      <c r="I6" s="690" t="s">
        <v>106</v>
      </c>
      <c r="J6" s="691"/>
      <c r="K6" s="691"/>
      <c r="L6" s="696"/>
      <c r="M6" s="690"/>
      <c r="N6" s="693"/>
      <c r="O6" s="25"/>
      <c r="P6" s="685"/>
      <c r="Q6" s="686"/>
      <c r="R6" s="687"/>
    </row>
    <row r="7" spans="1:18" ht="15" customHeight="1" x14ac:dyDescent="0.3">
      <c r="A7" s="632" t="s">
        <v>37</v>
      </c>
      <c r="B7" s="633"/>
      <c r="C7" s="701" t="s">
        <v>173</v>
      </c>
      <c r="D7" s="702"/>
      <c r="E7" s="701" t="s">
        <v>109</v>
      </c>
      <c r="F7" s="702"/>
      <c r="G7" s="701" t="s">
        <v>109</v>
      </c>
      <c r="H7" s="702"/>
      <c r="I7" s="701" t="s">
        <v>138</v>
      </c>
      <c r="J7" s="702"/>
      <c r="K7" s="703"/>
      <c r="L7" s="702"/>
      <c r="M7" s="701"/>
      <c r="N7" s="704"/>
      <c r="O7" s="25"/>
      <c r="P7" s="643"/>
      <c r="Q7" s="644"/>
      <c r="R7" s="27" t="s">
        <v>91</v>
      </c>
    </row>
    <row r="8" spans="1:18" ht="15" customHeight="1" x14ac:dyDescent="0.3">
      <c r="A8" s="639" t="s">
        <v>12</v>
      </c>
      <c r="B8" s="640"/>
      <c r="C8" s="705">
        <v>33040</v>
      </c>
      <c r="D8" s="705"/>
      <c r="E8" s="705">
        <v>176891</v>
      </c>
      <c r="F8" s="705"/>
      <c r="G8" s="705">
        <v>187104</v>
      </c>
      <c r="H8" s="705"/>
      <c r="I8" s="706">
        <v>16951</v>
      </c>
      <c r="J8" s="707"/>
      <c r="K8" s="707"/>
      <c r="L8" s="705"/>
      <c r="M8" s="706"/>
      <c r="N8" s="708"/>
      <c r="O8" s="26"/>
      <c r="P8" s="637" t="s">
        <v>34</v>
      </c>
      <c r="Q8" s="638"/>
      <c r="R8" s="79">
        <f>SUM(B8:N8)</f>
        <v>413986</v>
      </c>
    </row>
    <row r="9" spans="1:18" ht="15" customHeight="1" x14ac:dyDescent="0.3">
      <c r="A9" s="637" t="s">
        <v>3</v>
      </c>
      <c r="B9" s="638"/>
      <c r="C9" s="709">
        <f>C8*C5*12</f>
        <v>396480</v>
      </c>
      <c r="D9" s="711"/>
      <c r="E9" s="709">
        <f>E8*E5*12</f>
        <v>42453840</v>
      </c>
      <c r="F9" s="711"/>
      <c r="G9" s="709">
        <f>G8*G5*12</f>
        <v>44904960</v>
      </c>
      <c r="H9" s="711"/>
      <c r="I9" s="709">
        <f>I8*I5*12</f>
        <v>4068240</v>
      </c>
      <c r="J9" s="711"/>
      <c r="K9" s="712"/>
      <c r="L9" s="711"/>
      <c r="M9" s="709"/>
      <c r="N9" s="710"/>
      <c r="O9" s="26"/>
      <c r="P9" s="637" t="s">
        <v>33</v>
      </c>
      <c r="Q9" s="638"/>
      <c r="R9" s="80">
        <f t="shared" ref="R9:R11" si="0">SUM(B9:N9)</f>
        <v>91823520</v>
      </c>
    </row>
    <row r="10" spans="1:18" ht="15" customHeight="1" x14ac:dyDescent="0.3">
      <c r="A10" s="637" t="s">
        <v>4</v>
      </c>
      <c r="B10" s="638"/>
      <c r="C10" s="709">
        <f>C8*D5</f>
        <v>0</v>
      </c>
      <c r="D10" s="711"/>
      <c r="E10" s="709">
        <f>E8*F5</f>
        <v>0</v>
      </c>
      <c r="F10" s="711"/>
      <c r="G10" s="709">
        <f>G8*H5</f>
        <v>0</v>
      </c>
      <c r="H10" s="711"/>
      <c r="I10" s="709">
        <f>I8*J5</f>
        <v>0</v>
      </c>
      <c r="J10" s="711"/>
      <c r="K10" s="712"/>
      <c r="L10" s="711"/>
      <c r="M10" s="709"/>
      <c r="N10" s="710"/>
      <c r="O10" s="26"/>
      <c r="P10" s="637" t="s">
        <v>31</v>
      </c>
      <c r="Q10" s="638"/>
      <c r="R10" s="80">
        <f t="shared" si="0"/>
        <v>0</v>
      </c>
    </row>
    <row r="11" spans="1:18" ht="15" customHeight="1" thickBot="1" x14ac:dyDescent="0.35">
      <c r="A11" s="632" t="s">
        <v>18</v>
      </c>
      <c r="B11" s="633"/>
      <c r="C11" s="709">
        <f>C9-C10</f>
        <v>396480</v>
      </c>
      <c r="D11" s="711"/>
      <c r="E11" s="709">
        <f>E9-E10</f>
        <v>42453840</v>
      </c>
      <c r="F11" s="711"/>
      <c r="G11" s="709">
        <f>G9-G10</f>
        <v>44904960</v>
      </c>
      <c r="H11" s="711"/>
      <c r="I11" s="709">
        <f>I9-I10</f>
        <v>4068240</v>
      </c>
      <c r="J11" s="711"/>
      <c r="K11" s="712"/>
      <c r="L11" s="711"/>
      <c r="M11" s="709"/>
      <c r="N11" s="710"/>
      <c r="O11" s="26"/>
      <c r="P11" s="663" t="s">
        <v>35</v>
      </c>
      <c r="Q11" s="664"/>
      <c r="R11" s="80">
        <f t="shared" si="0"/>
        <v>91823520</v>
      </c>
    </row>
    <row r="12" spans="1:18" ht="15" customHeight="1" x14ac:dyDescent="0.3">
      <c r="A12" s="621" t="s">
        <v>202</v>
      </c>
      <c r="B12" s="352" t="s">
        <v>149</v>
      </c>
      <c r="C12" s="8">
        <v>50000000</v>
      </c>
      <c r="D12" s="258" t="s">
        <v>174</v>
      </c>
      <c r="E12" s="8"/>
      <c r="F12" s="212"/>
      <c r="G12" s="8"/>
      <c r="H12" s="258"/>
      <c r="I12" s="231"/>
      <c r="J12" s="19"/>
      <c r="K12" s="41"/>
      <c r="L12" s="258"/>
      <c r="M12" s="231"/>
      <c r="N12" s="191"/>
      <c r="O12" s="6"/>
      <c r="P12" s="621" t="s">
        <v>202</v>
      </c>
      <c r="Q12" s="352" t="s">
        <v>149</v>
      </c>
      <c r="R12" s="81">
        <f>C12+E12+G12+I12+K12+M12</f>
        <v>50000000</v>
      </c>
    </row>
    <row r="13" spans="1:18" ht="15" customHeight="1" x14ac:dyDescent="0.3">
      <c r="A13" s="622"/>
      <c r="B13" s="353" t="s">
        <v>150</v>
      </c>
      <c r="C13" s="9">
        <v>200000</v>
      </c>
      <c r="D13" s="259" t="s">
        <v>14</v>
      </c>
      <c r="E13" s="9"/>
      <c r="F13" s="187"/>
      <c r="G13" s="9"/>
      <c r="H13" s="259"/>
      <c r="I13" s="233"/>
      <c r="J13" s="20"/>
      <c r="K13" s="28"/>
      <c r="L13" s="259"/>
      <c r="M13" s="233"/>
      <c r="N13" s="190"/>
      <c r="O13" s="6"/>
      <c r="P13" s="622"/>
      <c r="Q13" s="353" t="s">
        <v>150</v>
      </c>
      <c r="R13" s="82">
        <f t="shared" ref="R13:R37" si="1">C13+E13+G13+I13+K13+M13</f>
        <v>200000</v>
      </c>
    </row>
    <row r="14" spans="1:18" ht="15" customHeight="1" x14ac:dyDescent="0.3">
      <c r="A14" s="622"/>
      <c r="B14" s="353" t="s">
        <v>151</v>
      </c>
      <c r="C14" s="9">
        <v>50000000</v>
      </c>
      <c r="D14" s="259" t="s">
        <v>14</v>
      </c>
      <c r="E14" s="9"/>
      <c r="F14" s="187"/>
      <c r="G14" s="9"/>
      <c r="H14" s="259"/>
      <c r="I14" s="233"/>
      <c r="J14" s="20"/>
      <c r="K14" s="28"/>
      <c r="L14" s="259"/>
      <c r="M14" s="233"/>
      <c r="N14" s="190"/>
      <c r="O14" s="6"/>
      <c r="P14" s="622"/>
      <c r="Q14" s="353" t="s">
        <v>151</v>
      </c>
      <c r="R14" s="82">
        <f t="shared" si="1"/>
        <v>50000000</v>
      </c>
    </row>
    <row r="15" spans="1:18" ht="15" customHeight="1" x14ac:dyDescent="0.3">
      <c r="A15" s="622"/>
      <c r="B15" s="353" t="s">
        <v>148</v>
      </c>
      <c r="C15" s="9">
        <v>200000</v>
      </c>
      <c r="D15" s="259" t="s">
        <v>14</v>
      </c>
      <c r="E15" s="9"/>
      <c r="F15" s="187"/>
      <c r="G15" s="9"/>
      <c r="H15" s="259"/>
      <c r="I15" s="233"/>
      <c r="J15" s="20"/>
      <c r="K15" s="28"/>
      <c r="L15" s="259"/>
      <c r="M15" s="233"/>
      <c r="N15" s="190"/>
      <c r="O15" s="6"/>
      <c r="P15" s="622"/>
      <c r="Q15" s="353" t="s">
        <v>148</v>
      </c>
      <c r="R15" s="82">
        <f t="shared" si="1"/>
        <v>200000</v>
      </c>
    </row>
    <row r="16" spans="1:18" ht="15" customHeight="1" thickBot="1" x14ac:dyDescent="0.35">
      <c r="A16" s="623"/>
      <c r="B16" s="354" t="s">
        <v>89</v>
      </c>
      <c r="C16" s="7">
        <v>3500000</v>
      </c>
      <c r="D16" s="262" t="s">
        <v>14</v>
      </c>
      <c r="E16" s="7"/>
      <c r="F16" s="213"/>
      <c r="G16" s="42"/>
      <c r="H16" s="262"/>
      <c r="I16" s="236"/>
      <c r="J16" s="18"/>
      <c r="K16" s="42"/>
      <c r="L16" s="262"/>
      <c r="M16" s="236"/>
      <c r="N16" s="192"/>
      <c r="O16" s="6"/>
      <c r="P16" s="623"/>
      <c r="Q16" s="354" t="s">
        <v>89</v>
      </c>
      <c r="R16" s="83">
        <f t="shared" si="1"/>
        <v>3500000</v>
      </c>
    </row>
    <row r="17" spans="1:18" ht="15" customHeight="1" x14ac:dyDescent="0.3">
      <c r="A17" s="624" t="s">
        <v>50</v>
      </c>
      <c r="B17" s="344" t="s">
        <v>168</v>
      </c>
      <c r="C17" s="8"/>
      <c r="D17" s="294"/>
      <c r="E17" s="8">
        <v>50000000</v>
      </c>
      <c r="F17" s="248" t="s">
        <v>96</v>
      </c>
      <c r="G17" s="8">
        <v>10000000</v>
      </c>
      <c r="H17" s="313" t="s">
        <v>96</v>
      </c>
      <c r="I17" s="8"/>
      <c r="J17" s="19"/>
      <c r="K17" s="41"/>
      <c r="L17" s="313"/>
      <c r="M17" s="8"/>
      <c r="N17" s="191"/>
      <c r="O17" s="6"/>
      <c r="P17" s="626" t="s">
        <v>50</v>
      </c>
      <c r="Q17" s="342" t="s">
        <v>168</v>
      </c>
      <c r="R17" s="81">
        <f>C17+E17+G17+I17+K17+M17</f>
        <v>60000000</v>
      </c>
    </row>
    <row r="18" spans="1:18" ht="15" customHeight="1" x14ac:dyDescent="0.3">
      <c r="A18" s="625"/>
      <c r="B18" s="343" t="s">
        <v>163</v>
      </c>
      <c r="C18" s="9"/>
      <c r="D18" s="295"/>
      <c r="E18" s="9">
        <v>10000000</v>
      </c>
      <c r="F18" s="260" t="s">
        <v>179</v>
      </c>
      <c r="G18" s="9"/>
      <c r="H18" s="312"/>
      <c r="I18" s="10"/>
      <c r="J18" s="21"/>
      <c r="K18" s="28"/>
      <c r="L18" s="312"/>
      <c r="M18" s="10"/>
      <c r="N18" s="193"/>
      <c r="O18" s="6"/>
      <c r="P18" s="627"/>
      <c r="Q18" s="343" t="s">
        <v>163</v>
      </c>
      <c r="R18" s="82">
        <f t="shared" si="1"/>
        <v>10000000</v>
      </c>
    </row>
    <row r="19" spans="1:18" ht="15" customHeight="1" x14ac:dyDescent="0.3">
      <c r="A19" s="625"/>
      <c r="B19" s="326" t="s">
        <v>162</v>
      </c>
      <c r="C19" s="9"/>
      <c r="D19" s="279"/>
      <c r="E19" s="9">
        <v>20000000</v>
      </c>
      <c r="F19" s="260" t="s">
        <v>181</v>
      </c>
      <c r="G19" s="9"/>
      <c r="H19" s="260"/>
      <c r="I19" s="10"/>
      <c r="J19" s="21"/>
      <c r="K19" s="28"/>
      <c r="L19" s="260"/>
      <c r="M19" s="10"/>
      <c r="N19" s="193"/>
      <c r="O19" s="6"/>
      <c r="P19" s="627"/>
      <c r="Q19" s="326" t="s">
        <v>162</v>
      </c>
      <c r="R19" s="82">
        <f t="shared" si="1"/>
        <v>20000000</v>
      </c>
    </row>
    <row r="20" spans="1:18" ht="15" customHeight="1" x14ac:dyDescent="0.3">
      <c r="A20" s="625"/>
      <c r="B20" s="343" t="s">
        <v>164</v>
      </c>
      <c r="C20" s="9"/>
      <c r="D20" s="296"/>
      <c r="E20" s="9">
        <v>10000000</v>
      </c>
      <c r="F20" s="260" t="s">
        <v>179</v>
      </c>
      <c r="G20" s="9"/>
      <c r="H20" s="312"/>
      <c r="I20" s="10"/>
      <c r="J20" s="21"/>
      <c r="K20" s="28"/>
      <c r="L20" s="312"/>
      <c r="M20" s="10"/>
      <c r="N20" s="193"/>
      <c r="O20" s="6"/>
      <c r="P20" s="627"/>
      <c r="Q20" s="343" t="s">
        <v>164</v>
      </c>
      <c r="R20" s="82">
        <f t="shared" si="1"/>
        <v>10000000</v>
      </c>
    </row>
    <row r="21" spans="1:18" ht="15" customHeight="1" x14ac:dyDescent="0.3">
      <c r="A21" s="625"/>
      <c r="B21" s="326" t="s">
        <v>165</v>
      </c>
      <c r="C21" s="9"/>
      <c r="D21" s="296"/>
      <c r="E21" s="9">
        <v>60000000</v>
      </c>
      <c r="F21" s="260" t="s">
        <v>181</v>
      </c>
      <c r="G21" s="9"/>
      <c r="H21" s="312"/>
      <c r="I21" s="10"/>
      <c r="J21" s="21"/>
      <c r="K21" s="28"/>
      <c r="L21" s="312"/>
      <c r="M21" s="10"/>
      <c r="N21" s="193"/>
      <c r="O21" s="6"/>
      <c r="P21" s="627"/>
      <c r="Q21" s="326" t="s">
        <v>165</v>
      </c>
      <c r="R21" s="82">
        <f t="shared" si="1"/>
        <v>60000000</v>
      </c>
    </row>
    <row r="22" spans="1:18" ht="15" customHeight="1" x14ac:dyDescent="0.3">
      <c r="A22" s="625"/>
      <c r="B22" s="326" t="s">
        <v>184</v>
      </c>
      <c r="C22" s="9"/>
      <c r="D22" s="296"/>
      <c r="E22" s="9">
        <v>40000000</v>
      </c>
      <c r="F22" s="260" t="s">
        <v>181</v>
      </c>
      <c r="G22" s="9"/>
      <c r="H22" s="312"/>
      <c r="I22" s="10"/>
      <c r="J22" s="21"/>
      <c r="K22" s="28"/>
      <c r="L22" s="312"/>
      <c r="M22" s="10"/>
      <c r="N22" s="193"/>
      <c r="O22" s="6"/>
      <c r="P22" s="627"/>
      <c r="Q22" s="326" t="s">
        <v>184</v>
      </c>
      <c r="R22" s="82">
        <f t="shared" si="1"/>
        <v>40000000</v>
      </c>
    </row>
    <row r="23" spans="1:18" ht="15" customHeight="1" x14ac:dyDescent="0.3">
      <c r="A23" s="625"/>
      <c r="B23" s="326" t="s">
        <v>185</v>
      </c>
      <c r="C23" s="9"/>
      <c r="D23" s="296"/>
      <c r="E23" s="9">
        <v>20000000</v>
      </c>
      <c r="F23" s="296" t="s">
        <v>96</v>
      </c>
      <c r="G23" s="9"/>
      <c r="H23" s="312"/>
      <c r="I23" s="10"/>
      <c r="J23" s="21"/>
      <c r="K23" s="28"/>
      <c r="L23" s="312"/>
      <c r="M23" s="10"/>
      <c r="N23" s="193"/>
      <c r="O23" s="6"/>
      <c r="P23" s="627"/>
      <c r="Q23" s="326" t="s">
        <v>185</v>
      </c>
      <c r="R23" s="82">
        <f t="shared" si="1"/>
        <v>20000000</v>
      </c>
    </row>
    <row r="24" spans="1:18" ht="15" customHeight="1" x14ac:dyDescent="0.3">
      <c r="A24" s="625"/>
      <c r="B24" s="343" t="s">
        <v>166</v>
      </c>
      <c r="C24" s="9"/>
      <c r="D24" s="296"/>
      <c r="E24" s="35">
        <v>10000000</v>
      </c>
      <c r="F24" s="260" t="s">
        <v>179</v>
      </c>
      <c r="G24" s="35"/>
      <c r="H24" s="312"/>
      <c r="I24" s="36"/>
      <c r="J24" s="260"/>
      <c r="K24" s="44"/>
      <c r="L24" s="312"/>
      <c r="M24" s="36"/>
      <c r="N24" s="256"/>
      <c r="O24" s="6"/>
      <c r="P24" s="627"/>
      <c r="Q24" s="343" t="s">
        <v>166</v>
      </c>
      <c r="R24" s="82">
        <f t="shared" si="1"/>
        <v>10000000</v>
      </c>
    </row>
    <row r="25" spans="1:18" ht="15" customHeight="1" x14ac:dyDescent="0.3">
      <c r="A25" s="625"/>
      <c r="B25" s="326" t="s">
        <v>167</v>
      </c>
      <c r="C25" s="35"/>
      <c r="D25" s="340"/>
      <c r="E25" s="35">
        <v>40000000</v>
      </c>
      <c r="F25" s="341" t="s">
        <v>181</v>
      </c>
      <c r="G25" s="35"/>
      <c r="H25" s="312"/>
      <c r="I25" s="36"/>
      <c r="J25" s="260"/>
      <c r="K25" s="44"/>
      <c r="L25" s="312"/>
      <c r="M25" s="36"/>
      <c r="N25" s="256"/>
      <c r="O25" s="6"/>
      <c r="P25" s="627"/>
      <c r="Q25" s="326" t="s">
        <v>167</v>
      </c>
      <c r="R25" s="82">
        <f t="shared" si="1"/>
        <v>40000000</v>
      </c>
    </row>
    <row r="26" spans="1:18" ht="15" customHeight="1" thickBot="1" x14ac:dyDescent="0.35">
      <c r="A26" s="625"/>
      <c r="B26" s="327" t="s">
        <v>186</v>
      </c>
      <c r="C26" s="7"/>
      <c r="D26" s="293"/>
      <c r="E26" s="7">
        <v>40000000</v>
      </c>
      <c r="F26" s="293" t="s">
        <v>181</v>
      </c>
      <c r="G26" s="7"/>
      <c r="H26" s="312"/>
      <c r="I26" s="7"/>
      <c r="J26" s="260"/>
      <c r="K26" s="42"/>
      <c r="L26" s="312"/>
      <c r="M26" s="7"/>
      <c r="N26" s="256"/>
      <c r="O26" s="6"/>
      <c r="P26" s="627"/>
      <c r="Q26" s="327" t="s">
        <v>186</v>
      </c>
      <c r="R26" s="83">
        <f t="shared" si="1"/>
        <v>40000000</v>
      </c>
    </row>
    <row r="27" spans="1:18" ht="15" customHeight="1" x14ac:dyDescent="0.3">
      <c r="A27" s="630" t="s">
        <v>19</v>
      </c>
      <c r="B27" s="355" t="s">
        <v>51</v>
      </c>
      <c r="C27" s="9"/>
      <c r="D27" s="258"/>
      <c r="E27" s="9"/>
      <c r="F27" s="212"/>
      <c r="G27" s="9">
        <v>10000000</v>
      </c>
      <c r="H27" s="313" t="s">
        <v>96</v>
      </c>
      <c r="I27" s="8"/>
      <c r="J27" s="258"/>
      <c r="K27" s="28"/>
      <c r="L27" s="313"/>
      <c r="M27" s="8"/>
      <c r="N27" s="255"/>
      <c r="O27" s="6"/>
      <c r="P27" s="630" t="s">
        <v>19</v>
      </c>
      <c r="Q27" s="355" t="s">
        <v>51</v>
      </c>
      <c r="R27" s="81">
        <f>C27+E27+G27+I27+K27+M27</f>
        <v>10000000</v>
      </c>
    </row>
    <row r="28" spans="1:18" ht="15" customHeight="1" x14ac:dyDescent="0.3">
      <c r="A28" s="631"/>
      <c r="B28" s="356" t="s">
        <v>43</v>
      </c>
      <c r="C28" s="9"/>
      <c r="D28" s="260"/>
      <c r="E28" s="9"/>
      <c r="F28" s="248"/>
      <c r="G28" s="9">
        <v>20000000</v>
      </c>
      <c r="H28" s="312" t="s">
        <v>118</v>
      </c>
      <c r="I28" s="10"/>
      <c r="J28" s="260"/>
      <c r="K28" s="28"/>
      <c r="L28" s="312"/>
      <c r="M28" s="10"/>
      <c r="N28" s="256"/>
      <c r="O28" s="6"/>
      <c r="P28" s="631"/>
      <c r="Q28" s="356" t="s">
        <v>43</v>
      </c>
      <c r="R28" s="82">
        <f t="shared" si="1"/>
        <v>20000000</v>
      </c>
    </row>
    <row r="29" spans="1:18" ht="15" customHeight="1" thickBot="1" x14ac:dyDescent="0.35">
      <c r="A29" s="631"/>
      <c r="B29" s="357" t="s">
        <v>53</v>
      </c>
      <c r="C29" s="36"/>
      <c r="D29" s="261"/>
      <c r="E29" s="36"/>
      <c r="F29" s="277"/>
      <c r="G29" s="36">
        <v>20000000</v>
      </c>
      <c r="H29" s="319" t="s">
        <v>118</v>
      </c>
      <c r="I29" s="36"/>
      <c r="J29" s="261"/>
      <c r="K29" s="49"/>
      <c r="L29" s="319"/>
      <c r="M29" s="36"/>
      <c r="N29" s="254"/>
      <c r="O29" s="6"/>
      <c r="P29" s="631"/>
      <c r="Q29" s="357" t="s">
        <v>53</v>
      </c>
      <c r="R29" s="84">
        <f t="shared" si="1"/>
        <v>20000000</v>
      </c>
    </row>
    <row r="30" spans="1:18" ht="15" customHeight="1" x14ac:dyDescent="0.3">
      <c r="A30" s="631"/>
      <c r="B30" s="358" t="s">
        <v>65</v>
      </c>
      <c r="C30" s="8"/>
      <c r="D30" s="258"/>
      <c r="E30" s="8"/>
      <c r="F30" s="212"/>
      <c r="G30" s="8">
        <v>10000000</v>
      </c>
      <c r="H30" s="313" t="s">
        <v>118</v>
      </c>
      <c r="I30" s="8"/>
      <c r="J30" s="258"/>
      <c r="K30" s="41"/>
      <c r="L30" s="313"/>
      <c r="M30" s="8"/>
      <c r="N30" s="255"/>
      <c r="O30" s="6"/>
      <c r="P30" s="631"/>
      <c r="Q30" s="358" t="s">
        <v>65</v>
      </c>
      <c r="R30" s="81">
        <f t="shared" si="1"/>
        <v>10000000</v>
      </c>
    </row>
    <row r="31" spans="1:18" ht="15" customHeight="1" x14ac:dyDescent="0.3">
      <c r="A31" s="631"/>
      <c r="B31" s="359" t="s">
        <v>8</v>
      </c>
      <c r="C31" s="9"/>
      <c r="D31" s="260"/>
      <c r="E31" s="9"/>
      <c r="F31" s="248"/>
      <c r="G31" s="9">
        <v>20000000</v>
      </c>
      <c r="H31" s="312" t="s">
        <v>118</v>
      </c>
      <c r="I31" s="9"/>
      <c r="J31" s="260"/>
      <c r="K31" s="28"/>
      <c r="L31" s="312"/>
      <c r="M31" s="9"/>
      <c r="N31" s="256"/>
      <c r="O31" s="6"/>
      <c r="P31" s="631"/>
      <c r="Q31" s="359" t="s">
        <v>8</v>
      </c>
      <c r="R31" s="82">
        <f t="shared" si="1"/>
        <v>20000000</v>
      </c>
    </row>
    <row r="32" spans="1:18" ht="15" customHeight="1" thickBot="1" x14ac:dyDescent="0.35">
      <c r="A32" s="631"/>
      <c r="B32" s="360" t="s">
        <v>5</v>
      </c>
      <c r="C32" s="7"/>
      <c r="D32" s="262"/>
      <c r="E32" s="7"/>
      <c r="F32" s="213"/>
      <c r="G32" s="42">
        <v>20000000</v>
      </c>
      <c r="H32" s="311" t="s">
        <v>118</v>
      </c>
      <c r="I32" s="7"/>
      <c r="J32" s="262"/>
      <c r="K32" s="42"/>
      <c r="L32" s="311"/>
      <c r="M32" s="7"/>
      <c r="N32" s="263"/>
      <c r="O32" s="6"/>
      <c r="P32" s="631"/>
      <c r="Q32" s="360" t="s">
        <v>5</v>
      </c>
      <c r="R32" s="83">
        <f t="shared" si="1"/>
        <v>20000000</v>
      </c>
    </row>
    <row r="33" spans="1:19" ht="15" customHeight="1" x14ac:dyDescent="0.3">
      <c r="A33" s="631"/>
      <c r="B33" s="361" t="s">
        <v>199</v>
      </c>
      <c r="C33" s="8"/>
      <c r="D33" s="258"/>
      <c r="E33" s="8"/>
      <c r="F33" s="212"/>
      <c r="G33" s="8"/>
      <c r="H33" s="313"/>
      <c r="I33" s="8"/>
      <c r="J33" s="258"/>
      <c r="K33" s="41"/>
      <c r="L33" s="313"/>
      <c r="M33" s="8"/>
      <c r="N33" s="255"/>
      <c r="O33" s="6"/>
      <c r="P33" s="631"/>
      <c r="Q33" s="361" t="s">
        <v>199</v>
      </c>
      <c r="R33" s="81">
        <f t="shared" ref="R33:R35" si="2">C33+E33+G33+I33+K33+M33</f>
        <v>0</v>
      </c>
    </row>
    <row r="34" spans="1:19" ht="15" customHeight="1" x14ac:dyDescent="0.3">
      <c r="A34" s="631"/>
      <c r="B34" s="362" t="s">
        <v>200</v>
      </c>
      <c r="C34" s="9"/>
      <c r="D34" s="260"/>
      <c r="E34" s="9"/>
      <c r="F34" s="248"/>
      <c r="G34" s="9"/>
      <c r="H34" s="312"/>
      <c r="I34" s="9"/>
      <c r="J34" s="260"/>
      <c r="K34" s="28"/>
      <c r="L34" s="312"/>
      <c r="M34" s="9"/>
      <c r="N34" s="256"/>
      <c r="O34" s="6"/>
      <c r="P34" s="631"/>
      <c r="Q34" s="362" t="s">
        <v>200</v>
      </c>
      <c r="R34" s="82">
        <f t="shared" si="2"/>
        <v>0</v>
      </c>
    </row>
    <row r="35" spans="1:19" ht="15" customHeight="1" thickBot="1" x14ac:dyDescent="0.35">
      <c r="A35" s="631"/>
      <c r="B35" s="363" t="s">
        <v>201</v>
      </c>
      <c r="C35" s="7"/>
      <c r="D35" s="262"/>
      <c r="E35" s="7"/>
      <c r="F35" s="213"/>
      <c r="G35" s="42"/>
      <c r="H35" s="311"/>
      <c r="I35" s="7"/>
      <c r="J35" s="262"/>
      <c r="K35" s="42"/>
      <c r="L35" s="311"/>
      <c r="M35" s="7"/>
      <c r="N35" s="263"/>
      <c r="O35" s="6"/>
      <c r="P35" s="631"/>
      <c r="Q35" s="363" t="s">
        <v>201</v>
      </c>
      <c r="R35" s="83">
        <f t="shared" si="2"/>
        <v>0</v>
      </c>
    </row>
    <row r="36" spans="1:19" ht="15" customHeight="1" x14ac:dyDescent="0.3">
      <c r="A36" s="611" t="s">
        <v>16</v>
      </c>
      <c r="B36" s="364" t="s">
        <v>36</v>
      </c>
      <c r="C36" s="8"/>
      <c r="D36" s="269"/>
      <c r="E36" s="8"/>
      <c r="F36" s="212"/>
      <c r="G36" s="8"/>
      <c r="H36" s="313"/>
      <c r="I36" s="8"/>
      <c r="J36" s="258"/>
      <c r="K36" s="41"/>
      <c r="L36" s="313"/>
      <c r="M36" s="8"/>
      <c r="N36" s="255"/>
      <c r="O36" s="6"/>
      <c r="P36" s="611" t="s">
        <v>16</v>
      </c>
      <c r="Q36" s="364" t="s">
        <v>36</v>
      </c>
      <c r="R36" s="81">
        <f>C36+E36+G36+I36+K36+M36</f>
        <v>0</v>
      </c>
    </row>
    <row r="37" spans="1:19" ht="15" customHeight="1" x14ac:dyDescent="0.3">
      <c r="A37" s="612"/>
      <c r="B37" s="365" t="s">
        <v>81</v>
      </c>
      <c r="C37" s="9"/>
      <c r="D37" s="270"/>
      <c r="E37" s="9"/>
      <c r="F37" s="187"/>
      <c r="G37" s="9"/>
      <c r="H37" s="187"/>
      <c r="I37" s="9"/>
      <c r="J37" s="259"/>
      <c r="K37" s="28"/>
      <c r="L37" s="314"/>
      <c r="M37" s="9"/>
      <c r="N37" s="257"/>
      <c r="O37" s="6"/>
      <c r="P37" s="612"/>
      <c r="Q37" s="365" t="s">
        <v>81</v>
      </c>
      <c r="R37" s="82">
        <f t="shared" si="1"/>
        <v>0</v>
      </c>
    </row>
    <row r="38" spans="1:19" ht="15" customHeight="1" x14ac:dyDescent="0.3">
      <c r="A38" s="612"/>
      <c r="B38" s="365" t="s">
        <v>78</v>
      </c>
      <c r="C38" s="9"/>
      <c r="D38" s="297"/>
      <c r="E38" s="9"/>
      <c r="F38" s="297"/>
      <c r="G38" s="9"/>
      <c r="H38" s="259"/>
      <c r="I38" s="9"/>
      <c r="J38" s="259"/>
      <c r="K38" s="28"/>
      <c r="L38" s="314"/>
      <c r="M38" s="9"/>
      <c r="N38" s="257"/>
      <c r="O38" s="6"/>
      <c r="P38" s="612"/>
      <c r="Q38" s="365" t="s">
        <v>78</v>
      </c>
      <c r="R38" s="82">
        <f t="shared" ref="R38:R50" si="3">C38+E38+G38+I38+K38+M38</f>
        <v>0</v>
      </c>
    </row>
    <row r="39" spans="1:19" ht="15" customHeight="1" thickBot="1" x14ac:dyDescent="0.35">
      <c r="A39" s="613"/>
      <c r="B39" s="366" t="s">
        <v>87</v>
      </c>
      <c r="C39" s="7"/>
      <c r="D39" s="298"/>
      <c r="E39" s="7"/>
      <c r="F39" s="298"/>
      <c r="G39" s="9"/>
      <c r="H39" s="262"/>
      <c r="I39" s="7"/>
      <c r="J39" s="262"/>
      <c r="K39" s="28"/>
      <c r="L39" s="311"/>
      <c r="M39" s="7"/>
      <c r="N39" s="263"/>
      <c r="O39" s="6"/>
      <c r="P39" s="613"/>
      <c r="Q39" s="366" t="s">
        <v>87</v>
      </c>
      <c r="R39" s="83">
        <f t="shared" si="3"/>
        <v>0</v>
      </c>
    </row>
    <row r="40" spans="1:19" ht="15" customHeight="1" x14ac:dyDescent="0.3">
      <c r="A40" s="614" t="s">
        <v>47</v>
      </c>
      <c r="B40" s="367" t="s">
        <v>48</v>
      </c>
      <c r="C40" s="10"/>
      <c r="D40" s="299"/>
      <c r="E40" s="10"/>
      <c r="F40" s="299"/>
      <c r="G40" s="8"/>
      <c r="H40" s="258"/>
      <c r="I40" s="8"/>
      <c r="J40" s="258"/>
      <c r="K40" s="41"/>
      <c r="L40" s="313"/>
      <c r="M40" s="8"/>
      <c r="N40" s="255"/>
      <c r="O40" s="6"/>
      <c r="P40" s="614" t="s">
        <v>47</v>
      </c>
      <c r="Q40" s="367" t="s">
        <v>48</v>
      </c>
      <c r="R40" s="81">
        <f t="shared" si="3"/>
        <v>0</v>
      </c>
    </row>
    <row r="41" spans="1:19" ht="15" customHeight="1" x14ac:dyDescent="0.3">
      <c r="A41" s="615"/>
      <c r="B41" s="368" t="s">
        <v>44</v>
      </c>
      <c r="C41" s="9"/>
      <c r="D41" s="300"/>
      <c r="E41" s="9"/>
      <c r="F41" s="300"/>
      <c r="G41" s="9"/>
      <c r="H41" s="259"/>
      <c r="I41" s="9"/>
      <c r="J41" s="259"/>
      <c r="K41" s="28"/>
      <c r="L41" s="314"/>
      <c r="M41" s="9"/>
      <c r="N41" s="257"/>
      <c r="O41" s="6"/>
      <c r="P41" s="615"/>
      <c r="Q41" s="368" t="s">
        <v>44</v>
      </c>
      <c r="R41" s="82">
        <f t="shared" si="3"/>
        <v>0</v>
      </c>
    </row>
    <row r="42" spans="1:19" ht="15" customHeight="1" thickBot="1" x14ac:dyDescent="0.35">
      <c r="A42" s="616"/>
      <c r="B42" s="369" t="s">
        <v>54</v>
      </c>
      <c r="C42" s="7"/>
      <c r="D42" s="301"/>
      <c r="E42" s="7"/>
      <c r="F42" s="301"/>
      <c r="G42" s="7">
        <v>30000000</v>
      </c>
      <c r="H42" s="303" t="s">
        <v>96</v>
      </c>
      <c r="I42" s="7"/>
      <c r="J42" s="262"/>
      <c r="K42" s="42"/>
      <c r="L42" s="311"/>
      <c r="M42" s="7"/>
      <c r="N42" s="263"/>
      <c r="O42" s="6"/>
      <c r="P42" s="616"/>
      <c r="Q42" s="369" t="s">
        <v>54</v>
      </c>
      <c r="R42" s="83">
        <f t="shared" si="3"/>
        <v>30000000</v>
      </c>
      <c r="S42" s="2"/>
    </row>
    <row r="43" spans="1:19" ht="15" customHeight="1" x14ac:dyDescent="0.3">
      <c r="A43" s="617" t="s">
        <v>39</v>
      </c>
      <c r="B43" s="370" t="s">
        <v>44</v>
      </c>
      <c r="C43" s="41"/>
      <c r="D43" s="294"/>
      <c r="E43" s="41"/>
      <c r="F43" s="294"/>
      <c r="G43" s="41">
        <v>500000</v>
      </c>
      <c r="H43" s="294" t="s">
        <v>96</v>
      </c>
      <c r="I43" s="10"/>
      <c r="J43" s="260"/>
      <c r="K43" s="41"/>
      <c r="L43" s="313"/>
      <c r="M43" s="10"/>
      <c r="N43" s="256"/>
      <c r="O43" s="6"/>
      <c r="P43" s="617" t="s">
        <v>39</v>
      </c>
      <c r="Q43" s="370" t="s">
        <v>44</v>
      </c>
      <c r="R43" s="81">
        <f t="shared" si="3"/>
        <v>500000</v>
      </c>
    </row>
    <row r="44" spans="1:19" ht="15" customHeight="1" x14ac:dyDescent="0.3">
      <c r="A44" s="618"/>
      <c r="B44" s="370" t="s">
        <v>54</v>
      </c>
      <c r="C44" s="28"/>
      <c r="D44" s="302"/>
      <c r="E44" s="28"/>
      <c r="F44" s="302"/>
      <c r="G44" s="28">
        <v>1200000</v>
      </c>
      <c r="H44" s="302" t="s">
        <v>118</v>
      </c>
      <c r="I44" s="9"/>
      <c r="J44" s="260"/>
      <c r="K44" s="28"/>
      <c r="L44" s="314"/>
      <c r="M44" s="9"/>
      <c r="N44" s="256"/>
      <c r="O44" s="6"/>
      <c r="P44" s="618"/>
      <c r="Q44" s="370" t="s">
        <v>54</v>
      </c>
      <c r="R44" s="86">
        <f t="shared" si="3"/>
        <v>1200000</v>
      </c>
    </row>
    <row r="45" spans="1:19" ht="15" customHeight="1" x14ac:dyDescent="0.3">
      <c r="A45" s="618"/>
      <c r="B45" s="370" t="s">
        <v>100</v>
      </c>
      <c r="C45" s="28"/>
      <c r="D45" s="302"/>
      <c r="E45" s="28"/>
      <c r="F45" s="302"/>
      <c r="G45" s="28">
        <v>5300000</v>
      </c>
      <c r="H45" s="302" t="s">
        <v>118</v>
      </c>
      <c r="I45" s="9"/>
      <c r="J45" s="260"/>
      <c r="K45" s="28"/>
      <c r="L45" s="312"/>
      <c r="M45" s="9"/>
      <c r="N45" s="256"/>
      <c r="O45" s="6"/>
      <c r="P45" s="618"/>
      <c r="Q45" s="370" t="s">
        <v>100</v>
      </c>
      <c r="R45" s="82">
        <f t="shared" si="3"/>
        <v>5300000</v>
      </c>
    </row>
    <row r="46" spans="1:19" ht="15" customHeight="1" thickBot="1" x14ac:dyDescent="0.35">
      <c r="A46" s="618"/>
      <c r="B46" s="371" t="s">
        <v>113</v>
      </c>
      <c r="C46" s="44"/>
      <c r="D46" s="303"/>
      <c r="E46" s="44"/>
      <c r="F46" s="303"/>
      <c r="G46" s="44"/>
      <c r="H46" s="303"/>
      <c r="I46" s="35"/>
      <c r="J46" s="336"/>
      <c r="K46" s="44"/>
      <c r="L46" s="321"/>
      <c r="M46" s="44"/>
      <c r="N46" s="265"/>
      <c r="O46" s="6"/>
      <c r="P46" s="618"/>
      <c r="Q46" s="371" t="s">
        <v>113</v>
      </c>
      <c r="R46" s="83">
        <f t="shared" si="3"/>
        <v>0</v>
      </c>
    </row>
    <row r="47" spans="1:19" ht="15" customHeight="1" x14ac:dyDescent="0.3">
      <c r="A47" s="603" t="s">
        <v>40</v>
      </c>
      <c r="B47" s="372" t="s">
        <v>45</v>
      </c>
      <c r="C47" s="8"/>
      <c r="D47" s="304"/>
      <c r="E47" s="8"/>
      <c r="F47" s="304"/>
      <c r="G47" s="8">
        <v>500000</v>
      </c>
      <c r="H47" s="328" t="s">
        <v>118</v>
      </c>
      <c r="I47" s="8"/>
      <c r="J47" s="258"/>
      <c r="K47" s="41"/>
      <c r="L47" s="328"/>
      <c r="M47" s="8"/>
      <c r="N47" s="255"/>
      <c r="O47" s="6"/>
      <c r="P47" s="603" t="s">
        <v>40</v>
      </c>
      <c r="Q47" s="372" t="s">
        <v>45</v>
      </c>
      <c r="R47" s="81">
        <f t="shared" si="3"/>
        <v>500000</v>
      </c>
    </row>
    <row r="48" spans="1:19" ht="15" customHeight="1" thickBot="1" x14ac:dyDescent="0.35">
      <c r="A48" s="716"/>
      <c r="B48" s="373" t="s">
        <v>42</v>
      </c>
      <c r="C48" s="39"/>
      <c r="D48" s="271"/>
      <c r="E48" s="39"/>
      <c r="F48" s="271"/>
      <c r="G48" s="39">
        <v>200000</v>
      </c>
      <c r="H48" s="329" t="s">
        <v>118</v>
      </c>
      <c r="I48" s="7"/>
      <c r="J48" s="262"/>
      <c r="K48" s="50"/>
      <c r="L48" s="329"/>
      <c r="M48" s="7"/>
      <c r="N48" s="263"/>
      <c r="O48" s="6"/>
      <c r="P48" s="716"/>
      <c r="Q48" s="373" t="s">
        <v>42</v>
      </c>
      <c r="R48" s="83">
        <f t="shared" si="3"/>
        <v>200000</v>
      </c>
    </row>
    <row r="49" spans="1:18" ht="15" customHeight="1" x14ac:dyDescent="0.3">
      <c r="A49" s="608" t="s">
        <v>125</v>
      </c>
      <c r="B49" s="374" t="s">
        <v>126</v>
      </c>
      <c r="C49" s="10"/>
      <c r="D49" s="270"/>
      <c r="E49" s="10"/>
      <c r="F49" s="260"/>
      <c r="G49" s="10">
        <v>150000</v>
      </c>
      <c r="H49" s="312" t="s">
        <v>118</v>
      </c>
      <c r="I49" s="10"/>
      <c r="J49" s="260"/>
      <c r="K49" s="43"/>
      <c r="L49" s="330"/>
      <c r="M49" s="10"/>
      <c r="N49" s="256"/>
      <c r="O49" s="6"/>
      <c r="P49" s="608" t="s">
        <v>125</v>
      </c>
      <c r="Q49" s="374" t="s">
        <v>126</v>
      </c>
      <c r="R49" s="81">
        <f t="shared" si="3"/>
        <v>150000</v>
      </c>
    </row>
    <row r="50" spans="1:18" ht="15" customHeight="1" x14ac:dyDescent="0.3">
      <c r="A50" s="608"/>
      <c r="B50" s="375" t="s">
        <v>127</v>
      </c>
      <c r="C50" s="36"/>
      <c r="D50" s="306"/>
      <c r="E50" s="36"/>
      <c r="F50" s="260"/>
      <c r="G50" s="36">
        <v>60000</v>
      </c>
      <c r="H50" s="312" t="s">
        <v>118</v>
      </c>
      <c r="I50" s="36"/>
      <c r="J50" s="261"/>
      <c r="K50" s="49"/>
      <c r="L50" s="330"/>
      <c r="M50" s="36"/>
      <c r="N50" s="254"/>
      <c r="O50" s="6"/>
      <c r="P50" s="608"/>
      <c r="Q50" s="375" t="s">
        <v>127</v>
      </c>
      <c r="R50" s="307">
        <f t="shared" si="3"/>
        <v>60000</v>
      </c>
    </row>
    <row r="51" spans="1:18" ht="15" customHeight="1" thickBot="1" x14ac:dyDescent="0.35">
      <c r="A51" s="609"/>
      <c r="B51" s="376" t="s">
        <v>128</v>
      </c>
      <c r="C51" s="7"/>
      <c r="D51" s="268"/>
      <c r="E51" s="7"/>
      <c r="F51" s="260"/>
      <c r="G51" s="7">
        <v>70000</v>
      </c>
      <c r="H51" s="312" t="s">
        <v>118</v>
      </c>
      <c r="I51" s="7"/>
      <c r="J51" s="262"/>
      <c r="K51" s="42"/>
      <c r="L51" s="330"/>
      <c r="M51" s="7"/>
      <c r="N51" s="263"/>
      <c r="O51" s="6"/>
      <c r="P51" s="609"/>
      <c r="Q51" s="376" t="s">
        <v>128</v>
      </c>
      <c r="R51" s="83">
        <f t="shared" ref="R51:R55" si="4">C51+E51+G51+I51+K51+M51</f>
        <v>70000</v>
      </c>
    </row>
    <row r="52" spans="1:18" ht="15" customHeight="1" x14ac:dyDescent="0.3">
      <c r="A52" s="582" t="s">
        <v>52</v>
      </c>
      <c r="B52" s="377" t="s">
        <v>41</v>
      </c>
      <c r="C52" s="8"/>
      <c r="D52" s="291"/>
      <c r="E52" s="8"/>
      <c r="F52" s="258"/>
      <c r="G52" s="8"/>
      <c r="H52" s="313"/>
      <c r="I52" s="8">
        <v>30000000</v>
      </c>
      <c r="J52" s="328" t="s">
        <v>191</v>
      </c>
      <c r="K52" s="41"/>
      <c r="L52" s="328"/>
      <c r="M52" s="8"/>
      <c r="N52" s="331"/>
      <c r="O52" s="6"/>
      <c r="P52" s="582" t="s">
        <v>52</v>
      </c>
      <c r="Q52" s="377" t="s">
        <v>41</v>
      </c>
      <c r="R52" s="81">
        <f>C52+E52+G52+I52+K52+M52</f>
        <v>30000000</v>
      </c>
    </row>
    <row r="53" spans="1:18" ht="15" customHeight="1" x14ac:dyDescent="0.3">
      <c r="A53" s="583"/>
      <c r="B53" s="377" t="s">
        <v>11</v>
      </c>
      <c r="C53" s="9"/>
      <c r="D53" s="267"/>
      <c r="E53" s="9"/>
      <c r="G53" s="9"/>
      <c r="H53" s="314"/>
      <c r="I53" s="9">
        <v>50000000</v>
      </c>
      <c r="J53" s="337" t="s">
        <v>190</v>
      </c>
      <c r="K53" s="28"/>
      <c r="M53" s="9"/>
      <c r="N53" s="332"/>
      <c r="O53" s="6"/>
      <c r="P53" s="583"/>
      <c r="Q53" s="377" t="s">
        <v>11</v>
      </c>
      <c r="R53" s="82">
        <f t="shared" si="4"/>
        <v>50000000</v>
      </c>
    </row>
    <row r="54" spans="1:18" ht="15" customHeight="1" thickBot="1" x14ac:dyDescent="0.35">
      <c r="A54" s="584"/>
      <c r="B54" s="378" t="s">
        <v>27</v>
      </c>
      <c r="C54" s="10"/>
      <c r="D54" s="270"/>
      <c r="E54" s="10"/>
      <c r="F54" s="259"/>
      <c r="G54" s="10"/>
      <c r="H54" s="312"/>
      <c r="I54" s="10">
        <v>200000000</v>
      </c>
      <c r="J54" s="305" t="s">
        <v>190</v>
      </c>
      <c r="K54" s="43"/>
      <c r="L54" s="259"/>
      <c r="M54" s="10"/>
      <c r="N54" s="333"/>
      <c r="O54" s="6"/>
      <c r="P54" s="584"/>
      <c r="Q54" s="378" t="s">
        <v>27</v>
      </c>
      <c r="R54" s="83">
        <f t="shared" si="4"/>
        <v>200000000</v>
      </c>
    </row>
    <row r="55" spans="1:18" ht="15" customHeight="1" thickBot="1" x14ac:dyDescent="0.35">
      <c r="A55" s="585" t="s">
        <v>30</v>
      </c>
      <c r="B55" s="587"/>
      <c r="C55" s="14"/>
      <c r="D55" s="272"/>
      <c r="E55" s="14"/>
      <c r="F55" s="249"/>
      <c r="G55" s="14"/>
      <c r="H55" s="315"/>
      <c r="I55" s="14">
        <v>100000000</v>
      </c>
      <c r="J55" s="338" t="s">
        <v>190</v>
      </c>
      <c r="K55" s="53"/>
      <c r="L55" s="281"/>
      <c r="M55" s="14"/>
      <c r="N55" s="334"/>
      <c r="O55" s="6"/>
      <c r="P55" s="585" t="s">
        <v>30</v>
      </c>
      <c r="Q55" s="587"/>
      <c r="R55" s="83">
        <f t="shared" si="4"/>
        <v>100000000</v>
      </c>
    </row>
    <row r="56" spans="1:18" ht="15" customHeight="1" x14ac:dyDescent="0.3">
      <c r="A56" s="588" t="s">
        <v>38</v>
      </c>
      <c r="B56" s="713"/>
      <c r="C56" s="203"/>
      <c r="D56" s="278"/>
      <c r="E56" s="203" t="s">
        <v>182</v>
      </c>
      <c r="F56" s="278" t="s">
        <v>179</v>
      </c>
      <c r="G56" s="203" t="s">
        <v>180</v>
      </c>
      <c r="H56" s="313" t="s">
        <v>96</v>
      </c>
      <c r="I56" s="203" t="s">
        <v>139</v>
      </c>
      <c r="J56" s="328" t="s">
        <v>190</v>
      </c>
      <c r="K56" s="202"/>
      <c r="L56" s="313"/>
      <c r="M56" s="203"/>
      <c r="N56" s="331"/>
      <c r="O56" s="6"/>
      <c r="P56" s="594" t="s">
        <v>38</v>
      </c>
      <c r="Q56" s="665"/>
      <c r="R56" s="666"/>
    </row>
    <row r="57" spans="1:18" ht="15" customHeight="1" x14ac:dyDescent="0.3">
      <c r="A57" s="590"/>
      <c r="B57" s="714"/>
      <c r="C57" s="214"/>
      <c r="D57" s="279"/>
      <c r="E57" s="214" t="s">
        <v>183</v>
      </c>
      <c r="F57" s="279" t="s">
        <v>175</v>
      </c>
      <c r="G57" s="214"/>
      <c r="H57" s="314"/>
      <c r="I57" s="214" t="s">
        <v>178</v>
      </c>
      <c r="J57" s="339" t="s">
        <v>190</v>
      </c>
      <c r="K57" s="316"/>
      <c r="L57" s="314"/>
      <c r="M57" s="214"/>
      <c r="N57" s="332"/>
      <c r="O57" s="6"/>
      <c r="P57" s="595"/>
      <c r="Q57" s="667"/>
      <c r="R57" s="668"/>
    </row>
    <row r="58" spans="1:18" ht="15" customHeight="1" x14ac:dyDescent="0.3">
      <c r="A58" s="590"/>
      <c r="B58" s="714"/>
      <c r="C58" s="214"/>
      <c r="D58" s="279"/>
      <c r="E58" s="214"/>
      <c r="F58" s="279"/>
      <c r="G58" s="214"/>
      <c r="H58" s="314"/>
      <c r="I58" s="214" t="s">
        <v>188</v>
      </c>
      <c r="J58" s="339" t="s">
        <v>190</v>
      </c>
      <c r="K58" s="251"/>
      <c r="L58" s="314"/>
      <c r="M58" s="214"/>
      <c r="N58" s="333"/>
      <c r="O58" s="6"/>
      <c r="P58" s="595"/>
      <c r="Q58" s="667"/>
      <c r="R58" s="668"/>
    </row>
    <row r="59" spans="1:18" ht="15" customHeight="1" thickBot="1" x14ac:dyDescent="0.35">
      <c r="A59" s="592"/>
      <c r="B59" s="715"/>
      <c r="C59" s="250"/>
      <c r="D59" s="293"/>
      <c r="E59" s="250"/>
      <c r="F59" s="293"/>
      <c r="G59" s="250"/>
      <c r="H59" s="311"/>
      <c r="I59" s="250" t="s">
        <v>189</v>
      </c>
      <c r="J59" s="311" t="s">
        <v>190</v>
      </c>
      <c r="K59" s="253"/>
      <c r="L59" s="311"/>
      <c r="M59" s="250"/>
      <c r="N59" s="335"/>
      <c r="O59" s="6"/>
      <c r="P59" s="596"/>
      <c r="Q59" s="669"/>
      <c r="R59" s="670"/>
    </row>
    <row r="60" spans="1:18" ht="17.25" customHeight="1" x14ac:dyDescent="0.3">
      <c r="A60" s="652" t="str">
        <f>A1</f>
        <v>이민호님 보장분석(후)</v>
      </c>
      <c r="B60" s="653"/>
      <c r="C60" s="688" t="s">
        <v>152</v>
      </c>
      <c r="D60" s="695"/>
      <c r="E60" s="688"/>
      <c r="F60" s="695"/>
      <c r="G60" s="688"/>
      <c r="H60" s="695"/>
      <c r="I60" s="688"/>
      <c r="J60" s="695"/>
      <c r="K60" s="688"/>
      <c r="L60" s="695"/>
      <c r="M60" s="688"/>
      <c r="N60" s="689"/>
      <c r="O60" s="138"/>
      <c r="P60" s="650" t="s">
        <v>15</v>
      </c>
      <c r="Q60" s="651"/>
      <c r="R60" s="137">
        <f>R1</f>
        <v>45898</v>
      </c>
    </row>
    <row r="61" spans="1:18" ht="15" customHeight="1" x14ac:dyDescent="0.3">
      <c r="A61" s="647" t="s">
        <v>49</v>
      </c>
      <c r="B61" s="648"/>
      <c r="C61" s="690" t="s">
        <v>153</v>
      </c>
      <c r="D61" s="691"/>
      <c r="E61" s="690"/>
      <c r="F61" s="691"/>
      <c r="G61" s="690"/>
      <c r="H61" s="691"/>
      <c r="I61" s="690"/>
      <c r="J61" s="691"/>
      <c r="K61" s="696"/>
      <c r="L61" s="696"/>
      <c r="M61" s="696"/>
      <c r="N61" s="717"/>
      <c r="O61" s="25"/>
      <c r="P61" s="654"/>
      <c r="Q61" s="655"/>
      <c r="R61" s="656"/>
    </row>
    <row r="62" spans="1:18" ht="15" customHeight="1" x14ac:dyDescent="0.3">
      <c r="A62" s="637" t="s">
        <v>28</v>
      </c>
      <c r="B62" s="638"/>
      <c r="C62" s="697" t="s">
        <v>154</v>
      </c>
      <c r="D62" s="698"/>
      <c r="E62" s="697"/>
      <c r="F62" s="698"/>
      <c r="G62" s="697"/>
      <c r="H62" s="698"/>
      <c r="I62" s="697"/>
      <c r="J62" s="698"/>
      <c r="K62" s="718"/>
      <c r="L62" s="718"/>
      <c r="M62" s="718"/>
      <c r="N62" s="719"/>
      <c r="O62" s="25"/>
      <c r="P62" s="657"/>
      <c r="Q62" s="658"/>
      <c r="R62" s="659"/>
    </row>
    <row r="63" spans="1:18" ht="15" customHeight="1" x14ac:dyDescent="0.3">
      <c r="A63" s="647" t="s">
        <v>17</v>
      </c>
      <c r="B63" s="648"/>
      <c r="C63" s="697">
        <v>45895</v>
      </c>
      <c r="D63" s="698"/>
      <c r="E63" s="697"/>
      <c r="F63" s="698"/>
      <c r="G63" s="697"/>
      <c r="H63" s="698"/>
      <c r="I63" s="697"/>
      <c r="J63" s="698"/>
      <c r="K63" s="718"/>
      <c r="L63" s="696"/>
      <c r="M63" s="718"/>
      <c r="N63" s="717"/>
      <c r="O63" s="25"/>
      <c r="P63" s="657"/>
      <c r="Q63" s="658"/>
      <c r="R63" s="659"/>
    </row>
    <row r="64" spans="1:18" ht="15" customHeight="1" x14ac:dyDescent="0.3">
      <c r="A64" s="647" t="s">
        <v>23</v>
      </c>
      <c r="B64" s="648"/>
      <c r="C64" s="61">
        <v>20</v>
      </c>
      <c r="D64" s="62">
        <f>IF(DATEDIF(C63,$R$1,"m")&lt;C64*12,DATEDIF(C63,$R$1,"m"),C64*12)</f>
        <v>0</v>
      </c>
      <c r="E64" s="61"/>
      <c r="F64" s="62">
        <f>IF(DATEDIF(E63,$R$1,"m")&lt;E64*12,DATEDIF(E63,$R$1,"m"),E64*12)</f>
        <v>0</v>
      </c>
      <c r="G64" s="61"/>
      <c r="H64" s="62">
        <f>IF(DATEDIF(G63,$R$1,"m")&lt;G64*12,DATEDIF(G63,$R$1,"m"),G64*12)</f>
        <v>0</v>
      </c>
      <c r="I64" s="61"/>
      <c r="J64" s="62">
        <f>IF(DATEDIF(I63,$R$1,"m")&lt;I64*12,DATEDIF(I63,$R$1,"m"),I64*12)</f>
        <v>0</v>
      </c>
      <c r="K64" s="61"/>
      <c r="L64" s="62">
        <f>IF(DATEDIF(K63,$R$1,"m")&lt;K64*12,DATEDIF(K63,$R$1,"m"),K64*12)</f>
        <v>0</v>
      </c>
      <c r="M64" s="61"/>
      <c r="N64" s="65">
        <f>IF(DATEDIF(M63,$R$1,"m")&lt;M64*12,DATEDIF(M63,$R$1,"m"),M64*12)</f>
        <v>0</v>
      </c>
      <c r="O64" s="25"/>
      <c r="P64" s="657"/>
      <c r="Q64" s="658"/>
      <c r="R64" s="659"/>
    </row>
    <row r="65" spans="1:18" ht="15" customHeight="1" x14ac:dyDescent="0.3">
      <c r="A65" s="647" t="s">
        <v>2</v>
      </c>
      <c r="B65" s="648"/>
      <c r="C65" s="690" t="s">
        <v>155</v>
      </c>
      <c r="D65" s="691"/>
      <c r="E65" s="690"/>
      <c r="F65" s="691"/>
      <c r="G65" s="690"/>
      <c r="H65" s="691"/>
      <c r="I65" s="690"/>
      <c r="J65" s="691"/>
      <c r="K65" s="696"/>
      <c r="L65" s="696"/>
      <c r="M65" s="696"/>
      <c r="N65" s="717"/>
      <c r="O65" s="25"/>
      <c r="P65" s="660"/>
      <c r="Q65" s="661"/>
      <c r="R65" s="662"/>
    </row>
    <row r="66" spans="1:18" ht="15" customHeight="1" x14ac:dyDescent="0.3">
      <c r="A66" s="632" t="s">
        <v>37</v>
      </c>
      <c r="B66" s="633"/>
      <c r="C66" s="701" t="s">
        <v>156</v>
      </c>
      <c r="D66" s="702"/>
      <c r="E66" s="701"/>
      <c r="F66" s="702"/>
      <c r="G66" s="701"/>
      <c r="H66" s="702"/>
      <c r="I66" s="701"/>
      <c r="J66" s="702"/>
      <c r="K66" s="701"/>
      <c r="L66" s="702"/>
      <c r="M66" s="701"/>
      <c r="N66" s="704"/>
      <c r="O66" s="25"/>
      <c r="P66" s="643"/>
      <c r="Q66" s="644"/>
      <c r="R66" s="27" t="s">
        <v>91</v>
      </c>
    </row>
    <row r="67" spans="1:18" ht="15" customHeight="1" x14ac:dyDescent="0.3">
      <c r="A67" s="639" t="s">
        <v>12</v>
      </c>
      <c r="B67" s="640"/>
      <c r="C67" s="706">
        <v>56594</v>
      </c>
      <c r="D67" s="707"/>
      <c r="E67" s="706"/>
      <c r="F67" s="707"/>
      <c r="G67" s="706"/>
      <c r="H67" s="707"/>
      <c r="I67" s="706"/>
      <c r="J67" s="707"/>
      <c r="K67" s="705"/>
      <c r="L67" s="705"/>
      <c r="M67" s="705"/>
      <c r="N67" s="720"/>
      <c r="O67" s="26"/>
      <c r="P67" s="637" t="s">
        <v>34</v>
      </c>
      <c r="Q67" s="638"/>
      <c r="R67" s="60">
        <f t="shared" ref="R67:R77" si="5">R8+C67+E67+G67+I67+K67+M67</f>
        <v>470580</v>
      </c>
    </row>
    <row r="68" spans="1:18" ht="15" customHeight="1" x14ac:dyDescent="0.3">
      <c r="A68" s="637" t="s">
        <v>3</v>
      </c>
      <c r="B68" s="638"/>
      <c r="C68" s="709">
        <f>C67*C64*12</f>
        <v>13582560</v>
      </c>
      <c r="D68" s="711"/>
      <c r="E68" s="709">
        <f>E67*E64*12</f>
        <v>0</v>
      </c>
      <c r="F68" s="711"/>
      <c r="G68" s="709">
        <f>G67*G64*12</f>
        <v>0</v>
      </c>
      <c r="H68" s="711"/>
      <c r="I68" s="709">
        <f>I67*I64*12</f>
        <v>0</v>
      </c>
      <c r="J68" s="711"/>
      <c r="K68" s="709">
        <f>K67*K64*12</f>
        <v>0</v>
      </c>
      <c r="L68" s="711"/>
      <c r="M68" s="709">
        <f>M67*M64*12</f>
        <v>0</v>
      </c>
      <c r="N68" s="710"/>
      <c r="O68" s="26"/>
      <c r="P68" s="637" t="s">
        <v>33</v>
      </c>
      <c r="Q68" s="638"/>
      <c r="R68" s="51">
        <f t="shared" si="5"/>
        <v>105406080</v>
      </c>
    </row>
    <row r="69" spans="1:18" ht="15" customHeight="1" x14ac:dyDescent="0.3">
      <c r="A69" s="637" t="s">
        <v>4</v>
      </c>
      <c r="B69" s="638"/>
      <c r="C69" s="709">
        <f>C67*D64</f>
        <v>0</v>
      </c>
      <c r="D69" s="711"/>
      <c r="E69" s="709">
        <f>E67*F64</f>
        <v>0</v>
      </c>
      <c r="F69" s="711"/>
      <c r="G69" s="709">
        <f>G67*H64</f>
        <v>0</v>
      </c>
      <c r="H69" s="711"/>
      <c r="I69" s="709">
        <f>I67*J64</f>
        <v>0</v>
      </c>
      <c r="J69" s="711"/>
      <c r="K69" s="709">
        <f>K67*L64</f>
        <v>0</v>
      </c>
      <c r="L69" s="711"/>
      <c r="M69" s="709">
        <f>M67*N64</f>
        <v>0</v>
      </c>
      <c r="N69" s="710"/>
      <c r="O69" s="26"/>
      <c r="P69" s="637" t="s">
        <v>31</v>
      </c>
      <c r="Q69" s="638"/>
      <c r="R69" s="51">
        <f t="shared" si="5"/>
        <v>0</v>
      </c>
    </row>
    <row r="70" spans="1:18" ht="15" customHeight="1" thickBot="1" x14ac:dyDescent="0.35">
      <c r="A70" s="632" t="s">
        <v>18</v>
      </c>
      <c r="B70" s="633"/>
      <c r="C70" s="709">
        <f>C68-C69</f>
        <v>13582560</v>
      </c>
      <c r="D70" s="711"/>
      <c r="E70" s="709">
        <f>E68-E69</f>
        <v>0</v>
      </c>
      <c r="F70" s="711"/>
      <c r="G70" s="709">
        <f>G68-G69</f>
        <v>0</v>
      </c>
      <c r="H70" s="711"/>
      <c r="I70" s="709">
        <f>I68-I69</f>
        <v>0</v>
      </c>
      <c r="J70" s="711"/>
      <c r="K70" s="709">
        <f>K68-K69</f>
        <v>0</v>
      </c>
      <c r="L70" s="711"/>
      <c r="M70" s="709">
        <f>M68-M69</f>
        <v>0</v>
      </c>
      <c r="N70" s="710"/>
      <c r="O70" s="26"/>
      <c r="P70" s="663" t="s">
        <v>35</v>
      </c>
      <c r="Q70" s="664"/>
      <c r="R70" s="52">
        <f t="shared" si="5"/>
        <v>105406080</v>
      </c>
    </row>
    <row r="71" spans="1:18" ht="15" customHeight="1" x14ac:dyDescent="0.3">
      <c r="A71" s="729" t="s">
        <v>147</v>
      </c>
      <c r="B71" s="324" t="s">
        <v>149</v>
      </c>
      <c r="C71" s="239"/>
      <c r="D71" s="19"/>
      <c r="E71" s="231"/>
      <c r="F71" s="19"/>
      <c r="G71" s="231"/>
      <c r="H71" s="19"/>
      <c r="I71" s="231"/>
      <c r="J71" s="19"/>
      <c r="K71" s="231"/>
      <c r="L71" s="167"/>
      <c r="M71" s="231"/>
      <c r="N71" s="66"/>
      <c r="O71" s="6"/>
      <c r="P71" s="729" t="s">
        <v>147</v>
      </c>
      <c r="Q71" s="324" t="s">
        <v>149</v>
      </c>
      <c r="R71" s="182">
        <f t="shared" si="5"/>
        <v>50000000</v>
      </c>
    </row>
    <row r="72" spans="1:18" ht="15" customHeight="1" x14ac:dyDescent="0.3">
      <c r="A72" s="730"/>
      <c r="B72" s="325" t="s">
        <v>150</v>
      </c>
      <c r="C72" s="237"/>
      <c r="D72" s="20"/>
      <c r="E72" s="233"/>
      <c r="F72" s="20"/>
      <c r="G72" s="233"/>
      <c r="H72" s="20"/>
      <c r="I72" s="233"/>
      <c r="J72" s="20"/>
      <c r="K72" s="233"/>
      <c r="L72" s="172"/>
      <c r="M72" s="233"/>
      <c r="N72" s="67"/>
      <c r="O72" s="6"/>
      <c r="P72" s="730"/>
      <c r="Q72" s="325" t="s">
        <v>150</v>
      </c>
      <c r="R72" s="183">
        <f t="shared" si="5"/>
        <v>200000</v>
      </c>
    </row>
    <row r="73" spans="1:18" ht="15" customHeight="1" x14ac:dyDescent="0.3">
      <c r="A73" s="730"/>
      <c r="B73" s="325" t="s">
        <v>151</v>
      </c>
      <c r="C73" s="237"/>
      <c r="D73" s="20"/>
      <c r="E73" s="237"/>
      <c r="F73" s="20"/>
      <c r="G73" s="233"/>
      <c r="H73" s="20"/>
      <c r="I73" s="233"/>
      <c r="J73" s="20"/>
      <c r="K73" s="233"/>
      <c r="L73" s="172"/>
      <c r="M73" s="233"/>
      <c r="N73" s="67"/>
      <c r="O73" s="6"/>
      <c r="P73" s="730"/>
      <c r="Q73" s="325" t="s">
        <v>151</v>
      </c>
      <c r="R73" s="183">
        <f t="shared" si="5"/>
        <v>50000000</v>
      </c>
    </row>
    <row r="74" spans="1:18" ht="15" customHeight="1" x14ac:dyDescent="0.3">
      <c r="A74" s="730"/>
      <c r="B74" s="325" t="s">
        <v>148</v>
      </c>
      <c r="C74" s="237"/>
      <c r="D74" s="20"/>
      <c r="E74" s="237"/>
      <c r="F74" s="20"/>
      <c r="G74" s="233"/>
      <c r="H74" s="20"/>
      <c r="I74" s="233"/>
      <c r="J74" s="20"/>
      <c r="K74" s="233"/>
      <c r="L74" s="172"/>
      <c r="M74" s="233"/>
      <c r="N74" s="67"/>
      <c r="O74" s="6"/>
      <c r="P74" s="730"/>
      <c r="Q74" s="325" t="s">
        <v>148</v>
      </c>
      <c r="R74" s="183">
        <f t="shared" si="5"/>
        <v>200000</v>
      </c>
    </row>
    <row r="75" spans="1:18" ht="15" customHeight="1" thickBot="1" x14ac:dyDescent="0.35">
      <c r="A75" s="731"/>
      <c r="B75" s="141" t="s">
        <v>89</v>
      </c>
      <c r="C75" s="235"/>
      <c r="D75" s="18"/>
      <c r="E75" s="235"/>
      <c r="F75" s="18"/>
      <c r="G75" s="236"/>
      <c r="H75" s="18"/>
      <c r="I75" s="236"/>
      <c r="J75" s="18"/>
      <c r="K75" s="236"/>
      <c r="L75" s="168"/>
      <c r="M75" s="236"/>
      <c r="N75" s="68"/>
      <c r="O75" s="6"/>
      <c r="P75" s="731"/>
      <c r="Q75" s="141" t="s">
        <v>89</v>
      </c>
      <c r="R75" s="184">
        <f t="shared" si="5"/>
        <v>3500000</v>
      </c>
    </row>
    <row r="76" spans="1:18" ht="15" customHeight="1" x14ac:dyDescent="0.3">
      <c r="A76" s="626" t="s">
        <v>50</v>
      </c>
      <c r="B76" s="142" t="s">
        <v>55</v>
      </c>
      <c r="C76" s="8"/>
      <c r="D76" s="19"/>
      <c r="E76" s="231"/>
      <c r="F76" s="19"/>
      <c r="G76" s="231"/>
      <c r="H76" s="19"/>
      <c r="I76" s="231"/>
      <c r="J76" s="19"/>
      <c r="K76" s="231"/>
      <c r="L76" s="167"/>
      <c r="M76" s="231"/>
      <c r="N76" s="66"/>
      <c r="O76" s="6"/>
      <c r="P76" s="626" t="s">
        <v>50</v>
      </c>
      <c r="Q76" s="142" t="s">
        <v>55</v>
      </c>
      <c r="R76" s="182">
        <f t="shared" si="5"/>
        <v>60000000</v>
      </c>
    </row>
    <row r="77" spans="1:18" ht="15" customHeight="1" x14ac:dyDescent="0.3">
      <c r="A77" s="627"/>
      <c r="B77" s="284" t="s">
        <v>111</v>
      </c>
      <c r="C77" s="43"/>
      <c r="D77" s="21"/>
      <c r="E77" s="233"/>
      <c r="F77" s="21"/>
      <c r="G77" s="233"/>
      <c r="H77" s="21"/>
      <c r="I77" s="233"/>
      <c r="J77" s="21"/>
      <c r="K77" s="234"/>
      <c r="L77" s="169"/>
      <c r="M77" s="234"/>
      <c r="N77" s="69"/>
      <c r="O77" s="6"/>
      <c r="P77" s="627"/>
      <c r="Q77" s="284" t="s">
        <v>111</v>
      </c>
      <c r="R77" s="183">
        <f t="shared" si="5"/>
        <v>10000000</v>
      </c>
    </row>
    <row r="78" spans="1:18" ht="15" customHeight="1" x14ac:dyDescent="0.3">
      <c r="A78" s="627"/>
      <c r="B78" s="284" t="s">
        <v>95</v>
      </c>
      <c r="C78" s="43">
        <v>30000000</v>
      </c>
      <c r="D78" s="21" t="s">
        <v>155</v>
      </c>
      <c r="E78" s="234"/>
      <c r="F78" s="21"/>
      <c r="G78" s="233"/>
      <c r="H78" s="21"/>
      <c r="I78" s="234"/>
      <c r="J78" s="21"/>
      <c r="K78" s="234"/>
      <c r="L78" s="169"/>
      <c r="M78" s="234"/>
      <c r="N78" s="69"/>
      <c r="O78" s="6"/>
      <c r="P78" s="627"/>
      <c r="Q78" s="284" t="s">
        <v>95</v>
      </c>
      <c r="R78" s="183"/>
    </row>
    <row r="79" spans="1:18" ht="15" customHeight="1" x14ac:dyDescent="0.3">
      <c r="A79" s="627"/>
      <c r="B79" s="284" t="s">
        <v>129</v>
      </c>
      <c r="C79" s="43">
        <v>45000000</v>
      </c>
      <c r="D79" s="21" t="s">
        <v>155</v>
      </c>
      <c r="E79" s="234"/>
      <c r="F79" s="21"/>
      <c r="G79" s="233"/>
      <c r="H79" s="21"/>
      <c r="I79" s="234"/>
      <c r="J79" s="21"/>
      <c r="K79" s="234"/>
      <c r="L79" s="169"/>
      <c r="M79" s="234"/>
      <c r="N79" s="69"/>
      <c r="O79" s="6"/>
      <c r="P79" s="627"/>
      <c r="Q79" s="284" t="s">
        <v>129</v>
      </c>
      <c r="R79" s="183"/>
    </row>
    <row r="80" spans="1:18" ht="15" customHeight="1" x14ac:dyDescent="0.3">
      <c r="A80" s="627"/>
      <c r="B80" s="284" t="s">
        <v>112</v>
      </c>
      <c r="C80" s="43">
        <v>45000000</v>
      </c>
      <c r="D80" s="21" t="s">
        <v>155</v>
      </c>
      <c r="E80" s="234"/>
      <c r="F80" s="21"/>
      <c r="G80" s="233"/>
      <c r="H80" s="21"/>
      <c r="I80" s="234"/>
      <c r="J80" s="21"/>
      <c r="K80" s="234"/>
      <c r="L80" s="169"/>
      <c r="M80" s="234"/>
      <c r="N80" s="69"/>
      <c r="O80" s="6"/>
      <c r="P80" s="627"/>
      <c r="Q80" s="284" t="s">
        <v>112</v>
      </c>
      <c r="R80" s="183">
        <f>R19+C80+E80+G80+I80+K80+M80</f>
        <v>65000000</v>
      </c>
    </row>
    <row r="81" spans="1:18" ht="15" customHeight="1" x14ac:dyDescent="0.3">
      <c r="A81" s="627"/>
      <c r="B81" s="284" t="s">
        <v>130</v>
      </c>
      <c r="C81" s="43"/>
      <c r="D81" s="21"/>
      <c r="E81" s="233"/>
      <c r="F81" s="21"/>
      <c r="G81" s="234"/>
      <c r="H81" s="21"/>
      <c r="I81" s="232"/>
      <c r="J81" s="21"/>
      <c r="K81" s="234"/>
      <c r="L81" s="169"/>
      <c r="M81" s="234"/>
      <c r="N81" s="69"/>
      <c r="O81" s="6"/>
      <c r="P81" s="627"/>
      <c r="Q81" s="284" t="s">
        <v>130</v>
      </c>
      <c r="R81" s="183">
        <f>R23+C81+E81+G81+I81+K81+M81</f>
        <v>20000000</v>
      </c>
    </row>
    <row r="82" spans="1:18" ht="15" customHeight="1" thickBot="1" x14ac:dyDescent="0.35">
      <c r="A82" s="627"/>
      <c r="B82" s="285" t="s">
        <v>131</v>
      </c>
      <c r="C82" s="235"/>
      <c r="D82" s="18"/>
      <c r="E82" s="236"/>
      <c r="F82" s="21"/>
      <c r="G82" s="236"/>
      <c r="H82" s="21"/>
      <c r="I82" s="236"/>
      <c r="J82" s="21"/>
      <c r="K82" s="234"/>
      <c r="L82" s="169"/>
      <c r="M82" s="234"/>
      <c r="N82" s="69"/>
      <c r="O82" s="6"/>
      <c r="P82" s="627"/>
      <c r="Q82" s="285" t="s">
        <v>131</v>
      </c>
      <c r="R82" s="184">
        <f t="shared" ref="R82:R88" si="6">R26+C82+E82+G82+I82+K82+M82</f>
        <v>40000000</v>
      </c>
    </row>
    <row r="83" spans="1:18" ht="15" customHeight="1" x14ac:dyDescent="0.3">
      <c r="A83" s="721" t="s">
        <v>19</v>
      </c>
      <c r="B83" s="145" t="s">
        <v>51</v>
      </c>
      <c r="C83" s="233"/>
      <c r="D83" s="19"/>
      <c r="E83" s="233"/>
      <c r="F83" s="19"/>
      <c r="G83" s="233"/>
      <c r="H83" s="19"/>
      <c r="I83" s="231"/>
      <c r="J83" s="19"/>
      <c r="K83" s="231"/>
      <c r="L83" s="167"/>
      <c r="M83" s="231"/>
      <c r="N83" s="66"/>
      <c r="O83" s="6"/>
      <c r="P83" s="721" t="s">
        <v>19</v>
      </c>
      <c r="Q83" s="145" t="s">
        <v>51</v>
      </c>
      <c r="R83" s="182">
        <f t="shared" si="6"/>
        <v>10000000</v>
      </c>
    </row>
    <row r="84" spans="1:18" ht="15" customHeight="1" x14ac:dyDescent="0.3">
      <c r="A84" s="722"/>
      <c r="B84" s="146" t="s">
        <v>43</v>
      </c>
      <c r="C84" s="233"/>
      <c r="D84" s="21"/>
      <c r="E84" s="234"/>
      <c r="F84" s="21"/>
      <c r="G84" s="233"/>
      <c r="H84" s="21"/>
      <c r="I84" s="234"/>
      <c r="J84" s="21"/>
      <c r="K84" s="233"/>
      <c r="L84" s="169"/>
      <c r="M84" s="234"/>
      <c r="N84" s="69"/>
      <c r="O84" s="6"/>
      <c r="P84" s="722"/>
      <c r="Q84" s="146" t="s">
        <v>43</v>
      </c>
      <c r="R84" s="183">
        <f t="shared" si="6"/>
        <v>20000000</v>
      </c>
    </row>
    <row r="85" spans="1:18" ht="15" customHeight="1" thickBot="1" x14ac:dyDescent="0.35">
      <c r="A85" s="722"/>
      <c r="B85" s="147" t="s">
        <v>53</v>
      </c>
      <c r="C85" s="238"/>
      <c r="D85" s="47"/>
      <c r="E85" s="238"/>
      <c r="F85" s="47"/>
      <c r="G85" s="238"/>
      <c r="H85" s="47"/>
      <c r="I85" s="238"/>
      <c r="J85" s="47"/>
      <c r="K85" s="238"/>
      <c r="L85" s="170"/>
      <c r="M85" s="238"/>
      <c r="N85" s="70"/>
      <c r="O85" s="6"/>
      <c r="P85" s="722"/>
      <c r="Q85" s="147" t="s">
        <v>53</v>
      </c>
      <c r="R85" s="184">
        <f t="shared" si="6"/>
        <v>20000000</v>
      </c>
    </row>
    <row r="86" spans="1:18" ht="15" customHeight="1" x14ac:dyDescent="0.3">
      <c r="A86" s="722"/>
      <c r="B86" s="148" t="s">
        <v>65</v>
      </c>
      <c r="C86" s="231"/>
      <c r="D86" s="19"/>
      <c r="E86" s="231"/>
      <c r="F86" s="19"/>
      <c r="G86" s="231"/>
      <c r="H86" s="19"/>
      <c r="I86" s="231"/>
      <c r="J86" s="19"/>
      <c r="K86" s="231"/>
      <c r="L86" s="167"/>
      <c r="M86" s="231"/>
      <c r="N86" s="66"/>
      <c r="O86" s="6"/>
      <c r="P86" s="722"/>
      <c r="Q86" s="148" t="s">
        <v>65</v>
      </c>
      <c r="R86" s="182">
        <f t="shared" si="6"/>
        <v>10000000</v>
      </c>
    </row>
    <row r="87" spans="1:18" ht="15" customHeight="1" x14ac:dyDescent="0.3">
      <c r="A87" s="722"/>
      <c r="B87" s="149" t="s">
        <v>8</v>
      </c>
      <c r="C87" s="233"/>
      <c r="D87" s="21"/>
      <c r="E87" s="233"/>
      <c r="F87" s="21"/>
      <c r="G87" s="233"/>
      <c r="H87" s="21"/>
      <c r="I87" s="233"/>
      <c r="J87" s="20"/>
      <c r="K87" s="233"/>
      <c r="L87" s="169"/>
      <c r="M87" s="234"/>
      <c r="N87" s="69"/>
      <c r="O87" s="6"/>
      <c r="P87" s="722"/>
      <c r="Q87" s="149" t="s">
        <v>8</v>
      </c>
      <c r="R87" s="183">
        <f t="shared" si="6"/>
        <v>20000000</v>
      </c>
    </row>
    <row r="88" spans="1:18" ht="15" customHeight="1" thickBot="1" x14ac:dyDescent="0.35">
      <c r="A88" s="722"/>
      <c r="B88" s="150" t="s">
        <v>5</v>
      </c>
      <c r="C88" s="236"/>
      <c r="D88" s="18"/>
      <c r="E88" s="238"/>
      <c r="F88" s="47"/>
      <c r="G88" s="238"/>
      <c r="H88" s="47"/>
      <c r="I88" s="238"/>
      <c r="J88" s="47"/>
      <c r="K88" s="244"/>
      <c r="L88" s="170"/>
      <c r="M88" s="244"/>
      <c r="N88" s="70"/>
      <c r="O88" s="6"/>
      <c r="P88" s="722"/>
      <c r="Q88" s="150" t="s">
        <v>5</v>
      </c>
      <c r="R88" s="184">
        <f t="shared" si="6"/>
        <v>20000000</v>
      </c>
    </row>
    <row r="89" spans="1:18" ht="15" customHeight="1" thickBot="1" x14ac:dyDescent="0.35">
      <c r="A89" s="722"/>
      <c r="B89" s="283" t="s">
        <v>107</v>
      </c>
      <c r="C89" s="245"/>
      <c r="D89" s="22"/>
      <c r="E89" s="243"/>
      <c r="F89" s="22"/>
      <c r="G89" s="243"/>
      <c r="H89" s="22"/>
      <c r="I89" s="243"/>
      <c r="J89" s="22"/>
      <c r="K89" s="243"/>
      <c r="L89" s="171"/>
      <c r="M89" s="243"/>
      <c r="N89" s="71"/>
      <c r="O89" s="6"/>
      <c r="P89" s="722"/>
      <c r="Q89" s="283" t="s">
        <v>107</v>
      </c>
      <c r="R89" s="108">
        <f t="shared" ref="R89:R103" si="7">R35+C89+E89+G89+I89+K89+M89</f>
        <v>0</v>
      </c>
    </row>
    <row r="90" spans="1:18" ht="15" customHeight="1" x14ac:dyDescent="0.3">
      <c r="A90" s="723" t="s">
        <v>16</v>
      </c>
      <c r="B90" s="152" t="s">
        <v>36</v>
      </c>
      <c r="C90" s="239"/>
      <c r="D90" s="19"/>
      <c r="E90" s="231"/>
      <c r="F90" s="19"/>
      <c r="G90" s="231"/>
      <c r="H90" s="19"/>
      <c r="I90" s="231"/>
      <c r="J90" s="19"/>
      <c r="K90" s="231"/>
      <c r="L90" s="167"/>
      <c r="M90" s="231"/>
      <c r="N90" s="66"/>
      <c r="O90" s="6"/>
      <c r="P90" s="723" t="s">
        <v>16</v>
      </c>
      <c r="Q90" s="152" t="s">
        <v>36</v>
      </c>
      <c r="R90" s="182">
        <f t="shared" si="7"/>
        <v>0</v>
      </c>
    </row>
    <row r="91" spans="1:18" ht="15" customHeight="1" x14ac:dyDescent="0.3">
      <c r="A91" s="724"/>
      <c r="B91" s="153" t="s">
        <v>81</v>
      </c>
      <c r="C91" s="237"/>
      <c r="D91" s="20"/>
      <c r="E91" s="233"/>
      <c r="F91" s="21"/>
      <c r="G91" s="233"/>
      <c r="H91" s="20"/>
      <c r="I91" s="233"/>
      <c r="J91" s="20"/>
      <c r="K91" s="233"/>
      <c r="L91" s="172"/>
      <c r="M91" s="233"/>
      <c r="N91" s="67"/>
      <c r="O91" s="6"/>
      <c r="P91" s="724"/>
      <c r="Q91" s="153" t="s">
        <v>81</v>
      </c>
      <c r="R91" s="183">
        <f t="shared" si="7"/>
        <v>0</v>
      </c>
    </row>
    <row r="92" spans="1:18" ht="15" customHeight="1" x14ac:dyDescent="0.3">
      <c r="A92" s="724"/>
      <c r="B92" s="153" t="s">
        <v>78</v>
      </c>
      <c r="C92" s="237"/>
      <c r="D92" s="20"/>
      <c r="E92" s="233"/>
      <c r="F92" s="4"/>
      <c r="G92" s="233"/>
      <c r="H92" s="20"/>
      <c r="I92" s="233"/>
      <c r="J92" s="20"/>
      <c r="K92" s="233"/>
      <c r="L92" s="172"/>
      <c r="M92" s="233"/>
      <c r="N92" s="67"/>
      <c r="O92" s="6"/>
      <c r="P92" s="724"/>
      <c r="Q92" s="153" t="s">
        <v>78</v>
      </c>
      <c r="R92" s="183">
        <f t="shared" si="7"/>
        <v>0</v>
      </c>
    </row>
    <row r="93" spans="1:18" ht="15" customHeight="1" thickBot="1" x14ac:dyDescent="0.35">
      <c r="A93" s="725"/>
      <c r="B93" s="154" t="s">
        <v>87</v>
      </c>
      <c r="C93" s="235"/>
      <c r="D93" s="18"/>
      <c r="E93" s="236"/>
      <c r="F93" s="18"/>
      <c r="G93" s="233"/>
      <c r="H93" s="18"/>
      <c r="I93" s="236"/>
      <c r="J93" s="18"/>
      <c r="K93" s="236"/>
      <c r="L93" s="168"/>
      <c r="M93" s="236"/>
      <c r="N93" s="68"/>
      <c r="O93" s="6"/>
      <c r="P93" s="725"/>
      <c r="Q93" s="154" t="s">
        <v>87</v>
      </c>
      <c r="R93" s="184">
        <f t="shared" si="7"/>
        <v>0</v>
      </c>
    </row>
    <row r="94" spans="1:18" ht="15" customHeight="1" x14ac:dyDescent="0.3">
      <c r="A94" s="726" t="s">
        <v>47</v>
      </c>
      <c r="B94" s="155" t="s">
        <v>48</v>
      </c>
      <c r="C94" s="239"/>
      <c r="D94" s="19"/>
      <c r="E94" s="234"/>
      <c r="F94" s="19"/>
      <c r="G94" s="231"/>
      <c r="H94" s="19"/>
      <c r="I94" s="231"/>
      <c r="J94" s="19"/>
      <c r="K94" s="231"/>
      <c r="L94" s="167"/>
      <c r="M94" s="234"/>
      <c r="N94" s="69"/>
      <c r="O94" s="6"/>
      <c r="P94" s="726" t="s">
        <v>47</v>
      </c>
      <c r="Q94" s="155" t="s">
        <v>48</v>
      </c>
      <c r="R94" s="182">
        <f t="shared" si="7"/>
        <v>0</v>
      </c>
    </row>
    <row r="95" spans="1:18" ht="15" customHeight="1" x14ac:dyDescent="0.3">
      <c r="A95" s="727"/>
      <c r="B95" s="156" t="s">
        <v>44</v>
      </c>
      <c r="C95" s="237"/>
      <c r="D95" s="20"/>
      <c r="E95" s="233"/>
      <c r="F95" s="20"/>
      <c r="G95" s="233"/>
      <c r="H95" s="20"/>
      <c r="I95" s="233"/>
      <c r="J95" s="20"/>
      <c r="K95" s="233"/>
      <c r="L95" s="172"/>
      <c r="M95" s="233"/>
      <c r="N95" s="67"/>
      <c r="O95" s="6"/>
      <c r="P95" s="727"/>
      <c r="Q95" s="156" t="s">
        <v>44</v>
      </c>
      <c r="R95" s="183">
        <f t="shared" si="7"/>
        <v>0</v>
      </c>
    </row>
    <row r="96" spans="1:18" ht="15" customHeight="1" thickBot="1" x14ac:dyDescent="0.35">
      <c r="A96" s="728"/>
      <c r="B96" s="157" t="s">
        <v>54</v>
      </c>
      <c r="C96" s="232"/>
      <c r="D96" s="21"/>
      <c r="E96" s="236"/>
      <c r="F96" s="18"/>
      <c r="G96" s="236"/>
      <c r="H96" s="18"/>
      <c r="I96" s="236"/>
      <c r="J96" s="18"/>
      <c r="K96" s="236"/>
      <c r="L96" s="168"/>
      <c r="M96" s="236"/>
      <c r="N96" s="68"/>
      <c r="O96" s="6"/>
      <c r="P96" s="728"/>
      <c r="Q96" s="157" t="s">
        <v>54</v>
      </c>
      <c r="R96" s="184">
        <f t="shared" si="7"/>
        <v>30000000</v>
      </c>
    </row>
    <row r="97" spans="1:18" ht="15" customHeight="1" x14ac:dyDescent="0.3">
      <c r="A97" s="746" t="s">
        <v>39</v>
      </c>
      <c r="B97" s="158" t="s">
        <v>44</v>
      </c>
      <c r="C97" s="239"/>
      <c r="D97" s="19"/>
      <c r="E97" s="231"/>
      <c r="F97" s="19"/>
      <c r="G97" s="231"/>
      <c r="H97" s="19"/>
      <c r="I97" s="231"/>
      <c r="J97" s="19"/>
      <c r="K97" s="231"/>
      <c r="L97" s="167"/>
      <c r="M97" s="231"/>
      <c r="N97" s="66"/>
      <c r="O97" s="6"/>
      <c r="P97" s="746" t="s">
        <v>39</v>
      </c>
      <c r="Q97" s="158" t="s">
        <v>44</v>
      </c>
      <c r="R97" s="182">
        <f t="shared" si="7"/>
        <v>500000</v>
      </c>
    </row>
    <row r="98" spans="1:18" ht="15" customHeight="1" x14ac:dyDescent="0.3">
      <c r="A98" s="747"/>
      <c r="B98" s="158" t="s">
        <v>54</v>
      </c>
      <c r="C98" s="237"/>
      <c r="D98" s="20"/>
      <c r="E98" s="233"/>
      <c r="F98" s="21"/>
      <c r="G98" s="233"/>
      <c r="H98" s="20"/>
      <c r="I98" s="233"/>
      <c r="J98" s="20"/>
      <c r="K98" s="233"/>
      <c r="L98" s="172"/>
      <c r="M98" s="233"/>
      <c r="N98" s="67"/>
      <c r="O98" s="6"/>
      <c r="P98" s="747"/>
      <c r="Q98" s="158" t="s">
        <v>54</v>
      </c>
      <c r="R98" s="183">
        <f t="shared" si="7"/>
        <v>1200000</v>
      </c>
    </row>
    <row r="99" spans="1:18" ht="15" customHeight="1" x14ac:dyDescent="0.3">
      <c r="A99" s="747"/>
      <c r="B99" s="292" t="s">
        <v>100</v>
      </c>
      <c r="C99" s="237"/>
      <c r="D99" s="20"/>
      <c r="E99" s="233"/>
      <c r="F99" s="21"/>
      <c r="G99" s="233"/>
      <c r="H99" s="21"/>
      <c r="I99" s="234"/>
      <c r="J99" s="21"/>
      <c r="K99" s="234"/>
      <c r="L99" s="169"/>
      <c r="M99" s="246"/>
      <c r="N99" s="69"/>
      <c r="O99" s="6"/>
      <c r="P99" s="747"/>
      <c r="Q99" s="292" t="s">
        <v>100</v>
      </c>
      <c r="R99" s="183">
        <f t="shared" si="7"/>
        <v>5300000</v>
      </c>
    </row>
    <row r="100" spans="1:18" ht="15" customHeight="1" thickBot="1" x14ac:dyDescent="0.35">
      <c r="A100" s="747"/>
      <c r="B100" s="287" t="s">
        <v>113</v>
      </c>
      <c r="C100" s="241"/>
      <c r="D100" s="34"/>
      <c r="E100" s="244"/>
      <c r="F100" s="34"/>
      <c r="G100" s="244"/>
      <c r="H100" s="34"/>
      <c r="I100" s="238"/>
      <c r="J100" s="34"/>
      <c r="K100" s="238"/>
      <c r="L100" s="226"/>
      <c r="M100" s="244"/>
      <c r="N100" s="72"/>
      <c r="O100" s="6"/>
      <c r="P100" s="747"/>
      <c r="Q100" s="287" t="s">
        <v>113</v>
      </c>
      <c r="R100" s="184">
        <f t="shared" si="7"/>
        <v>0</v>
      </c>
    </row>
    <row r="101" spans="1:18" ht="15" customHeight="1" x14ac:dyDescent="0.3">
      <c r="A101" s="748" t="s">
        <v>40</v>
      </c>
      <c r="B101" s="229" t="s">
        <v>45</v>
      </c>
      <c r="C101" s="231"/>
      <c r="D101" s="19"/>
      <c r="E101" s="231"/>
      <c r="F101" s="19"/>
      <c r="G101" s="231"/>
      <c r="H101" s="19"/>
      <c r="I101" s="231"/>
      <c r="J101" s="19"/>
      <c r="K101" s="231"/>
      <c r="L101" s="167"/>
      <c r="M101" s="231"/>
      <c r="N101" s="66"/>
      <c r="O101" s="6"/>
      <c r="P101" s="748" t="s">
        <v>40</v>
      </c>
      <c r="Q101" s="229" t="s">
        <v>45</v>
      </c>
      <c r="R101" s="182">
        <f t="shared" si="7"/>
        <v>500000</v>
      </c>
    </row>
    <row r="102" spans="1:18" ht="15" customHeight="1" thickBot="1" x14ac:dyDescent="0.35">
      <c r="A102" s="749"/>
      <c r="B102" s="252" t="s">
        <v>42</v>
      </c>
      <c r="C102" s="242"/>
      <c r="D102" s="18"/>
      <c r="E102" s="240"/>
      <c r="F102" s="38"/>
      <c r="G102" s="240"/>
      <c r="H102" s="38"/>
      <c r="I102" s="240"/>
      <c r="J102" s="38"/>
      <c r="K102" s="240"/>
      <c r="L102" s="225"/>
      <c r="M102" s="240"/>
      <c r="N102" s="73"/>
      <c r="O102" s="6"/>
      <c r="P102" s="749"/>
      <c r="Q102" s="252" t="s">
        <v>42</v>
      </c>
      <c r="R102" s="184">
        <f t="shared" si="7"/>
        <v>200000</v>
      </c>
    </row>
    <row r="103" spans="1:18" ht="15" customHeight="1" x14ac:dyDescent="0.3">
      <c r="A103" s="750" t="s">
        <v>125</v>
      </c>
      <c r="B103" s="308" t="s">
        <v>126</v>
      </c>
      <c r="C103" s="239"/>
      <c r="D103" s="19"/>
      <c r="E103" s="239"/>
      <c r="F103" s="19"/>
      <c r="G103" s="239"/>
      <c r="H103" s="19"/>
      <c r="I103" s="239"/>
      <c r="J103" s="19"/>
      <c r="K103" s="231"/>
      <c r="L103" s="167"/>
      <c r="M103" s="231"/>
      <c r="N103" s="66"/>
      <c r="O103" s="6"/>
      <c r="P103" s="750" t="s">
        <v>125</v>
      </c>
      <c r="Q103" s="308" t="s">
        <v>126</v>
      </c>
      <c r="R103" s="182">
        <f t="shared" si="7"/>
        <v>150000</v>
      </c>
    </row>
    <row r="104" spans="1:18" ht="15" customHeight="1" x14ac:dyDescent="0.3">
      <c r="A104" s="750"/>
      <c r="B104" s="309" t="s">
        <v>127</v>
      </c>
      <c r="C104" s="322"/>
      <c r="D104" s="47"/>
      <c r="E104" s="322"/>
      <c r="F104" s="47"/>
      <c r="G104" s="322"/>
      <c r="H104" s="47"/>
      <c r="I104" s="322"/>
      <c r="J104" s="47"/>
      <c r="K104" s="238"/>
      <c r="L104" s="170"/>
      <c r="M104" s="238"/>
      <c r="N104" s="70"/>
      <c r="O104" s="6"/>
      <c r="P104" s="750"/>
      <c r="Q104" s="309" t="s">
        <v>127</v>
      </c>
      <c r="R104" s="323"/>
    </row>
    <row r="105" spans="1:18" ht="15" customHeight="1" thickBot="1" x14ac:dyDescent="0.35">
      <c r="A105" s="751"/>
      <c r="B105" s="310" t="s">
        <v>128</v>
      </c>
      <c r="C105" s="235"/>
      <c r="D105" s="18"/>
      <c r="E105" s="235"/>
      <c r="F105" s="18"/>
      <c r="G105" s="235"/>
      <c r="H105" s="18"/>
      <c r="I105" s="235"/>
      <c r="J105" s="18"/>
      <c r="K105" s="236"/>
      <c r="L105" s="168"/>
      <c r="M105" s="236"/>
      <c r="N105" s="68"/>
      <c r="O105" s="6"/>
      <c r="P105" s="751"/>
      <c r="Q105" s="310" t="s">
        <v>128</v>
      </c>
      <c r="R105" s="184">
        <f>R51+C105+E105+G105+I105+K105+M105</f>
        <v>70000</v>
      </c>
    </row>
    <row r="106" spans="1:18" ht="15" customHeight="1" x14ac:dyDescent="0.3">
      <c r="A106" s="732" t="s">
        <v>52</v>
      </c>
      <c r="B106" s="144" t="s">
        <v>41</v>
      </c>
      <c r="C106" s="237"/>
      <c r="D106" s="19"/>
      <c r="E106" s="231"/>
      <c r="F106" s="19"/>
      <c r="G106" s="231"/>
      <c r="H106" s="19"/>
      <c r="I106" s="231"/>
      <c r="J106" s="19"/>
      <c r="K106" s="231"/>
      <c r="L106" s="167"/>
      <c r="M106" s="231"/>
      <c r="N106" s="66"/>
      <c r="O106" s="6"/>
      <c r="P106" s="732" t="s">
        <v>52</v>
      </c>
      <c r="Q106" s="144" t="s">
        <v>41</v>
      </c>
      <c r="R106" s="182">
        <f>R52+C106+E106+G106+I106+K106+M106</f>
        <v>30000000</v>
      </c>
    </row>
    <row r="107" spans="1:18" ht="15" customHeight="1" x14ac:dyDescent="0.3">
      <c r="A107" s="733"/>
      <c r="B107" s="144" t="s">
        <v>11</v>
      </c>
      <c r="C107" s="237"/>
      <c r="D107" s="20"/>
      <c r="E107" s="233"/>
      <c r="F107" s="20"/>
      <c r="G107" s="233"/>
      <c r="H107" s="20"/>
      <c r="I107" s="233"/>
      <c r="J107" s="20"/>
      <c r="K107" s="233"/>
      <c r="L107" s="172"/>
      <c r="M107" s="233"/>
      <c r="N107" s="67"/>
      <c r="O107" s="6"/>
      <c r="P107" s="733"/>
      <c r="Q107" s="144" t="s">
        <v>11</v>
      </c>
      <c r="R107" s="183">
        <f>R53+C107+E107+G107+I107+K107+M107</f>
        <v>50000000</v>
      </c>
    </row>
    <row r="108" spans="1:18" ht="15" customHeight="1" thickBot="1" x14ac:dyDescent="0.35">
      <c r="A108" s="734"/>
      <c r="B108" s="164" t="s">
        <v>27</v>
      </c>
      <c r="C108" s="237"/>
      <c r="D108" s="20"/>
      <c r="E108" s="234"/>
      <c r="F108" s="21"/>
      <c r="G108" s="234"/>
      <c r="H108" s="21"/>
      <c r="I108" s="234"/>
      <c r="J108" s="21"/>
      <c r="K108" s="234"/>
      <c r="L108" s="169"/>
      <c r="M108" s="234"/>
      <c r="N108" s="69"/>
      <c r="O108" s="6"/>
      <c r="P108" s="734"/>
      <c r="Q108" s="164" t="s">
        <v>27</v>
      </c>
      <c r="R108" s="184">
        <f>R54+C108+E108+G108+I108+K108+M108</f>
        <v>200000000</v>
      </c>
    </row>
    <row r="109" spans="1:18" ht="15" customHeight="1" thickBot="1" x14ac:dyDescent="0.35">
      <c r="A109" s="735" t="s">
        <v>30</v>
      </c>
      <c r="B109" s="736"/>
      <c r="C109" s="243"/>
      <c r="D109" s="22"/>
      <c r="E109" s="243"/>
      <c r="F109" s="22"/>
      <c r="G109" s="243"/>
      <c r="H109" s="22"/>
      <c r="I109" s="243"/>
      <c r="J109" s="22"/>
      <c r="K109" s="243"/>
      <c r="L109" s="171"/>
      <c r="M109" s="243"/>
      <c r="N109" s="71"/>
      <c r="O109" s="6"/>
      <c r="P109" s="735" t="s">
        <v>30</v>
      </c>
      <c r="Q109" s="736"/>
      <c r="R109" s="107">
        <f>R55+C109+E109+G109+I109+K109+M109</f>
        <v>100000000</v>
      </c>
    </row>
    <row r="110" spans="1:18" ht="15" customHeight="1" x14ac:dyDescent="0.3">
      <c r="A110" s="737" t="s">
        <v>38</v>
      </c>
      <c r="B110" s="738"/>
      <c r="C110" s="202"/>
      <c r="D110" s="19"/>
      <c r="E110" s="251"/>
      <c r="F110" s="187"/>
      <c r="G110" s="189"/>
      <c r="H110" s="20"/>
      <c r="I110" s="189"/>
      <c r="J110" s="19"/>
      <c r="K110" s="189"/>
      <c r="L110" s="167"/>
      <c r="M110" s="189"/>
      <c r="N110" s="66"/>
      <c r="O110" s="6"/>
      <c r="P110" s="743" t="s">
        <v>38</v>
      </c>
      <c r="Q110" s="597"/>
      <c r="R110" s="598"/>
    </row>
    <row r="111" spans="1:18" ht="15" customHeight="1" x14ac:dyDescent="0.3">
      <c r="A111" s="739"/>
      <c r="B111" s="740"/>
      <c r="C111" s="251"/>
      <c r="D111" s="20"/>
      <c r="E111" s="210"/>
      <c r="F111" s="20"/>
      <c r="G111" s="188"/>
      <c r="H111" s="20"/>
      <c r="I111" s="188"/>
      <c r="J111" s="20"/>
      <c r="K111" s="188"/>
      <c r="L111" s="172"/>
      <c r="M111" s="188"/>
      <c r="N111" s="67"/>
      <c r="O111" s="6"/>
      <c r="P111" s="744"/>
      <c r="Q111" s="599"/>
      <c r="R111" s="600"/>
    </row>
    <row r="112" spans="1:18" ht="15" customHeight="1" x14ac:dyDescent="0.3">
      <c r="A112" s="739"/>
      <c r="B112" s="740"/>
      <c r="C112" s="251"/>
      <c r="D112" s="20"/>
      <c r="E112" s="188"/>
      <c r="F112" s="20"/>
      <c r="G112" s="188"/>
      <c r="H112" s="20"/>
      <c r="I112" s="188"/>
      <c r="J112" s="20"/>
      <c r="K112" s="188"/>
      <c r="L112" s="172"/>
      <c r="M112" s="188"/>
      <c r="N112" s="67"/>
      <c r="O112" s="6"/>
      <c r="P112" s="744"/>
      <c r="Q112" s="599"/>
      <c r="R112" s="600"/>
    </row>
    <row r="113" spans="1:18" ht="15" customHeight="1" thickBot="1" x14ac:dyDescent="0.35">
      <c r="A113" s="741"/>
      <c r="B113" s="742"/>
      <c r="C113" s="253"/>
      <c r="D113" s="18"/>
      <c r="E113" s="230"/>
      <c r="F113" s="18"/>
      <c r="G113" s="230"/>
      <c r="H113" s="18"/>
      <c r="I113" s="230"/>
      <c r="J113" s="18"/>
      <c r="K113" s="230"/>
      <c r="L113" s="168"/>
      <c r="M113" s="230"/>
      <c r="N113" s="68"/>
      <c r="O113" s="6"/>
      <c r="P113" s="745"/>
      <c r="Q113" s="601"/>
      <c r="R113" s="602"/>
    </row>
    <row r="114" spans="1:18" ht="15" customHeight="1" x14ac:dyDescent="0.3">
      <c r="A114" s="652" t="str">
        <f>A60</f>
        <v>이민호님 보장분석(후)</v>
      </c>
      <c r="B114" s="653"/>
      <c r="C114" s="752"/>
      <c r="D114" s="753"/>
      <c r="E114" s="752"/>
      <c r="F114" s="753"/>
      <c r="G114" s="752"/>
      <c r="H114" s="753"/>
      <c r="I114" s="752"/>
      <c r="J114" s="753"/>
      <c r="K114" s="752"/>
      <c r="L114" s="753"/>
      <c r="M114" s="752"/>
      <c r="N114" s="753"/>
      <c r="O114" s="138"/>
      <c r="P114" s="650" t="s">
        <v>15</v>
      </c>
      <c r="Q114" s="651"/>
      <c r="R114" s="137">
        <f>R60</f>
        <v>45898</v>
      </c>
    </row>
    <row r="115" spans="1:18" ht="15" customHeight="1" x14ac:dyDescent="0.3">
      <c r="A115" s="647" t="s">
        <v>49</v>
      </c>
      <c r="B115" s="648"/>
      <c r="C115" s="754"/>
      <c r="D115" s="754"/>
      <c r="E115" s="754"/>
      <c r="F115" s="754"/>
      <c r="G115" s="754"/>
      <c r="H115" s="754"/>
      <c r="I115" s="754"/>
      <c r="J115" s="754"/>
      <c r="K115" s="754"/>
      <c r="L115" s="754"/>
      <c r="M115" s="754"/>
      <c r="N115" s="755"/>
      <c r="O115" s="25"/>
      <c r="P115" s="654"/>
      <c r="Q115" s="655"/>
      <c r="R115" s="656"/>
    </row>
    <row r="116" spans="1:18" ht="15" customHeight="1" x14ac:dyDescent="0.3">
      <c r="A116" s="637" t="s">
        <v>28</v>
      </c>
      <c r="B116" s="638"/>
      <c r="C116" s="756"/>
      <c r="D116" s="756"/>
      <c r="E116" s="756"/>
      <c r="F116" s="756"/>
      <c r="G116" s="756"/>
      <c r="H116" s="756"/>
      <c r="I116" s="756"/>
      <c r="J116" s="756"/>
      <c r="K116" s="756"/>
      <c r="L116" s="756"/>
      <c r="M116" s="756"/>
      <c r="N116" s="756"/>
      <c r="O116" s="25"/>
      <c r="P116" s="657"/>
      <c r="Q116" s="658"/>
      <c r="R116" s="659"/>
    </row>
    <row r="117" spans="1:18" ht="15" customHeight="1" x14ac:dyDescent="0.3">
      <c r="A117" s="647" t="s">
        <v>17</v>
      </c>
      <c r="B117" s="648"/>
      <c r="C117" s="756"/>
      <c r="D117" s="756"/>
      <c r="E117" s="756"/>
      <c r="F117" s="754"/>
      <c r="G117" s="756"/>
      <c r="H117" s="754"/>
      <c r="I117" s="756"/>
      <c r="J117" s="754"/>
      <c r="K117" s="756"/>
      <c r="L117" s="754"/>
      <c r="M117" s="756"/>
      <c r="N117" s="755"/>
      <c r="O117" s="25"/>
      <c r="P117" s="657"/>
      <c r="Q117" s="658"/>
      <c r="R117" s="659"/>
    </row>
    <row r="118" spans="1:18" ht="15" customHeight="1" x14ac:dyDescent="0.3">
      <c r="A118" s="647" t="s">
        <v>23</v>
      </c>
      <c r="B118" s="648"/>
      <c r="C118" s="61"/>
      <c r="D118" s="62">
        <f>IF(DATEDIF(C117,$R$1,"m")&lt;C118*12,DATEDIF(C117,$R$1,"m"),C118*12)</f>
        <v>0</v>
      </c>
      <c r="E118" s="61"/>
      <c r="F118" s="62">
        <f>IF(DATEDIF(E117,$R$1,"m")&lt;E118*12,DATEDIF(E117,$R$1,"m"),E118*12)</f>
        <v>0</v>
      </c>
      <c r="G118" s="61"/>
      <c r="H118" s="62">
        <f>IF(DATEDIF(G117,$R$1,"m")&lt;G118*12,DATEDIF(G117,$R$1,"m"),G118*12)</f>
        <v>0</v>
      </c>
      <c r="I118" s="61"/>
      <c r="J118" s="62">
        <f>IF(DATEDIF(I117,$R$1,"m")&lt;I118*12,DATEDIF(I117,$R$1,"m"),I118*12)</f>
        <v>0</v>
      </c>
      <c r="K118" s="61"/>
      <c r="L118" s="62">
        <f>IF(DATEDIF(K117,$R$1,"m")&lt;K118*12,DATEDIF(K117,$R$1,"m"),K118*12)</f>
        <v>0</v>
      </c>
      <c r="M118" s="61"/>
      <c r="N118" s="65">
        <f>IF(DATEDIF(M117,$R$1,"m")&lt;M118*12,DATEDIF(M117,$R$1,"m"),M118*12)</f>
        <v>0</v>
      </c>
      <c r="O118" s="25"/>
      <c r="P118" s="657"/>
      <c r="Q118" s="658"/>
      <c r="R118" s="659"/>
    </row>
    <row r="119" spans="1:18" ht="15" customHeight="1" x14ac:dyDescent="0.3">
      <c r="A119" s="647" t="s">
        <v>2</v>
      </c>
      <c r="B119" s="648"/>
      <c r="C119" s="696"/>
      <c r="D119" s="696"/>
      <c r="E119" s="696"/>
      <c r="F119" s="696"/>
      <c r="G119" s="696"/>
      <c r="H119" s="696"/>
      <c r="I119" s="696"/>
      <c r="J119" s="696"/>
      <c r="K119" s="696"/>
      <c r="L119" s="696"/>
      <c r="M119" s="696"/>
      <c r="N119" s="717"/>
      <c r="O119" s="25"/>
      <c r="P119" s="660"/>
      <c r="Q119" s="661"/>
      <c r="R119" s="662"/>
    </row>
    <row r="120" spans="1:18" ht="15" customHeight="1" x14ac:dyDescent="0.3">
      <c r="A120" s="632" t="s">
        <v>37</v>
      </c>
      <c r="B120" s="633"/>
      <c r="C120" s="757"/>
      <c r="D120" s="758"/>
      <c r="E120" s="757"/>
      <c r="F120" s="758"/>
      <c r="G120" s="757"/>
      <c r="H120" s="758"/>
      <c r="I120" s="757"/>
      <c r="J120" s="758"/>
      <c r="K120" s="757"/>
      <c r="L120" s="758"/>
      <c r="M120" s="757"/>
      <c r="N120" s="759"/>
      <c r="O120" s="25"/>
      <c r="P120" s="643"/>
      <c r="Q120" s="644"/>
      <c r="R120" s="27" t="s">
        <v>91</v>
      </c>
    </row>
    <row r="121" spans="1:18" ht="15" customHeight="1" x14ac:dyDescent="0.3">
      <c r="A121" s="639" t="s">
        <v>12</v>
      </c>
      <c r="B121" s="640"/>
      <c r="C121" s="705"/>
      <c r="D121" s="705"/>
      <c r="E121" s="705"/>
      <c r="F121" s="705"/>
      <c r="G121" s="705"/>
      <c r="H121" s="705"/>
      <c r="I121" s="705"/>
      <c r="J121" s="705"/>
      <c r="K121" s="705"/>
      <c r="L121" s="705"/>
      <c r="M121" s="705"/>
      <c r="N121" s="720"/>
      <c r="O121" s="26"/>
      <c r="P121" s="635" t="s">
        <v>34</v>
      </c>
      <c r="Q121" s="636"/>
      <c r="R121" s="60">
        <f t="shared" ref="R121:R131" si="8">R67+C121+E121+G121+I121+K121+M121</f>
        <v>470580</v>
      </c>
    </row>
    <row r="122" spans="1:18" ht="15" customHeight="1" x14ac:dyDescent="0.3">
      <c r="A122" s="637" t="s">
        <v>3</v>
      </c>
      <c r="B122" s="638"/>
      <c r="C122" s="709">
        <f>C121*C118*12</f>
        <v>0</v>
      </c>
      <c r="D122" s="711"/>
      <c r="E122" s="709">
        <f>E121*E118*12</f>
        <v>0</v>
      </c>
      <c r="F122" s="711"/>
      <c r="G122" s="709">
        <f>G121*G118*12</f>
        <v>0</v>
      </c>
      <c r="H122" s="711"/>
      <c r="I122" s="709">
        <f>I121*I118*12</f>
        <v>0</v>
      </c>
      <c r="J122" s="711"/>
      <c r="K122" s="709">
        <f>K121*K118*12</f>
        <v>0</v>
      </c>
      <c r="L122" s="711"/>
      <c r="M122" s="709">
        <f>M121*M118*12</f>
        <v>0</v>
      </c>
      <c r="N122" s="710"/>
      <c r="O122" s="26"/>
      <c r="P122" s="635" t="s">
        <v>33</v>
      </c>
      <c r="Q122" s="636"/>
      <c r="R122" s="51">
        <f t="shared" si="8"/>
        <v>105406080</v>
      </c>
    </row>
    <row r="123" spans="1:18" ht="15" customHeight="1" x14ac:dyDescent="0.3">
      <c r="A123" s="637" t="s">
        <v>4</v>
      </c>
      <c r="B123" s="638"/>
      <c r="C123" s="709">
        <f>C121*D118</f>
        <v>0</v>
      </c>
      <c r="D123" s="711"/>
      <c r="E123" s="709">
        <f>E121*F118</f>
        <v>0</v>
      </c>
      <c r="F123" s="711"/>
      <c r="G123" s="709">
        <f>G121*H118</f>
        <v>0</v>
      </c>
      <c r="H123" s="711"/>
      <c r="I123" s="709">
        <f>I121*J118</f>
        <v>0</v>
      </c>
      <c r="J123" s="711"/>
      <c r="K123" s="709">
        <f>K121*L118</f>
        <v>0</v>
      </c>
      <c r="L123" s="711"/>
      <c r="M123" s="709">
        <f>M121*N118</f>
        <v>0</v>
      </c>
      <c r="N123" s="710"/>
      <c r="O123" s="26"/>
      <c r="P123" s="635" t="s">
        <v>31</v>
      </c>
      <c r="Q123" s="636"/>
      <c r="R123" s="51">
        <f t="shared" si="8"/>
        <v>0</v>
      </c>
    </row>
    <row r="124" spans="1:18" ht="15" customHeight="1" thickBot="1" x14ac:dyDescent="0.35">
      <c r="A124" s="632" t="s">
        <v>18</v>
      </c>
      <c r="B124" s="633"/>
      <c r="C124" s="709">
        <f>C122-C123</f>
        <v>0</v>
      </c>
      <c r="D124" s="711"/>
      <c r="E124" s="709">
        <f>E122-E123</f>
        <v>0</v>
      </c>
      <c r="F124" s="711"/>
      <c r="G124" s="709">
        <f>G122-G123</f>
        <v>0</v>
      </c>
      <c r="H124" s="711"/>
      <c r="I124" s="709">
        <f>I122-I123</f>
        <v>0</v>
      </c>
      <c r="J124" s="711"/>
      <c r="K124" s="709">
        <f>K122-K123</f>
        <v>0</v>
      </c>
      <c r="L124" s="711"/>
      <c r="M124" s="709">
        <f>M122-M123</f>
        <v>0</v>
      </c>
      <c r="N124" s="710"/>
      <c r="O124" s="26"/>
      <c r="P124" s="619" t="s">
        <v>35</v>
      </c>
      <c r="Q124" s="620"/>
      <c r="R124" s="52">
        <f t="shared" si="8"/>
        <v>105406080</v>
      </c>
    </row>
    <row r="125" spans="1:18" ht="15" customHeight="1" x14ac:dyDescent="0.3">
      <c r="A125" s="768" t="s">
        <v>1</v>
      </c>
      <c r="B125" s="139" t="s">
        <v>58</v>
      </c>
      <c r="C125" s="41"/>
      <c r="D125" s="19"/>
      <c r="E125" s="8"/>
      <c r="F125" s="19"/>
      <c r="G125" s="8"/>
      <c r="H125" s="19"/>
      <c r="I125" s="8"/>
      <c r="J125" s="19"/>
      <c r="K125" s="8"/>
      <c r="L125" s="167"/>
      <c r="M125" s="8"/>
      <c r="N125" s="66"/>
      <c r="O125" s="6"/>
      <c r="P125" s="769" t="s">
        <v>0</v>
      </c>
      <c r="Q125" s="139" t="s">
        <v>66</v>
      </c>
      <c r="R125" s="182">
        <f t="shared" si="8"/>
        <v>50000000</v>
      </c>
    </row>
    <row r="126" spans="1:18" ht="15" customHeight="1" x14ac:dyDescent="0.3">
      <c r="A126" s="730"/>
      <c r="B126" s="140" t="s">
        <v>59</v>
      </c>
      <c r="C126" s="28"/>
      <c r="D126" s="20"/>
      <c r="E126" s="9"/>
      <c r="F126" s="20"/>
      <c r="G126" s="9"/>
      <c r="H126" s="20"/>
      <c r="I126" s="9"/>
      <c r="J126" s="20"/>
      <c r="K126" s="9"/>
      <c r="L126" s="172"/>
      <c r="M126" s="9"/>
      <c r="N126" s="67"/>
      <c r="O126" s="6"/>
      <c r="P126" s="770"/>
      <c r="Q126" s="140" t="s">
        <v>69</v>
      </c>
      <c r="R126" s="183">
        <f t="shared" si="8"/>
        <v>200000</v>
      </c>
    </row>
    <row r="127" spans="1:18" ht="15" customHeight="1" x14ac:dyDescent="0.3">
      <c r="A127" s="730"/>
      <c r="B127" s="140" t="s">
        <v>88</v>
      </c>
      <c r="C127" s="28"/>
      <c r="D127" s="20"/>
      <c r="E127" s="28"/>
      <c r="F127" s="20"/>
      <c r="G127" s="9"/>
      <c r="H127" s="20"/>
      <c r="I127" s="9"/>
      <c r="J127" s="20"/>
      <c r="K127" s="9"/>
      <c r="L127" s="172"/>
      <c r="M127" s="9"/>
      <c r="N127" s="67"/>
      <c r="O127" s="6"/>
      <c r="P127" s="770"/>
      <c r="Q127" s="140" t="s">
        <v>64</v>
      </c>
      <c r="R127" s="183">
        <f t="shared" si="8"/>
        <v>50000000</v>
      </c>
    </row>
    <row r="128" spans="1:18" ht="15" customHeight="1" x14ac:dyDescent="0.3">
      <c r="A128" s="730"/>
      <c r="B128" s="140" t="s">
        <v>94</v>
      </c>
      <c r="C128" s="28"/>
      <c r="D128" s="20"/>
      <c r="E128" s="28"/>
      <c r="F128" s="20"/>
      <c r="G128" s="9"/>
      <c r="H128" s="20"/>
      <c r="I128" s="9"/>
      <c r="J128" s="20"/>
      <c r="K128" s="9"/>
      <c r="L128" s="172"/>
      <c r="M128" s="9"/>
      <c r="N128" s="67"/>
      <c r="O128" s="6"/>
      <c r="P128" s="770"/>
      <c r="Q128" s="140" t="s">
        <v>60</v>
      </c>
      <c r="R128" s="183">
        <f t="shared" si="8"/>
        <v>200000</v>
      </c>
    </row>
    <row r="129" spans="1:18" ht="15" customHeight="1" thickBot="1" x14ac:dyDescent="0.35">
      <c r="A129" s="731"/>
      <c r="B129" s="141" t="s">
        <v>89</v>
      </c>
      <c r="C129" s="42"/>
      <c r="D129" s="18"/>
      <c r="E129" s="42"/>
      <c r="F129" s="18"/>
      <c r="G129" s="7"/>
      <c r="H129" s="18"/>
      <c r="I129" s="7"/>
      <c r="J129" s="18"/>
      <c r="K129" s="7"/>
      <c r="L129" s="168"/>
      <c r="M129" s="7"/>
      <c r="N129" s="68"/>
      <c r="O129" s="6"/>
      <c r="P129" s="771"/>
      <c r="Q129" s="141" t="s">
        <v>89</v>
      </c>
      <c r="R129" s="184">
        <f t="shared" si="8"/>
        <v>3500000</v>
      </c>
    </row>
    <row r="130" spans="1:18" ht="15" customHeight="1" x14ac:dyDescent="0.3">
      <c r="A130" s="626" t="s">
        <v>50</v>
      </c>
      <c r="B130" s="142" t="s">
        <v>55</v>
      </c>
      <c r="C130" s="8"/>
      <c r="D130" s="19"/>
      <c r="E130" s="8"/>
      <c r="F130" s="19"/>
      <c r="G130" s="8"/>
      <c r="H130" s="198"/>
      <c r="I130" s="8"/>
      <c r="J130" s="19"/>
      <c r="K130" s="8"/>
      <c r="L130" s="167"/>
      <c r="M130" s="8"/>
      <c r="N130" s="66"/>
      <c r="O130" s="6"/>
      <c r="P130" s="772" t="str">
        <f>A130</f>
        <v>암</v>
      </c>
      <c r="Q130" s="112" t="s">
        <v>55</v>
      </c>
      <c r="R130" s="182">
        <f t="shared" si="8"/>
        <v>60000000</v>
      </c>
    </row>
    <row r="131" spans="1:18" ht="15" customHeight="1" x14ac:dyDescent="0.3">
      <c r="A131" s="627"/>
      <c r="B131" s="143" t="s">
        <v>46</v>
      </c>
      <c r="C131" s="43"/>
      <c r="D131" s="21"/>
      <c r="E131" s="9"/>
      <c r="F131" s="21"/>
      <c r="G131" s="9"/>
      <c r="H131" s="204"/>
      <c r="I131" s="9"/>
      <c r="J131" s="21"/>
      <c r="K131" s="10"/>
      <c r="L131" s="169"/>
      <c r="M131" s="10"/>
      <c r="N131" s="69"/>
      <c r="O131" s="6"/>
      <c r="P131" s="773"/>
      <c r="Q131" s="113" t="s">
        <v>46</v>
      </c>
      <c r="R131" s="183">
        <f t="shared" si="8"/>
        <v>10000000</v>
      </c>
    </row>
    <row r="132" spans="1:18" ht="15" customHeight="1" x14ac:dyDescent="0.3">
      <c r="A132" s="627"/>
      <c r="B132" s="143" t="s">
        <v>9</v>
      </c>
      <c r="C132" s="43"/>
      <c r="D132" s="21"/>
      <c r="E132" s="10"/>
      <c r="F132" s="21"/>
      <c r="G132" s="9"/>
      <c r="H132" s="13"/>
      <c r="I132" s="10"/>
      <c r="J132" s="21"/>
      <c r="K132" s="10"/>
      <c r="L132" s="169"/>
      <c r="M132" s="10"/>
      <c r="N132" s="69"/>
      <c r="O132" s="6"/>
      <c r="P132" s="773"/>
      <c r="Q132" s="113" t="s">
        <v>9</v>
      </c>
      <c r="R132" s="183">
        <f t="shared" ref="R132:R155" si="9">R80+C132+E132+G132+I132+K132+M132</f>
        <v>65000000</v>
      </c>
    </row>
    <row r="133" spans="1:18" ht="15" customHeight="1" x14ac:dyDescent="0.3">
      <c r="A133" s="627"/>
      <c r="B133" s="143" t="s">
        <v>10</v>
      </c>
      <c r="C133" s="43"/>
      <c r="D133" s="21"/>
      <c r="E133" s="9"/>
      <c r="F133" s="21"/>
      <c r="G133" s="10"/>
      <c r="H133" s="13"/>
      <c r="I133" s="43"/>
      <c r="J133" s="21"/>
      <c r="K133" s="10"/>
      <c r="L133" s="169"/>
      <c r="M133" s="10"/>
      <c r="N133" s="69"/>
      <c r="O133" s="6"/>
      <c r="P133" s="773"/>
      <c r="Q133" s="113" t="s">
        <v>10</v>
      </c>
      <c r="R133" s="183">
        <f t="shared" si="9"/>
        <v>20000000</v>
      </c>
    </row>
    <row r="134" spans="1:18" ht="15" customHeight="1" thickBot="1" x14ac:dyDescent="0.35">
      <c r="A134" s="627"/>
      <c r="B134" s="144" t="s">
        <v>20</v>
      </c>
      <c r="C134" s="42"/>
      <c r="D134" s="18"/>
      <c r="E134" s="7"/>
      <c r="F134" s="21"/>
      <c r="G134" s="7"/>
      <c r="H134" s="13"/>
      <c r="I134" s="7"/>
      <c r="J134" s="21"/>
      <c r="K134" s="10"/>
      <c r="L134" s="169"/>
      <c r="M134" s="10"/>
      <c r="N134" s="69"/>
      <c r="O134" s="6"/>
      <c r="P134" s="773"/>
      <c r="Q134" s="114" t="s">
        <v>20</v>
      </c>
      <c r="R134" s="184">
        <f t="shared" si="9"/>
        <v>40000000</v>
      </c>
    </row>
    <row r="135" spans="1:18" ht="15" customHeight="1" x14ac:dyDescent="0.3">
      <c r="A135" s="721" t="s">
        <v>19</v>
      </c>
      <c r="B135" s="145" t="s">
        <v>51</v>
      </c>
      <c r="C135" s="9"/>
      <c r="D135" s="19"/>
      <c r="E135" s="9"/>
      <c r="F135" s="19"/>
      <c r="G135" s="9"/>
      <c r="H135" s="11"/>
      <c r="I135" s="8"/>
      <c r="J135" s="19"/>
      <c r="K135" s="8"/>
      <c r="L135" s="167"/>
      <c r="M135" s="8"/>
      <c r="N135" s="66"/>
      <c r="O135" s="6"/>
      <c r="P135" s="760" t="str">
        <f>A135</f>
        <v>2대
질병</v>
      </c>
      <c r="Q135" s="115" t="s">
        <v>51</v>
      </c>
      <c r="R135" s="182">
        <f t="shared" si="9"/>
        <v>10000000</v>
      </c>
    </row>
    <row r="136" spans="1:18" ht="15" customHeight="1" x14ac:dyDescent="0.3">
      <c r="A136" s="722"/>
      <c r="B136" s="146" t="s">
        <v>43</v>
      </c>
      <c r="C136" s="9"/>
      <c r="D136" s="21"/>
      <c r="E136" s="10"/>
      <c r="F136" s="204"/>
      <c r="G136" s="9"/>
      <c r="H136" s="13"/>
      <c r="I136" s="10"/>
      <c r="J136" s="204"/>
      <c r="K136" s="9"/>
      <c r="L136" s="169"/>
      <c r="M136" s="10"/>
      <c r="N136" s="69"/>
      <c r="O136" s="6"/>
      <c r="P136" s="761"/>
      <c r="Q136" s="116" t="s">
        <v>43</v>
      </c>
      <c r="R136" s="183">
        <f t="shared" si="9"/>
        <v>20000000</v>
      </c>
    </row>
    <row r="137" spans="1:18" ht="15" customHeight="1" thickBot="1" x14ac:dyDescent="0.35">
      <c r="A137" s="722"/>
      <c r="B137" s="147" t="s">
        <v>53</v>
      </c>
      <c r="C137" s="36"/>
      <c r="D137" s="199"/>
      <c r="E137" s="36"/>
      <c r="F137" s="47"/>
      <c r="G137" s="36"/>
      <c r="H137" s="48"/>
      <c r="I137" s="36"/>
      <c r="J137" s="199"/>
      <c r="K137" s="36"/>
      <c r="L137" s="170"/>
      <c r="M137" s="36"/>
      <c r="N137" s="70"/>
      <c r="O137" s="6"/>
      <c r="P137" s="761"/>
      <c r="Q137" s="117" t="s">
        <v>53</v>
      </c>
      <c r="R137" s="184">
        <f t="shared" si="9"/>
        <v>20000000</v>
      </c>
    </row>
    <row r="138" spans="1:18" ht="15" customHeight="1" x14ac:dyDescent="0.3">
      <c r="A138" s="722"/>
      <c r="B138" s="148" t="s">
        <v>65</v>
      </c>
      <c r="C138" s="8"/>
      <c r="D138" s="19"/>
      <c r="E138" s="8"/>
      <c r="F138" s="19"/>
      <c r="G138" s="8"/>
      <c r="H138" s="11"/>
      <c r="I138" s="8"/>
      <c r="J138" s="19"/>
      <c r="K138" s="8"/>
      <c r="L138" s="167"/>
      <c r="M138" s="8"/>
      <c r="N138" s="66"/>
      <c r="O138" s="6"/>
      <c r="P138" s="761"/>
      <c r="Q138" s="118" t="s">
        <v>65</v>
      </c>
      <c r="R138" s="182">
        <f t="shared" si="9"/>
        <v>10000000</v>
      </c>
    </row>
    <row r="139" spans="1:18" ht="15" customHeight="1" x14ac:dyDescent="0.3">
      <c r="A139" s="722"/>
      <c r="B139" s="149" t="s">
        <v>8</v>
      </c>
      <c r="C139" s="9"/>
      <c r="D139" s="21"/>
      <c r="E139" s="9"/>
      <c r="F139" s="204"/>
      <c r="G139" s="9"/>
      <c r="H139" s="13"/>
      <c r="I139" s="9"/>
      <c r="J139" s="20"/>
      <c r="K139" s="9"/>
      <c r="L139" s="169"/>
      <c r="M139" s="10"/>
      <c r="N139" s="69"/>
      <c r="O139" s="6"/>
      <c r="P139" s="761"/>
      <c r="Q139" s="119" t="s">
        <v>8</v>
      </c>
      <c r="R139" s="183">
        <f t="shared" si="9"/>
        <v>20000000</v>
      </c>
    </row>
    <row r="140" spans="1:18" ht="15" customHeight="1" thickBot="1" x14ac:dyDescent="0.35">
      <c r="A140" s="722"/>
      <c r="B140" s="165" t="s">
        <v>5</v>
      </c>
      <c r="C140" s="7"/>
      <c r="D140" s="200"/>
      <c r="E140" s="36"/>
      <c r="F140" s="47"/>
      <c r="G140" s="36"/>
      <c r="H140" s="48"/>
      <c r="I140" s="36"/>
      <c r="J140" s="199"/>
      <c r="K140" s="35"/>
      <c r="L140" s="170"/>
      <c r="M140" s="35"/>
      <c r="N140" s="70"/>
      <c r="O140" s="6"/>
      <c r="P140" s="761"/>
      <c r="Q140" s="120" t="s">
        <v>5</v>
      </c>
      <c r="R140" s="184">
        <f t="shared" si="9"/>
        <v>20000000</v>
      </c>
    </row>
    <row r="141" spans="1:18" ht="15" customHeight="1" thickBot="1" x14ac:dyDescent="0.35">
      <c r="A141" s="722"/>
      <c r="B141" s="283" t="s">
        <v>97</v>
      </c>
      <c r="C141" s="53"/>
      <c r="D141" s="22"/>
      <c r="E141" s="14"/>
      <c r="F141" s="211"/>
      <c r="G141" s="14"/>
      <c r="H141" s="15"/>
      <c r="I141" s="14"/>
      <c r="J141" s="211"/>
      <c r="K141" s="14"/>
      <c r="L141" s="171"/>
      <c r="M141" s="14"/>
      <c r="N141" s="71"/>
      <c r="O141" s="6"/>
      <c r="P141" s="761"/>
      <c r="Q141" s="283" t="s">
        <v>97</v>
      </c>
      <c r="R141" s="108">
        <f t="shared" si="9"/>
        <v>0</v>
      </c>
    </row>
    <row r="142" spans="1:18" ht="15" customHeight="1" x14ac:dyDescent="0.3">
      <c r="A142" s="723" t="s">
        <v>16</v>
      </c>
      <c r="B142" s="152" t="s">
        <v>36</v>
      </c>
      <c r="C142" s="41"/>
      <c r="D142" s="19"/>
      <c r="E142" s="8"/>
      <c r="F142" s="198"/>
      <c r="G142" s="8"/>
      <c r="H142" s="19"/>
      <c r="I142" s="8"/>
      <c r="J142" s="19"/>
      <c r="K142" s="8"/>
      <c r="L142" s="167"/>
      <c r="M142" s="8"/>
      <c r="N142" s="66"/>
      <c r="O142" s="6"/>
      <c r="P142" s="762" t="str">
        <f>A142</f>
        <v>후유장해</v>
      </c>
      <c r="Q142" s="122" t="s">
        <v>36</v>
      </c>
      <c r="R142" s="182">
        <f t="shared" si="9"/>
        <v>0</v>
      </c>
    </row>
    <row r="143" spans="1:18" ht="15" customHeight="1" x14ac:dyDescent="0.3">
      <c r="A143" s="724"/>
      <c r="B143" s="153" t="s">
        <v>29</v>
      </c>
      <c r="C143" s="28"/>
      <c r="D143" s="20"/>
      <c r="E143" s="9"/>
      <c r="F143" s="204"/>
      <c r="G143" s="9"/>
      <c r="H143" s="20"/>
      <c r="I143" s="9"/>
      <c r="J143" s="20"/>
      <c r="K143" s="9"/>
      <c r="L143" s="172"/>
      <c r="M143" s="9"/>
      <c r="N143" s="67"/>
      <c r="O143" s="6"/>
      <c r="P143" s="763"/>
      <c r="Q143" s="123" t="s">
        <v>29</v>
      </c>
      <c r="R143" s="183">
        <f t="shared" si="9"/>
        <v>0</v>
      </c>
    </row>
    <row r="144" spans="1:18" ht="15" customHeight="1" x14ac:dyDescent="0.3">
      <c r="A144" s="724"/>
      <c r="B144" s="153" t="s">
        <v>25</v>
      </c>
      <c r="C144" s="28"/>
      <c r="D144" s="20"/>
      <c r="E144" s="9"/>
      <c r="F144" s="218"/>
      <c r="G144" s="9"/>
      <c r="H144" s="20"/>
      <c r="I144" s="9"/>
      <c r="J144" s="20"/>
      <c r="K144" s="9"/>
      <c r="L144" s="172"/>
      <c r="M144" s="9"/>
      <c r="N144" s="67"/>
      <c r="O144" s="6"/>
      <c r="P144" s="763"/>
      <c r="Q144" s="123" t="s">
        <v>25</v>
      </c>
      <c r="R144" s="183">
        <f t="shared" si="9"/>
        <v>0</v>
      </c>
    </row>
    <row r="145" spans="1:18" ht="15" customHeight="1" thickBot="1" x14ac:dyDescent="0.35">
      <c r="A145" s="725"/>
      <c r="B145" s="154" t="s">
        <v>24</v>
      </c>
      <c r="C145" s="42"/>
      <c r="D145" s="18"/>
      <c r="E145" s="7"/>
      <c r="F145" s="200"/>
      <c r="G145" s="9"/>
      <c r="H145" s="18"/>
      <c r="I145" s="7"/>
      <c r="J145" s="18"/>
      <c r="K145" s="7"/>
      <c r="L145" s="168"/>
      <c r="M145" s="7"/>
      <c r="N145" s="68"/>
      <c r="O145" s="6"/>
      <c r="P145" s="764"/>
      <c r="Q145" s="124" t="s">
        <v>24</v>
      </c>
      <c r="R145" s="184">
        <f t="shared" si="9"/>
        <v>0</v>
      </c>
    </row>
    <row r="146" spans="1:18" ht="15" customHeight="1" x14ac:dyDescent="0.3">
      <c r="A146" s="726" t="s">
        <v>47</v>
      </c>
      <c r="B146" s="155" t="s">
        <v>48</v>
      </c>
      <c r="C146" s="41"/>
      <c r="D146" s="19"/>
      <c r="E146" s="10"/>
      <c r="F146" s="19"/>
      <c r="G146" s="8"/>
      <c r="H146" s="19"/>
      <c r="I146" s="8"/>
      <c r="J146" s="19"/>
      <c r="K146" s="8"/>
      <c r="L146" s="173"/>
      <c r="M146" s="10"/>
      <c r="N146" s="69"/>
      <c r="O146" s="6"/>
      <c r="P146" s="765" t="s">
        <v>47</v>
      </c>
      <c r="Q146" s="125" t="s">
        <v>48</v>
      </c>
      <c r="R146" s="182">
        <f t="shared" si="9"/>
        <v>0</v>
      </c>
    </row>
    <row r="147" spans="1:18" ht="15" customHeight="1" x14ac:dyDescent="0.3">
      <c r="A147" s="727"/>
      <c r="B147" s="156" t="s">
        <v>44</v>
      </c>
      <c r="C147" s="28"/>
      <c r="D147" s="20"/>
      <c r="E147" s="9"/>
      <c r="F147" s="20"/>
      <c r="G147" s="9"/>
      <c r="H147" s="12"/>
      <c r="I147" s="9"/>
      <c r="J147" s="20"/>
      <c r="K147" s="9"/>
      <c r="L147" s="174"/>
      <c r="M147" s="9"/>
      <c r="N147" s="67"/>
      <c r="O147" s="6"/>
      <c r="P147" s="766"/>
      <c r="Q147" s="126" t="s">
        <v>44</v>
      </c>
      <c r="R147" s="183">
        <f t="shared" si="9"/>
        <v>0</v>
      </c>
    </row>
    <row r="148" spans="1:18" ht="15" customHeight="1" thickBot="1" x14ac:dyDescent="0.35">
      <c r="A148" s="728"/>
      <c r="B148" s="157" t="s">
        <v>7</v>
      </c>
      <c r="C148" s="43"/>
      <c r="D148" s="21"/>
      <c r="E148" s="7"/>
      <c r="F148" s="18"/>
      <c r="G148" s="7"/>
      <c r="H148" s="24"/>
      <c r="I148" s="7"/>
      <c r="J148" s="217"/>
      <c r="K148" s="7"/>
      <c r="L148" s="168"/>
      <c r="M148" s="7"/>
      <c r="N148" s="68"/>
      <c r="O148" s="6"/>
      <c r="P148" s="767"/>
      <c r="Q148" s="127" t="s">
        <v>54</v>
      </c>
      <c r="R148" s="184">
        <f t="shared" si="9"/>
        <v>30000000</v>
      </c>
    </row>
    <row r="149" spans="1:18" ht="15" customHeight="1" x14ac:dyDescent="0.3">
      <c r="A149" s="746" t="s">
        <v>39</v>
      </c>
      <c r="B149" s="158" t="s">
        <v>44</v>
      </c>
      <c r="C149" s="41"/>
      <c r="D149" s="19"/>
      <c r="E149" s="8"/>
      <c r="F149" s="19"/>
      <c r="G149" s="8"/>
      <c r="H149" s="19"/>
      <c r="I149" s="8"/>
      <c r="J149" s="215"/>
      <c r="K149" s="8"/>
      <c r="L149" s="167"/>
      <c r="M149" s="8"/>
      <c r="N149" s="66"/>
      <c r="O149" s="6"/>
      <c r="P149" s="779" t="s">
        <v>39</v>
      </c>
      <c r="Q149" s="128" t="s">
        <v>44</v>
      </c>
      <c r="R149" s="182">
        <f t="shared" si="9"/>
        <v>500000</v>
      </c>
    </row>
    <row r="150" spans="1:18" ht="15" customHeight="1" x14ac:dyDescent="0.3">
      <c r="A150" s="747"/>
      <c r="B150" s="158" t="s">
        <v>54</v>
      </c>
      <c r="C150" s="28"/>
      <c r="D150" s="20"/>
      <c r="E150" s="9"/>
      <c r="F150" s="21"/>
      <c r="G150" s="9"/>
      <c r="H150" s="20"/>
      <c r="I150" s="9"/>
      <c r="J150" s="216"/>
      <c r="K150" s="9"/>
      <c r="L150" s="172"/>
      <c r="M150" s="9"/>
      <c r="N150" s="67"/>
      <c r="O150" s="6"/>
      <c r="P150" s="780"/>
      <c r="Q150" s="129" t="s">
        <v>54</v>
      </c>
      <c r="R150" s="183">
        <f t="shared" si="9"/>
        <v>1200000</v>
      </c>
    </row>
    <row r="151" spans="1:18" ht="15" customHeight="1" x14ac:dyDescent="0.3">
      <c r="A151" s="747"/>
      <c r="B151" s="158" t="s">
        <v>68</v>
      </c>
      <c r="C151" s="28"/>
      <c r="D151" s="20"/>
      <c r="E151" s="9"/>
      <c r="F151" s="21"/>
      <c r="G151" s="9"/>
      <c r="H151" s="13"/>
      <c r="I151" s="10"/>
      <c r="J151" s="219"/>
      <c r="K151" s="10"/>
      <c r="L151" s="175"/>
      <c r="M151" s="23"/>
      <c r="N151" s="69"/>
      <c r="O151" s="6"/>
      <c r="P151" s="780"/>
      <c r="Q151" s="129" t="s">
        <v>68</v>
      </c>
      <c r="R151" s="183">
        <f t="shared" si="9"/>
        <v>5300000</v>
      </c>
    </row>
    <row r="152" spans="1:18" ht="15" customHeight="1" thickBot="1" x14ac:dyDescent="0.35">
      <c r="A152" s="747"/>
      <c r="B152" s="159" t="s">
        <v>61</v>
      </c>
      <c r="C152" s="44"/>
      <c r="D152" s="34"/>
      <c r="E152" s="35"/>
      <c r="F152" s="34"/>
      <c r="G152" s="35"/>
      <c r="H152" s="37"/>
      <c r="I152" s="36"/>
      <c r="J152" s="63"/>
      <c r="K152" s="36"/>
      <c r="L152" s="176"/>
      <c r="M152" s="35"/>
      <c r="N152" s="72"/>
      <c r="O152" s="6"/>
      <c r="P152" s="780"/>
      <c r="Q152" s="130" t="s">
        <v>61</v>
      </c>
      <c r="R152" s="184">
        <f t="shared" si="9"/>
        <v>0</v>
      </c>
    </row>
    <row r="153" spans="1:18" ht="15" customHeight="1" x14ac:dyDescent="0.3">
      <c r="A153" s="748" t="s">
        <v>40</v>
      </c>
      <c r="B153" s="160" t="s">
        <v>45</v>
      </c>
      <c r="C153" s="8"/>
      <c r="D153" s="19"/>
      <c r="E153" s="8"/>
      <c r="F153" s="19"/>
      <c r="G153" s="8"/>
      <c r="H153" s="19"/>
      <c r="I153" s="8"/>
      <c r="J153" s="215"/>
      <c r="K153" s="8"/>
      <c r="L153" s="167"/>
      <c r="M153" s="8"/>
      <c r="N153" s="66"/>
      <c r="O153" s="6"/>
      <c r="P153" s="782" t="s">
        <v>40</v>
      </c>
      <c r="Q153" s="131" t="s">
        <v>45</v>
      </c>
      <c r="R153" s="182">
        <f t="shared" si="9"/>
        <v>500000</v>
      </c>
    </row>
    <row r="154" spans="1:18" ht="15" customHeight="1" thickBot="1" x14ac:dyDescent="0.35">
      <c r="A154" s="781"/>
      <c r="B154" s="161" t="s">
        <v>42</v>
      </c>
      <c r="C154" s="45"/>
      <c r="D154" s="18"/>
      <c r="E154" s="39"/>
      <c r="F154" s="38"/>
      <c r="G154" s="39"/>
      <c r="H154" s="38"/>
      <c r="I154" s="39"/>
      <c r="J154" s="220"/>
      <c r="K154" s="39"/>
      <c r="L154" s="177"/>
      <c r="M154" s="39"/>
      <c r="N154" s="73"/>
      <c r="O154" s="6"/>
      <c r="P154" s="783"/>
      <c r="Q154" s="132" t="s">
        <v>42</v>
      </c>
      <c r="R154" s="184">
        <f t="shared" si="9"/>
        <v>200000</v>
      </c>
    </row>
    <row r="155" spans="1:18" ht="15" customHeight="1" x14ac:dyDescent="0.3">
      <c r="A155" s="784" t="s">
        <v>6</v>
      </c>
      <c r="B155" s="162" t="s">
        <v>44</v>
      </c>
      <c r="C155" s="41"/>
      <c r="D155" s="19"/>
      <c r="E155" s="41"/>
      <c r="F155" s="19"/>
      <c r="G155" s="41"/>
      <c r="H155" s="19"/>
      <c r="I155" s="41"/>
      <c r="J155" s="215"/>
      <c r="K155" s="8"/>
      <c r="L155" s="167"/>
      <c r="M155" s="8"/>
      <c r="N155" s="66"/>
      <c r="O155" s="6"/>
      <c r="P155" s="786" t="s">
        <v>6</v>
      </c>
      <c r="Q155" s="133" t="s">
        <v>44</v>
      </c>
      <c r="R155" s="182">
        <f t="shared" si="9"/>
        <v>150000</v>
      </c>
    </row>
    <row r="156" spans="1:18" ht="15" customHeight="1" thickBot="1" x14ac:dyDescent="0.35">
      <c r="A156" s="785"/>
      <c r="B156" s="163" t="s">
        <v>7</v>
      </c>
      <c r="C156" s="42"/>
      <c r="D156" s="18"/>
      <c r="E156" s="42"/>
      <c r="F156" s="18"/>
      <c r="G156" s="42"/>
      <c r="H156" s="18"/>
      <c r="I156" s="42"/>
      <c r="J156" s="217"/>
      <c r="K156" s="7"/>
      <c r="L156" s="168"/>
      <c r="M156" s="7"/>
      <c r="N156" s="68"/>
      <c r="O156" s="6"/>
      <c r="P156" s="787"/>
      <c r="Q156" s="134" t="s">
        <v>7</v>
      </c>
      <c r="R156" s="184">
        <f t="shared" ref="R156:R160" si="10">R105+C156+E156+G156+I156+K156+M156</f>
        <v>70000</v>
      </c>
    </row>
    <row r="157" spans="1:18" ht="15" customHeight="1" x14ac:dyDescent="0.3">
      <c r="A157" s="732" t="s">
        <v>52</v>
      </c>
      <c r="B157" s="144" t="s">
        <v>41</v>
      </c>
      <c r="C157" s="28"/>
      <c r="D157" s="19"/>
      <c r="E157" s="8"/>
      <c r="F157" s="19"/>
      <c r="G157" s="8"/>
      <c r="H157" s="19"/>
      <c r="I157" s="8"/>
      <c r="J157" s="215"/>
      <c r="K157" s="8"/>
      <c r="L157" s="178"/>
      <c r="M157" s="8"/>
      <c r="N157" s="66"/>
      <c r="O157" s="6"/>
      <c r="P157" s="774" t="s">
        <v>52</v>
      </c>
      <c r="Q157" s="114" t="s">
        <v>41</v>
      </c>
      <c r="R157" s="182">
        <f t="shared" si="10"/>
        <v>30000000</v>
      </c>
    </row>
    <row r="158" spans="1:18" ht="15" customHeight="1" x14ac:dyDescent="0.3">
      <c r="A158" s="733"/>
      <c r="B158" s="144" t="s">
        <v>11</v>
      </c>
      <c r="C158" s="28"/>
      <c r="D158" s="20"/>
      <c r="E158" s="9"/>
      <c r="F158" s="20"/>
      <c r="G158" s="9"/>
      <c r="H158" s="20"/>
      <c r="I158" s="9"/>
      <c r="J158" s="216"/>
      <c r="K158" s="9"/>
      <c r="L158" s="179"/>
      <c r="M158" s="9"/>
      <c r="N158" s="67"/>
      <c r="O158" s="6"/>
      <c r="P158" s="775"/>
      <c r="Q158" s="114" t="s">
        <v>11</v>
      </c>
      <c r="R158" s="183">
        <f t="shared" si="10"/>
        <v>50000000</v>
      </c>
    </row>
    <row r="159" spans="1:18" ht="15" customHeight="1" thickBot="1" x14ac:dyDescent="0.35">
      <c r="A159" s="734"/>
      <c r="B159" s="164" t="s">
        <v>27</v>
      </c>
      <c r="C159" s="28"/>
      <c r="D159" s="20"/>
      <c r="E159" s="10"/>
      <c r="F159" s="21"/>
      <c r="G159" s="10"/>
      <c r="H159" s="21"/>
      <c r="I159" s="10"/>
      <c r="J159" s="219"/>
      <c r="K159" s="10"/>
      <c r="L159" s="175"/>
      <c r="M159" s="10"/>
      <c r="N159" s="69"/>
      <c r="O159" s="6"/>
      <c r="P159" s="776"/>
      <c r="Q159" s="135" t="s">
        <v>27</v>
      </c>
      <c r="R159" s="184">
        <f t="shared" si="10"/>
        <v>200000000</v>
      </c>
    </row>
    <row r="160" spans="1:18" ht="15" customHeight="1" thickBot="1" x14ac:dyDescent="0.35">
      <c r="A160" s="735" t="s">
        <v>30</v>
      </c>
      <c r="B160" s="736"/>
      <c r="C160" s="14"/>
      <c r="D160" s="22"/>
      <c r="E160" s="14"/>
      <c r="F160" s="22"/>
      <c r="G160" s="14"/>
      <c r="H160" s="22"/>
      <c r="I160" s="14"/>
      <c r="J160" s="221"/>
      <c r="K160" s="14"/>
      <c r="L160" s="180"/>
      <c r="M160" s="14"/>
      <c r="N160" s="74"/>
      <c r="O160" s="6"/>
      <c r="P160" s="777" t="s">
        <v>30</v>
      </c>
      <c r="Q160" s="778"/>
      <c r="R160" s="107">
        <f t="shared" si="10"/>
        <v>100000000</v>
      </c>
    </row>
    <row r="161" spans="1:18" ht="15" customHeight="1" x14ac:dyDescent="0.3">
      <c r="A161" s="737" t="s">
        <v>38</v>
      </c>
      <c r="B161" s="738"/>
      <c r="C161" s="46"/>
      <c r="D161" s="11"/>
      <c r="E161" s="29"/>
      <c r="F161" s="201"/>
      <c r="G161" s="203"/>
      <c r="H161" s="20"/>
      <c r="I161" s="31"/>
      <c r="J161" s="215"/>
      <c r="K161" s="189"/>
      <c r="L161" s="222"/>
      <c r="M161" s="31"/>
      <c r="N161" s="191"/>
      <c r="O161" s="6"/>
      <c r="P161" s="743" t="s">
        <v>38</v>
      </c>
      <c r="Q161" s="597"/>
      <c r="R161" s="598"/>
    </row>
    <row r="162" spans="1:18" ht="15" customHeight="1" x14ac:dyDescent="0.3">
      <c r="A162" s="739"/>
      <c r="B162" s="740"/>
      <c r="C162" s="29"/>
      <c r="D162" s="12"/>
      <c r="E162" s="210"/>
      <c r="F162" s="201"/>
      <c r="G162" s="32"/>
      <c r="H162" s="201"/>
      <c r="I162" s="32"/>
      <c r="J162" s="216"/>
      <c r="K162" s="214"/>
      <c r="L162" s="223"/>
      <c r="M162" s="32"/>
      <c r="N162" s="190"/>
      <c r="O162" s="6"/>
      <c r="P162" s="744"/>
      <c r="Q162" s="599"/>
      <c r="R162" s="600"/>
    </row>
    <row r="163" spans="1:18" ht="15" customHeight="1" x14ac:dyDescent="0.3">
      <c r="A163" s="739"/>
      <c r="B163" s="740"/>
      <c r="C163" s="29"/>
      <c r="D163" s="12"/>
      <c r="E163" s="32"/>
      <c r="F163" s="12"/>
      <c r="G163" s="32"/>
      <c r="H163" s="201"/>
      <c r="I163" s="32"/>
      <c r="J163" s="216"/>
      <c r="K163" s="32"/>
      <c r="L163" s="179"/>
      <c r="M163" s="32"/>
      <c r="N163" s="76"/>
      <c r="O163" s="6"/>
      <c r="P163" s="744"/>
      <c r="Q163" s="599"/>
      <c r="R163" s="600"/>
    </row>
    <row r="164" spans="1:18" ht="15" customHeight="1" thickBot="1" x14ac:dyDescent="0.35">
      <c r="A164" s="741"/>
      <c r="B164" s="742"/>
      <c r="C164" s="30"/>
      <c r="D164" s="24"/>
      <c r="E164" s="33"/>
      <c r="F164" s="24"/>
      <c r="G164" s="33"/>
      <c r="H164" s="200"/>
      <c r="I164" s="33"/>
      <c r="J164" s="24"/>
      <c r="K164" s="33"/>
      <c r="L164" s="181"/>
      <c r="M164" s="33"/>
      <c r="N164" s="77"/>
      <c r="O164" s="6"/>
      <c r="P164" s="745"/>
      <c r="Q164" s="601"/>
      <c r="R164" s="602"/>
    </row>
    <row r="165" spans="1:18" ht="15" customHeight="1" x14ac:dyDescent="0.3">
      <c r="A165" s="652" t="str">
        <f>A114</f>
        <v>이민호님 보장분석(후)</v>
      </c>
      <c r="B165" s="653"/>
      <c r="C165" s="688"/>
      <c r="D165" s="695"/>
      <c r="E165" s="688"/>
      <c r="F165" s="695"/>
      <c r="G165" s="688"/>
      <c r="H165" s="695"/>
      <c r="I165" s="688"/>
      <c r="J165" s="695"/>
      <c r="K165" s="688"/>
      <c r="L165" s="695"/>
      <c r="M165" s="688"/>
      <c r="N165" s="695"/>
      <c r="O165" s="138"/>
      <c r="P165" s="650" t="s">
        <v>15</v>
      </c>
      <c r="Q165" s="651"/>
      <c r="R165" s="137">
        <f>R114</f>
        <v>45898</v>
      </c>
    </row>
    <row r="166" spans="1:18" ht="15" customHeight="1" x14ac:dyDescent="0.3">
      <c r="A166" s="647" t="s">
        <v>49</v>
      </c>
      <c r="B166" s="648"/>
      <c r="C166" s="754"/>
      <c r="D166" s="754"/>
      <c r="E166" s="754"/>
      <c r="F166" s="754"/>
      <c r="G166" s="754"/>
      <c r="H166" s="754"/>
      <c r="I166" s="754"/>
      <c r="J166" s="754"/>
      <c r="K166" s="754"/>
      <c r="L166" s="754"/>
      <c r="M166" s="754"/>
      <c r="N166" s="755"/>
      <c r="O166" s="25"/>
      <c r="P166" s="654"/>
      <c r="Q166" s="655"/>
      <c r="R166" s="656"/>
    </row>
    <row r="167" spans="1:18" ht="15" customHeight="1" x14ac:dyDescent="0.3">
      <c r="A167" s="637" t="s">
        <v>28</v>
      </c>
      <c r="B167" s="638"/>
      <c r="C167" s="756"/>
      <c r="D167" s="756"/>
      <c r="E167" s="756"/>
      <c r="F167" s="756"/>
      <c r="G167" s="756"/>
      <c r="H167" s="756"/>
      <c r="I167" s="756"/>
      <c r="J167" s="756"/>
      <c r="K167" s="756"/>
      <c r="L167" s="756"/>
      <c r="M167" s="756"/>
      <c r="N167" s="756"/>
      <c r="O167" s="25"/>
      <c r="P167" s="657"/>
      <c r="Q167" s="658"/>
      <c r="R167" s="659"/>
    </row>
    <row r="168" spans="1:18" ht="15" customHeight="1" x14ac:dyDescent="0.3">
      <c r="A168" s="647" t="s">
        <v>17</v>
      </c>
      <c r="B168" s="648"/>
      <c r="C168" s="756"/>
      <c r="D168" s="756"/>
      <c r="E168" s="756"/>
      <c r="F168" s="754"/>
      <c r="G168" s="756"/>
      <c r="H168" s="754"/>
      <c r="I168" s="756"/>
      <c r="J168" s="754"/>
      <c r="K168" s="756"/>
      <c r="L168" s="754"/>
      <c r="M168" s="756"/>
      <c r="N168" s="755"/>
      <c r="O168" s="25"/>
      <c r="P168" s="657"/>
      <c r="Q168" s="658"/>
      <c r="R168" s="659"/>
    </row>
    <row r="169" spans="1:18" ht="15" customHeight="1" x14ac:dyDescent="0.3">
      <c r="A169" s="647" t="s">
        <v>23</v>
      </c>
      <c r="B169" s="648"/>
      <c r="C169" s="61"/>
      <c r="D169" s="62">
        <f>IF(DATEDIF(C168,$R$1,"m")&lt;C169*12,DATEDIF(C168,$R$1,"m"),C169*12)</f>
        <v>0</v>
      </c>
      <c r="E169" s="61"/>
      <c r="F169" s="62">
        <f>IF(DATEDIF(E168,$R$1,"m")&lt;E169*12,DATEDIF(E168,$R$1,"m"),E169*12)</f>
        <v>0</v>
      </c>
      <c r="G169" s="61"/>
      <c r="H169" s="62">
        <f>IF(DATEDIF(G168,$R$1,"m")&lt;G169*12,DATEDIF(G168,$R$1,"m"),G169*12)</f>
        <v>0</v>
      </c>
      <c r="I169" s="61"/>
      <c r="J169" s="62">
        <f>IF(DATEDIF(I168,$R$1,"m")&lt;I169*12,DATEDIF(I168,$R$1,"m"),I169*12)</f>
        <v>0</v>
      </c>
      <c r="K169" s="61"/>
      <c r="L169" s="62">
        <f>IF(DATEDIF(K168,$R$1,"m")&lt;K169*12,DATEDIF(K168,$R$1,"m"),K169*12)</f>
        <v>0</v>
      </c>
      <c r="M169" s="61"/>
      <c r="N169" s="65">
        <f>IF(DATEDIF(M168,$R$1,"m")&lt;M169*12,DATEDIF(M168,$R$1,"m"),M169*12)</f>
        <v>0</v>
      </c>
      <c r="O169" s="25"/>
      <c r="P169" s="657"/>
      <c r="Q169" s="658"/>
      <c r="R169" s="659"/>
    </row>
    <row r="170" spans="1:18" ht="15" customHeight="1" x14ac:dyDescent="0.3">
      <c r="A170" s="647" t="s">
        <v>2</v>
      </c>
      <c r="B170" s="648"/>
      <c r="C170" s="696"/>
      <c r="D170" s="696"/>
      <c r="E170" s="696"/>
      <c r="F170" s="696"/>
      <c r="G170" s="696"/>
      <c r="H170" s="696"/>
      <c r="I170" s="696"/>
      <c r="J170" s="696"/>
      <c r="K170" s="696"/>
      <c r="L170" s="696"/>
      <c r="M170" s="696"/>
      <c r="N170" s="717"/>
      <c r="O170" s="25"/>
      <c r="P170" s="660"/>
      <c r="Q170" s="661"/>
      <c r="R170" s="662"/>
    </row>
    <row r="171" spans="1:18" ht="15" customHeight="1" x14ac:dyDescent="0.3">
      <c r="A171" s="632" t="s">
        <v>37</v>
      </c>
      <c r="B171" s="633"/>
      <c r="C171" s="757"/>
      <c r="D171" s="758"/>
      <c r="E171" s="757"/>
      <c r="F171" s="758"/>
      <c r="G171" s="757"/>
      <c r="H171" s="758"/>
      <c r="I171" s="757"/>
      <c r="J171" s="758"/>
      <c r="K171" s="757"/>
      <c r="L171" s="758"/>
      <c r="M171" s="757"/>
      <c r="N171" s="759"/>
      <c r="O171" s="25"/>
      <c r="P171" s="643"/>
      <c r="Q171" s="644"/>
      <c r="R171" s="27" t="s">
        <v>91</v>
      </c>
    </row>
    <row r="172" spans="1:18" ht="15" customHeight="1" x14ac:dyDescent="0.3">
      <c r="A172" s="639" t="s">
        <v>12</v>
      </c>
      <c r="B172" s="640"/>
      <c r="C172" s="705"/>
      <c r="D172" s="705"/>
      <c r="E172" s="705"/>
      <c r="F172" s="705"/>
      <c r="G172" s="705"/>
      <c r="H172" s="705"/>
      <c r="I172" s="705"/>
      <c r="J172" s="705"/>
      <c r="K172" s="705"/>
      <c r="L172" s="705"/>
      <c r="M172" s="705"/>
      <c r="N172" s="720"/>
      <c r="O172" s="26"/>
      <c r="P172" s="635" t="s">
        <v>34</v>
      </c>
      <c r="Q172" s="636"/>
      <c r="R172" s="60">
        <f>R121+C172+E172+G172+I172+K172+M172</f>
        <v>470580</v>
      </c>
    </row>
    <row r="173" spans="1:18" ht="15" customHeight="1" x14ac:dyDescent="0.3">
      <c r="A173" s="637" t="s">
        <v>3</v>
      </c>
      <c r="B173" s="638"/>
      <c r="C173" s="709">
        <f>C172*C169*12</f>
        <v>0</v>
      </c>
      <c r="D173" s="711"/>
      <c r="E173" s="709">
        <f>E172*E169*12</f>
        <v>0</v>
      </c>
      <c r="F173" s="711"/>
      <c r="G173" s="709">
        <f>G172*G169*12</f>
        <v>0</v>
      </c>
      <c r="H173" s="711"/>
      <c r="I173" s="709">
        <f>I172*I169*12</f>
        <v>0</v>
      </c>
      <c r="J173" s="711"/>
      <c r="K173" s="709">
        <f>K172*K169*12</f>
        <v>0</v>
      </c>
      <c r="L173" s="711"/>
      <c r="M173" s="709">
        <f>M172*M169*12</f>
        <v>0</v>
      </c>
      <c r="N173" s="710"/>
      <c r="O173" s="26"/>
      <c r="P173" s="635" t="s">
        <v>33</v>
      </c>
      <c r="Q173" s="636"/>
      <c r="R173" s="51">
        <f t="shared" ref="R173:R211" si="11">R122+C173+E173+G173+I173+K173+M173</f>
        <v>105406080</v>
      </c>
    </row>
    <row r="174" spans="1:18" ht="15" customHeight="1" x14ac:dyDescent="0.3">
      <c r="A174" s="637" t="s">
        <v>4</v>
      </c>
      <c r="B174" s="638"/>
      <c r="C174" s="709">
        <f>C172*D169</f>
        <v>0</v>
      </c>
      <c r="D174" s="711"/>
      <c r="E174" s="709">
        <f>E172*F169</f>
        <v>0</v>
      </c>
      <c r="F174" s="711"/>
      <c r="G174" s="709">
        <f>G172*H169</f>
        <v>0</v>
      </c>
      <c r="H174" s="711"/>
      <c r="I174" s="709">
        <f>I172*J169</f>
        <v>0</v>
      </c>
      <c r="J174" s="711"/>
      <c r="K174" s="709">
        <f>K172*L169</f>
        <v>0</v>
      </c>
      <c r="L174" s="711"/>
      <c r="M174" s="709">
        <f>M172*N169</f>
        <v>0</v>
      </c>
      <c r="N174" s="710"/>
      <c r="O174" s="26"/>
      <c r="P174" s="635" t="s">
        <v>31</v>
      </c>
      <c r="Q174" s="636"/>
      <c r="R174" s="51">
        <f t="shared" si="11"/>
        <v>0</v>
      </c>
    </row>
    <row r="175" spans="1:18" ht="15" customHeight="1" thickBot="1" x14ac:dyDescent="0.35">
      <c r="A175" s="632" t="s">
        <v>18</v>
      </c>
      <c r="B175" s="633"/>
      <c r="C175" s="709">
        <f>C173-C174</f>
        <v>0</v>
      </c>
      <c r="D175" s="711"/>
      <c r="E175" s="709">
        <f>E173-E174</f>
        <v>0</v>
      </c>
      <c r="F175" s="711"/>
      <c r="G175" s="709">
        <f>G173-G174</f>
        <v>0</v>
      </c>
      <c r="H175" s="711"/>
      <c r="I175" s="709">
        <f>I173-I174</f>
        <v>0</v>
      </c>
      <c r="J175" s="711"/>
      <c r="K175" s="709">
        <f>K173-K174</f>
        <v>0</v>
      </c>
      <c r="L175" s="711"/>
      <c r="M175" s="709">
        <f>M173-M174</f>
        <v>0</v>
      </c>
      <c r="N175" s="710"/>
      <c r="O175" s="26"/>
      <c r="P175" s="619" t="s">
        <v>35</v>
      </c>
      <c r="Q175" s="620"/>
      <c r="R175" s="52">
        <f t="shared" si="11"/>
        <v>105406080</v>
      </c>
    </row>
    <row r="176" spans="1:18" ht="15" customHeight="1" x14ac:dyDescent="0.3">
      <c r="A176" s="768" t="s">
        <v>1</v>
      </c>
      <c r="B176" s="139" t="s">
        <v>58</v>
      </c>
      <c r="C176" s="41"/>
      <c r="D176" s="19"/>
      <c r="E176" s="8"/>
      <c r="F176" s="19"/>
      <c r="G176" s="8"/>
      <c r="H176" s="19"/>
      <c r="I176" s="8"/>
      <c r="J176" s="19"/>
      <c r="K176" s="8"/>
      <c r="L176" s="167"/>
      <c r="M176" s="8"/>
      <c r="N176" s="66"/>
      <c r="O176" s="6"/>
      <c r="P176" s="769" t="s">
        <v>0</v>
      </c>
      <c r="Q176" s="139" t="s">
        <v>66</v>
      </c>
      <c r="R176" s="182">
        <f t="shared" si="11"/>
        <v>50000000</v>
      </c>
    </row>
    <row r="177" spans="1:18" ht="15" customHeight="1" x14ac:dyDescent="0.3">
      <c r="A177" s="730"/>
      <c r="B177" s="140" t="s">
        <v>59</v>
      </c>
      <c r="C177" s="28"/>
      <c r="D177" s="20"/>
      <c r="E177" s="9"/>
      <c r="F177" s="20"/>
      <c r="G177" s="9"/>
      <c r="H177" s="20"/>
      <c r="I177" s="9"/>
      <c r="J177" s="20"/>
      <c r="K177" s="9"/>
      <c r="L177" s="172"/>
      <c r="M177" s="9"/>
      <c r="N177" s="67"/>
      <c r="O177" s="6"/>
      <c r="P177" s="770"/>
      <c r="Q177" s="140" t="s">
        <v>69</v>
      </c>
      <c r="R177" s="183">
        <f t="shared" si="11"/>
        <v>200000</v>
      </c>
    </row>
    <row r="178" spans="1:18" ht="15" customHeight="1" x14ac:dyDescent="0.3">
      <c r="A178" s="730"/>
      <c r="B178" s="140" t="s">
        <v>88</v>
      </c>
      <c r="C178" s="28"/>
      <c r="D178" s="20"/>
      <c r="E178" s="28"/>
      <c r="F178" s="20"/>
      <c r="G178" s="9"/>
      <c r="H178" s="20"/>
      <c r="I178" s="9"/>
      <c r="J178" s="20"/>
      <c r="K178" s="9"/>
      <c r="L178" s="172"/>
      <c r="M178" s="9"/>
      <c r="N178" s="67"/>
      <c r="O178" s="6"/>
      <c r="P178" s="770"/>
      <c r="Q178" s="140" t="s">
        <v>64</v>
      </c>
      <c r="R178" s="183">
        <f t="shared" si="11"/>
        <v>50000000</v>
      </c>
    </row>
    <row r="179" spans="1:18" ht="15" customHeight="1" x14ac:dyDescent="0.3">
      <c r="A179" s="730"/>
      <c r="B179" s="140" t="s">
        <v>94</v>
      </c>
      <c r="C179" s="28"/>
      <c r="D179" s="20"/>
      <c r="E179" s="28"/>
      <c r="F179" s="20"/>
      <c r="G179" s="9"/>
      <c r="H179" s="20"/>
      <c r="I179" s="9"/>
      <c r="J179" s="20"/>
      <c r="K179" s="9"/>
      <c r="L179" s="172"/>
      <c r="M179" s="9"/>
      <c r="N179" s="67"/>
      <c r="O179" s="6"/>
      <c r="P179" s="770"/>
      <c r="Q179" s="140" t="s">
        <v>60</v>
      </c>
      <c r="R179" s="183">
        <f t="shared" si="11"/>
        <v>200000</v>
      </c>
    </row>
    <row r="180" spans="1:18" ht="15" customHeight="1" thickBot="1" x14ac:dyDescent="0.35">
      <c r="A180" s="731"/>
      <c r="B180" s="141" t="s">
        <v>89</v>
      </c>
      <c r="C180" s="42"/>
      <c r="D180" s="18"/>
      <c r="E180" s="42"/>
      <c r="F180" s="18"/>
      <c r="G180" s="7"/>
      <c r="H180" s="18"/>
      <c r="I180" s="7"/>
      <c r="J180" s="18"/>
      <c r="K180" s="7"/>
      <c r="L180" s="168"/>
      <c r="M180" s="7"/>
      <c r="N180" s="68"/>
      <c r="O180" s="6"/>
      <c r="P180" s="771"/>
      <c r="Q180" s="141" t="s">
        <v>89</v>
      </c>
      <c r="R180" s="184">
        <f t="shared" si="11"/>
        <v>3500000</v>
      </c>
    </row>
    <row r="181" spans="1:18" ht="15" customHeight="1" x14ac:dyDescent="0.3">
      <c r="A181" s="626" t="s">
        <v>50</v>
      </c>
      <c r="B181" s="142" t="s">
        <v>55</v>
      </c>
      <c r="C181" s="8"/>
      <c r="D181" s="19"/>
      <c r="E181" s="8"/>
      <c r="F181" s="19"/>
      <c r="G181" s="8"/>
      <c r="H181" s="198"/>
      <c r="I181" s="8"/>
      <c r="J181" s="19"/>
      <c r="K181" s="8"/>
      <c r="L181" s="167"/>
      <c r="M181" s="8"/>
      <c r="N181" s="66"/>
      <c r="O181" s="6"/>
      <c r="P181" s="772" t="str">
        <f>A181</f>
        <v>암</v>
      </c>
      <c r="Q181" s="112" t="s">
        <v>55</v>
      </c>
      <c r="R181" s="182">
        <f t="shared" si="11"/>
        <v>60000000</v>
      </c>
    </row>
    <row r="182" spans="1:18" ht="15" customHeight="1" x14ac:dyDescent="0.3">
      <c r="A182" s="627"/>
      <c r="B182" s="143" t="s">
        <v>46</v>
      </c>
      <c r="C182" s="43"/>
      <c r="D182" s="21"/>
      <c r="E182" s="9"/>
      <c r="F182" s="21"/>
      <c r="G182" s="9"/>
      <c r="H182" s="204"/>
      <c r="I182" s="9"/>
      <c r="J182" s="21"/>
      <c r="K182" s="10"/>
      <c r="L182" s="169"/>
      <c r="M182" s="10"/>
      <c r="N182" s="69"/>
      <c r="O182" s="6"/>
      <c r="P182" s="773"/>
      <c r="Q182" s="113" t="s">
        <v>46</v>
      </c>
      <c r="R182" s="183">
        <f t="shared" si="11"/>
        <v>10000000</v>
      </c>
    </row>
    <row r="183" spans="1:18" ht="15" customHeight="1" x14ac:dyDescent="0.3">
      <c r="A183" s="627"/>
      <c r="B183" s="143" t="s">
        <v>9</v>
      </c>
      <c r="C183" s="43"/>
      <c r="D183" s="21"/>
      <c r="E183" s="10"/>
      <c r="F183" s="21"/>
      <c r="G183" s="9"/>
      <c r="H183" s="13"/>
      <c r="I183" s="10"/>
      <c r="J183" s="21"/>
      <c r="K183" s="10"/>
      <c r="L183" s="169"/>
      <c r="M183" s="10"/>
      <c r="N183" s="69"/>
      <c r="O183" s="6"/>
      <c r="P183" s="773"/>
      <c r="Q183" s="113" t="s">
        <v>9</v>
      </c>
      <c r="R183" s="183">
        <f t="shared" si="11"/>
        <v>65000000</v>
      </c>
    </row>
    <row r="184" spans="1:18" ht="15" customHeight="1" x14ac:dyDescent="0.3">
      <c r="A184" s="627"/>
      <c r="B184" s="143" t="s">
        <v>10</v>
      </c>
      <c r="C184" s="43"/>
      <c r="D184" s="21"/>
      <c r="E184" s="9"/>
      <c r="F184" s="21"/>
      <c r="G184" s="10"/>
      <c r="H184" s="13"/>
      <c r="I184" s="43"/>
      <c r="J184" s="21"/>
      <c r="K184" s="10"/>
      <c r="L184" s="169"/>
      <c r="M184" s="10"/>
      <c r="N184" s="69"/>
      <c r="O184" s="6"/>
      <c r="P184" s="773"/>
      <c r="Q184" s="113" t="s">
        <v>10</v>
      </c>
      <c r="R184" s="183">
        <f t="shared" si="11"/>
        <v>20000000</v>
      </c>
    </row>
    <row r="185" spans="1:18" ht="15" customHeight="1" thickBot="1" x14ac:dyDescent="0.35">
      <c r="A185" s="627"/>
      <c r="B185" s="144" t="s">
        <v>20</v>
      </c>
      <c r="C185" s="42"/>
      <c r="D185" s="18"/>
      <c r="E185" s="7"/>
      <c r="F185" s="21"/>
      <c r="G185" s="7"/>
      <c r="H185" s="13"/>
      <c r="I185" s="7"/>
      <c r="J185" s="21"/>
      <c r="K185" s="10"/>
      <c r="L185" s="169"/>
      <c r="M185" s="10"/>
      <c r="N185" s="69"/>
      <c r="O185" s="6"/>
      <c r="P185" s="773"/>
      <c r="Q185" s="114" t="s">
        <v>20</v>
      </c>
      <c r="R185" s="184">
        <f t="shared" si="11"/>
        <v>40000000</v>
      </c>
    </row>
    <row r="186" spans="1:18" ht="15" customHeight="1" x14ac:dyDescent="0.3">
      <c r="A186" s="721" t="s">
        <v>19</v>
      </c>
      <c r="B186" s="145" t="s">
        <v>51</v>
      </c>
      <c r="C186" s="9"/>
      <c r="D186" s="19"/>
      <c r="E186" s="9"/>
      <c r="F186" s="19"/>
      <c r="G186" s="9"/>
      <c r="H186" s="11"/>
      <c r="I186" s="8"/>
      <c r="J186" s="19"/>
      <c r="K186" s="8"/>
      <c r="L186" s="167"/>
      <c r="M186" s="8"/>
      <c r="N186" s="66"/>
      <c r="O186" s="6"/>
      <c r="P186" s="760" t="str">
        <f>A186</f>
        <v>2대
질병</v>
      </c>
      <c r="Q186" s="115" t="s">
        <v>51</v>
      </c>
      <c r="R186" s="182">
        <f t="shared" si="11"/>
        <v>10000000</v>
      </c>
    </row>
    <row r="187" spans="1:18" ht="15" customHeight="1" x14ac:dyDescent="0.3">
      <c r="A187" s="722"/>
      <c r="B187" s="146" t="s">
        <v>43</v>
      </c>
      <c r="C187" s="9"/>
      <c r="D187" s="21"/>
      <c r="E187" s="10"/>
      <c r="F187" s="204"/>
      <c r="G187" s="9"/>
      <c r="H187" s="13"/>
      <c r="I187" s="10"/>
      <c r="J187" s="204"/>
      <c r="K187" s="9"/>
      <c r="L187" s="169"/>
      <c r="M187" s="10"/>
      <c r="N187" s="69"/>
      <c r="O187" s="6"/>
      <c r="P187" s="761"/>
      <c r="Q187" s="116" t="s">
        <v>43</v>
      </c>
      <c r="R187" s="183">
        <f t="shared" si="11"/>
        <v>20000000</v>
      </c>
    </row>
    <row r="188" spans="1:18" ht="15" customHeight="1" thickBot="1" x14ac:dyDescent="0.35">
      <c r="A188" s="722"/>
      <c r="B188" s="147" t="s">
        <v>53</v>
      </c>
      <c r="C188" s="36"/>
      <c r="D188" s="199"/>
      <c r="E188" s="36"/>
      <c r="F188" s="47"/>
      <c r="G188" s="36"/>
      <c r="H188" s="48"/>
      <c r="I188" s="36"/>
      <c r="J188" s="199"/>
      <c r="K188" s="36"/>
      <c r="L188" s="170"/>
      <c r="M188" s="36"/>
      <c r="N188" s="70"/>
      <c r="O188" s="6"/>
      <c r="P188" s="761"/>
      <c r="Q188" s="117" t="s">
        <v>53</v>
      </c>
      <c r="R188" s="184">
        <f t="shared" si="11"/>
        <v>20000000</v>
      </c>
    </row>
    <row r="189" spans="1:18" ht="15" customHeight="1" x14ac:dyDescent="0.3">
      <c r="A189" s="722"/>
      <c r="B189" s="148" t="s">
        <v>65</v>
      </c>
      <c r="C189" s="8"/>
      <c r="D189" s="19"/>
      <c r="E189" s="8"/>
      <c r="F189" s="19"/>
      <c r="G189" s="8"/>
      <c r="H189" s="11"/>
      <c r="I189" s="8"/>
      <c r="J189" s="19"/>
      <c r="K189" s="8"/>
      <c r="L189" s="167"/>
      <c r="M189" s="8"/>
      <c r="N189" s="66"/>
      <c r="O189" s="6"/>
      <c r="P189" s="761"/>
      <c r="Q189" s="118" t="s">
        <v>65</v>
      </c>
      <c r="R189" s="182">
        <f t="shared" si="11"/>
        <v>10000000</v>
      </c>
    </row>
    <row r="190" spans="1:18" ht="15" customHeight="1" x14ac:dyDescent="0.3">
      <c r="A190" s="722"/>
      <c r="B190" s="149" t="s">
        <v>8</v>
      </c>
      <c r="C190" s="9"/>
      <c r="D190" s="21"/>
      <c r="E190" s="9"/>
      <c r="F190" s="204"/>
      <c r="G190" s="9"/>
      <c r="H190" s="13"/>
      <c r="I190" s="9"/>
      <c r="J190" s="20"/>
      <c r="K190" s="9"/>
      <c r="L190" s="169"/>
      <c r="M190" s="10"/>
      <c r="N190" s="69"/>
      <c r="O190" s="6"/>
      <c r="P190" s="761"/>
      <c r="Q190" s="119" t="s">
        <v>8</v>
      </c>
      <c r="R190" s="183">
        <f t="shared" si="11"/>
        <v>20000000</v>
      </c>
    </row>
    <row r="191" spans="1:18" ht="15" customHeight="1" thickBot="1" x14ac:dyDescent="0.35">
      <c r="A191" s="722"/>
      <c r="B191" s="165" t="s">
        <v>5</v>
      </c>
      <c r="C191" s="7"/>
      <c r="D191" s="200"/>
      <c r="E191" s="36"/>
      <c r="F191" s="47"/>
      <c r="G191" s="36"/>
      <c r="H191" s="48"/>
      <c r="I191" s="36"/>
      <c r="J191" s="199"/>
      <c r="K191" s="35"/>
      <c r="L191" s="170"/>
      <c r="M191" s="35"/>
      <c r="N191" s="70"/>
      <c r="O191" s="6"/>
      <c r="P191" s="761"/>
      <c r="Q191" s="120" t="s">
        <v>5</v>
      </c>
      <c r="R191" s="184">
        <f t="shared" si="11"/>
        <v>20000000</v>
      </c>
    </row>
    <row r="192" spans="1:18" ht="15" customHeight="1" thickBot="1" x14ac:dyDescent="0.35">
      <c r="A192" s="722"/>
      <c r="B192" s="166" t="s">
        <v>32</v>
      </c>
      <c r="C192" s="53"/>
      <c r="D192" s="22"/>
      <c r="E192" s="14"/>
      <c r="F192" s="211"/>
      <c r="G192" s="14"/>
      <c r="H192" s="15"/>
      <c r="I192" s="14"/>
      <c r="J192" s="211"/>
      <c r="K192" s="14"/>
      <c r="L192" s="171"/>
      <c r="M192" s="14"/>
      <c r="N192" s="71"/>
      <c r="O192" s="6"/>
      <c r="P192" s="761"/>
      <c r="Q192" s="121" t="s">
        <v>32</v>
      </c>
      <c r="R192" s="108">
        <f t="shared" si="11"/>
        <v>0</v>
      </c>
    </row>
    <row r="193" spans="1:18" ht="15" customHeight="1" x14ac:dyDescent="0.3">
      <c r="A193" s="723" t="s">
        <v>16</v>
      </c>
      <c r="B193" s="152" t="s">
        <v>36</v>
      </c>
      <c r="C193" s="41"/>
      <c r="D193" s="19"/>
      <c r="E193" s="8"/>
      <c r="F193" s="198"/>
      <c r="G193" s="8"/>
      <c r="H193" s="19"/>
      <c r="I193" s="8"/>
      <c r="J193" s="19"/>
      <c r="K193" s="8"/>
      <c r="L193" s="167"/>
      <c r="M193" s="8"/>
      <c r="N193" s="66"/>
      <c r="O193" s="6"/>
      <c r="P193" s="762" t="str">
        <f>A193</f>
        <v>후유장해</v>
      </c>
      <c r="Q193" s="122" t="s">
        <v>36</v>
      </c>
      <c r="R193" s="182">
        <f t="shared" si="11"/>
        <v>0</v>
      </c>
    </row>
    <row r="194" spans="1:18" ht="15" customHeight="1" x14ac:dyDescent="0.3">
      <c r="A194" s="724"/>
      <c r="B194" s="153" t="s">
        <v>29</v>
      </c>
      <c r="C194" s="28"/>
      <c r="D194" s="20"/>
      <c r="E194" s="9"/>
      <c r="F194" s="204"/>
      <c r="G194" s="9"/>
      <c r="H194" s="20"/>
      <c r="I194" s="9"/>
      <c r="J194" s="20"/>
      <c r="K194" s="9"/>
      <c r="L194" s="172"/>
      <c r="M194" s="9"/>
      <c r="N194" s="67"/>
      <c r="O194" s="6"/>
      <c r="P194" s="763"/>
      <c r="Q194" s="123" t="s">
        <v>29</v>
      </c>
      <c r="R194" s="183">
        <f t="shared" si="11"/>
        <v>0</v>
      </c>
    </row>
    <row r="195" spans="1:18" ht="15" customHeight="1" x14ac:dyDescent="0.3">
      <c r="A195" s="724"/>
      <c r="B195" s="153" t="s">
        <v>25</v>
      </c>
      <c r="C195" s="28"/>
      <c r="D195" s="20"/>
      <c r="E195" s="9"/>
      <c r="F195" s="218"/>
      <c r="G195" s="9"/>
      <c r="H195" s="20"/>
      <c r="I195" s="9"/>
      <c r="J195" s="20"/>
      <c r="K195" s="9"/>
      <c r="L195" s="172"/>
      <c r="M195" s="9"/>
      <c r="N195" s="67"/>
      <c r="O195" s="6"/>
      <c r="P195" s="763"/>
      <c r="Q195" s="123" t="s">
        <v>25</v>
      </c>
      <c r="R195" s="183">
        <f t="shared" si="11"/>
        <v>0</v>
      </c>
    </row>
    <row r="196" spans="1:18" ht="15" customHeight="1" thickBot="1" x14ac:dyDescent="0.35">
      <c r="A196" s="725"/>
      <c r="B196" s="154" t="s">
        <v>24</v>
      </c>
      <c r="C196" s="42"/>
      <c r="D196" s="18"/>
      <c r="E196" s="7"/>
      <c r="F196" s="200"/>
      <c r="G196" s="9"/>
      <c r="H196" s="18"/>
      <c r="I196" s="7"/>
      <c r="J196" s="18"/>
      <c r="K196" s="7"/>
      <c r="L196" s="168"/>
      <c r="M196" s="7"/>
      <c r="N196" s="68"/>
      <c r="O196" s="6"/>
      <c r="P196" s="764"/>
      <c r="Q196" s="124" t="s">
        <v>24</v>
      </c>
      <c r="R196" s="184">
        <f t="shared" si="11"/>
        <v>0</v>
      </c>
    </row>
    <row r="197" spans="1:18" ht="15" customHeight="1" x14ac:dyDescent="0.3">
      <c r="A197" s="726" t="s">
        <v>47</v>
      </c>
      <c r="B197" s="155" t="s">
        <v>48</v>
      </c>
      <c r="C197" s="41"/>
      <c r="D197" s="19"/>
      <c r="E197" s="10"/>
      <c r="F197" s="19"/>
      <c r="G197" s="8"/>
      <c r="H197" s="19"/>
      <c r="I197" s="8"/>
      <c r="J197" s="19"/>
      <c r="K197" s="8"/>
      <c r="L197" s="173"/>
      <c r="M197" s="10"/>
      <c r="N197" s="69"/>
      <c r="O197" s="6"/>
      <c r="P197" s="765" t="s">
        <v>47</v>
      </c>
      <c r="Q197" s="125" t="s">
        <v>48</v>
      </c>
      <c r="R197" s="182">
        <f t="shared" si="11"/>
        <v>0</v>
      </c>
    </row>
    <row r="198" spans="1:18" ht="15" customHeight="1" x14ac:dyDescent="0.3">
      <c r="A198" s="727"/>
      <c r="B198" s="156" t="s">
        <v>44</v>
      </c>
      <c r="C198" s="28"/>
      <c r="D198" s="20"/>
      <c r="E198" s="9"/>
      <c r="F198" s="20"/>
      <c r="G198" s="9"/>
      <c r="H198" s="12"/>
      <c r="I198" s="9"/>
      <c r="J198" s="20"/>
      <c r="K198" s="9"/>
      <c r="L198" s="174"/>
      <c r="M198" s="9"/>
      <c r="N198" s="67"/>
      <c r="O198" s="6"/>
      <c r="P198" s="766"/>
      <c r="Q198" s="126" t="s">
        <v>44</v>
      </c>
      <c r="R198" s="183">
        <f t="shared" si="11"/>
        <v>0</v>
      </c>
    </row>
    <row r="199" spans="1:18" ht="15" customHeight="1" thickBot="1" x14ac:dyDescent="0.35">
      <c r="A199" s="728"/>
      <c r="B199" s="157" t="s">
        <v>7</v>
      </c>
      <c r="C199" s="43"/>
      <c r="D199" s="21"/>
      <c r="E199" s="7"/>
      <c r="F199" s="18"/>
      <c r="G199" s="7"/>
      <c r="H199" s="24"/>
      <c r="I199" s="7"/>
      <c r="J199" s="217"/>
      <c r="K199" s="7"/>
      <c r="L199" s="168"/>
      <c r="M199" s="7"/>
      <c r="N199" s="68"/>
      <c r="O199" s="6"/>
      <c r="P199" s="767"/>
      <c r="Q199" s="127" t="s">
        <v>54</v>
      </c>
      <c r="R199" s="184">
        <f t="shared" si="11"/>
        <v>30000000</v>
      </c>
    </row>
    <row r="200" spans="1:18" ht="15" customHeight="1" x14ac:dyDescent="0.3">
      <c r="A200" s="746" t="s">
        <v>39</v>
      </c>
      <c r="B200" s="158" t="s">
        <v>44</v>
      </c>
      <c r="C200" s="41"/>
      <c r="D200" s="19"/>
      <c r="E200" s="8"/>
      <c r="F200" s="19"/>
      <c r="G200" s="8"/>
      <c r="H200" s="19"/>
      <c r="I200" s="8"/>
      <c r="J200" s="215"/>
      <c r="K200" s="8"/>
      <c r="L200" s="167"/>
      <c r="M200" s="8"/>
      <c r="N200" s="66"/>
      <c r="O200" s="6"/>
      <c r="P200" s="779" t="s">
        <v>39</v>
      </c>
      <c r="Q200" s="128" t="s">
        <v>44</v>
      </c>
      <c r="R200" s="182">
        <f t="shared" si="11"/>
        <v>500000</v>
      </c>
    </row>
    <row r="201" spans="1:18" ht="15" customHeight="1" x14ac:dyDescent="0.3">
      <c r="A201" s="747"/>
      <c r="B201" s="158" t="s">
        <v>54</v>
      </c>
      <c r="C201" s="28"/>
      <c r="D201" s="20"/>
      <c r="E201" s="9"/>
      <c r="F201" s="21"/>
      <c r="G201" s="9"/>
      <c r="H201" s="20"/>
      <c r="I201" s="9"/>
      <c r="J201" s="216"/>
      <c r="K201" s="9"/>
      <c r="L201" s="172"/>
      <c r="M201" s="9"/>
      <c r="N201" s="67"/>
      <c r="O201" s="6"/>
      <c r="P201" s="780"/>
      <c r="Q201" s="129" t="s">
        <v>54</v>
      </c>
      <c r="R201" s="183">
        <f t="shared" si="11"/>
        <v>1200000</v>
      </c>
    </row>
    <row r="202" spans="1:18" ht="15" customHeight="1" x14ac:dyDescent="0.3">
      <c r="A202" s="747"/>
      <c r="B202" s="158" t="s">
        <v>68</v>
      </c>
      <c r="C202" s="28"/>
      <c r="D202" s="20"/>
      <c r="E202" s="9"/>
      <c r="F202" s="21"/>
      <c r="G202" s="9"/>
      <c r="H202" s="13"/>
      <c r="I202" s="10"/>
      <c r="J202" s="219"/>
      <c r="K202" s="10"/>
      <c r="L202" s="175"/>
      <c r="M202" s="23"/>
      <c r="N202" s="69"/>
      <c r="O202" s="6"/>
      <c r="P202" s="780"/>
      <c r="Q202" s="129" t="s">
        <v>68</v>
      </c>
      <c r="R202" s="183">
        <f t="shared" si="11"/>
        <v>5300000</v>
      </c>
    </row>
    <row r="203" spans="1:18" ht="15" customHeight="1" thickBot="1" x14ac:dyDescent="0.35">
      <c r="A203" s="747"/>
      <c r="B203" s="159" t="s">
        <v>61</v>
      </c>
      <c r="C203" s="44"/>
      <c r="D203" s="34"/>
      <c r="E203" s="35"/>
      <c r="F203" s="34"/>
      <c r="G203" s="35"/>
      <c r="H203" s="37"/>
      <c r="I203" s="36"/>
      <c r="J203" s="63"/>
      <c r="K203" s="36"/>
      <c r="L203" s="176"/>
      <c r="M203" s="35"/>
      <c r="N203" s="72"/>
      <c r="O203" s="6"/>
      <c r="P203" s="780"/>
      <c r="Q203" s="130" t="s">
        <v>61</v>
      </c>
      <c r="R203" s="184">
        <f t="shared" si="11"/>
        <v>0</v>
      </c>
    </row>
    <row r="204" spans="1:18" ht="15" customHeight="1" x14ac:dyDescent="0.3">
      <c r="A204" s="748" t="s">
        <v>40</v>
      </c>
      <c r="B204" s="160" t="s">
        <v>45</v>
      </c>
      <c r="C204" s="8"/>
      <c r="D204" s="19"/>
      <c r="E204" s="8"/>
      <c r="F204" s="19"/>
      <c r="G204" s="8"/>
      <c r="H204" s="19"/>
      <c r="I204" s="8"/>
      <c r="J204" s="215"/>
      <c r="K204" s="8"/>
      <c r="L204" s="167"/>
      <c r="M204" s="8"/>
      <c r="N204" s="66"/>
      <c r="O204" s="6"/>
      <c r="P204" s="782" t="s">
        <v>40</v>
      </c>
      <c r="Q204" s="131" t="s">
        <v>45</v>
      </c>
      <c r="R204" s="182">
        <f t="shared" si="11"/>
        <v>500000</v>
      </c>
    </row>
    <row r="205" spans="1:18" ht="15" customHeight="1" thickBot="1" x14ac:dyDescent="0.35">
      <c r="A205" s="781"/>
      <c r="B205" s="161" t="s">
        <v>42</v>
      </c>
      <c r="C205" s="45"/>
      <c r="D205" s="18"/>
      <c r="E205" s="39"/>
      <c r="F205" s="38"/>
      <c r="G205" s="39"/>
      <c r="H205" s="38"/>
      <c r="I205" s="39"/>
      <c r="J205" s="220"/>
      <c r="K205" s="39"/>
      <c r="L205" s="177"/>
      <c r="M205" s="39"/>
      <c r="N205" s="73"/>
      <c r="O205" s="6"/>
      <c r="P205" s="783"/>
      <c r="Q205" s="132" t="s">
        <v>42</v>
      </c>
      <c r="R205" s="184">
        <f t="shared" si="11"/>
        <v>200000</v>
      </c>
    </row>
    <row r="206" spans="1:18" ht="15" customHeight="1" x14ac:dyDescent="0.3">
      <c r="A206" s="784" t="s">
        <v>6</v>
      </c>
      <c r="B206" s="162" t="s">
        <v>44</v>
      </c>
      <c r="C206" s="41"/>
      <c r="D206" s="19"/>
      <c r="E206" s="41"/>
      <c r="F206" s="19"/>
      <c r="G206" s="41"/>
      <c r="H206" s="19"/>
      <c r="I206" s="41"/>
      <c r="J206" s="215"/>
      <c r="K206" s="8"/>
      <c r="L206" s="167"/>
      <c r="M206" s="8"/>
      <c r="N206" s="66"/>
      <c r="O206" s="6"/>
      <c r="P206" s="786" t="s">
        <v>6</v>
      </c>
      <c r="Q206" s="133" t="s">
        <v>44</v>
      </c>
      <c r="R206" s="182">
        <f t="shared" si="11"/>
        <v>150000</v>
      </c>
    </row>
    <row r="207" spans="1:18" ht="15" customHeight="1" thickBot="1" x14ac:dyDescent="0.35">
      <c r="A207" s="785"/>
      <c r="B207" s="163" t="s">
        <v>7</v>
      </c>
      <c r="C207" s="42"/>
      <c r="D207" s="18"/>
      <c r="E207" s="42"/>
      <c r="F207" s="18"/>
      <c r="G207" s="42"/>
      <c r="H207" s="18"/>
      <c r="I207" s="42"/>
      <c r="J207" s="217"/>
      <c r="K207" s="7"/>
      <c r="L207" s="168"/>
      <c r="M207" s="7"/>
      <c r="N207" s="68"/>
      <c r="O207" s="6"/>
      <c r="P207" s="787"/>
      <c r="Q207" s="134" t="s">
        <v>7</v>
      </c>
      <c r="R207" s="184">
        <f t="shared" si="11"/>
        <v>70000</v>
      </c>
    </row>
    <row r="208" spans="1:18" ht="15" customHeight="1" x14ac:dyDescent="0.3">
      <c r="A208" s="732" t="s">
        <v>52</v>
      </c>
      <c r="B208" s="144" t="s">
        <v>41</v>
      </c>
      <c r="C208" s="28"/>
      <c r="D208" s="19"/>
      <c r="E208" s="8"/>
      <c r="F208" s="19"/>
      <c r="G208" s="8"/>
      <c r="H208" s="19"/>
      <c r="I208" s="8"/>
      <c r="J208" s="215"/>
      <c r="K208" s="8"/>
      <c r="L208" s="178"/>
      <c r="M208" s="8"/>
      <c r="N208" s="66"/>
      <c r="O208" s="6"/>
      <c r="P208" s="774" t="s">
        <v>52</v>
      </c>
      <c r="Q208" s="114" t="s">
        <v>41</v>
      </c>
      <c r="R208" s="182">
        <f t="shared" si="11"/>
        <v>30000000</v>
      </c>
    </row>
    <row r="209" spans="1:18" ht="15" customHeight="1" x14ac:dyDescent="0.3">
      <c r="A209" s="733"/>
      <c r="B209" s="144" t="s">
        <v>11</v>
      </c>
      <c r="C209" s="28"/>
      <c r="D209" s="20"/>
      <c r="E209" s="9"/>
      <c r="F209" s="20"/>
      <c r="G209" s="9"/>
      <c r="H209" s="20"/>
      <c r="I209" s="9"/>
      <c r="J209" s="216"/>
      <c r="K209" s="9"/>
      <c r="L209" s="179"/>
      <c r="M209" s="9"/>
      <c r="N209" s="67"/>
      <c r="O209" s="6"/>
      <c r="P209" s="775"/>
      <c r="Q209" s="114" t="s">
        <v>11</v>
      </c>
      <c r="R209" s="183">
        <f t="shared" si="11"/>
        <v>50000000</v>
      </c>
    </row>
    <row r="210" spans="1:18" ht="15" customHeight="1" thickBot="1" x14ac:dyDescent="0.35">
      <c r="A210" s="734"/>
      <c r="B210" s="164" t="s">
        <v>27</v>
      </c>
      <c r="C210" s="28"/>
      <c r="D210" s="20"/>
      <c r="E210" s="10"/>
      <c r="F210" s="21"/>
      <c r="G210" s="10"/>
      <c r="H210" s="21"/>
      <c r="I210" s="10"/>
      <c r="J210" s="219"/>
      <c r="K210" s="10"/>
      <c r="L210" s="175"/>
      <c r="M210" s="10"/>
      <c r="N210" s="69"/>
      <c r="O210" s="6"/>
      <c r="P210" s="776"/>
      <c r="Q210" s="135" t="s">
        <v>27</v>
      </c>
      <c r="R210" s="184">
        <f t="shared" si="11"/>
        <v>200000000</v>
      </c>
    </row>
    <row r="211" spans="1:18" ht="15" customHeight="1" thickBot="1" x14ac:dyDescent="0.35">
      <c r="A211" s="735" t="s">
        <v>30</v>
      </c>
      <c r="B211" s="736"/>
      <c r="C211" s="14"/>
      <c r="D211" s="22"/>
      <c r="E211" s="14"/>
      <c r="F211" s="22"/>
      <c r="G211" s="14"/>
      <c r="H211" s="22"/>
      <c r="I211" s="14"/>
      <c r="J211" s="221"/>
      <c r="K211" s="14"/>
      <c r="L211" s="180"/>
      <c r="M211" s="14"/>
      <c r="N211" s="74"/>
      <c r="O211" s="6"/>
      <c r="P211" s="777" t="s">
        <v>30</v>
      </c>
      <c r="Q211" s="778"/>
      <c r="R211" s="107">
        <f t="shared" si="11"/>
        <v>100000000</v>
      </c>
    </row>
    <row r="212" spans="1:18" ht="15" customHeight="1" x14ac:dyDescent="0.3">
      <c r="A212" s="737" t="s">
        <v>38</v>
      </c>
      <c r="B212" s="738"/>
      <c r="C212" s="46"/>
      <c r="D212" s="11"/>
      <c r="E212" s="29"/>
      <c r="F212" s="201"/>
      <c r="G212" s="203"/>
      <c r="H212" s="20"/>
      <c r="I212" s="31"/>
      <c r="J212" s="215"/>
      <c r="K212" s="189"/>
      <c r="L212" s="222"/>
      <c r="M212" s="31"/>
      <c r="N212" s="191"/>
      <c r="O212" s="6"/>
      <c r="P212" s="743" t="s">
        <v>38</v>
      </c>
      <c r="Q212" s="597"/>
      <c r="R212" s="598"/>
    </row>
    <row r="213" spans="1:18" ht="15" customHeight="1" x14ac:dyDescent="0.3">
      <c r="A213" s="739"/>
      <c r="B213" s="740"/>
      <c r="C213" s="29"/>
      <c r="D213" s="12"/>
      <c r="E213" s="210"/>
      <c r="F213" s="201"/>
      <c r="G213" s="32"/>
      <c r="H213" s="201"/>
      <c r="I213" s="32"/>
      <c r="J213" s="216"/>
      <c r="K213" s="214"/>
      <c r="L213" s="223"/>
      <c r="M213" s="32"/>
      <c r="N213" s="190"/>
      <c r="O213" s="6"/>
      <c r="P213" s="744"/>
      <c r="Q213" s="599"/>
      <c r="R213" s="600"/>
    </row>
    <row r="214" spans="1:18" ht="15" customHeight="1" x14ac:dyDescent="0.3">
      <c r="A214" s="739"/>
      <c r="B214" s="740"/>
      <c r="C214" s="29"/>
      <c r="D214" s="12"/>
      <c r="E214" s="32"/>
      <c r="F214" s="12"/>
      <c r="G214" s="32"/>
      <c r="H214" s="201"/>
      <c r="I214" s="32"/>
      <c r="J214" s="216"/>
      <c r="K214" s="32"/>
      <c r="L214" s="179"/>
      <c r="M214" s="32"/>
      <c r="N214" s="76"/>
      <c r="O214" s="6"/>
      <c r="P214" s="744"/>
      <c r="Q214" s="599"/>
      <c r="R214" s="600"/>
    </row>
    <row r="215" spans="1:18" ht="15" customHeight="1" thickBot="1" x14ac:dyDescent="0.35">
      <c r="A215" s="741"/>
      <c r="B215" s="742"/>
      <c r="C215" s="30"/>
      <c r="D215" s="24"/>
      <c r="E215" s="33"/>
      <c r="F215" s="24"/>
      <c r="G215" s="33"/>
      <c r="H215" s="200"/>
      <c r="I215" s="33"/>
      <c r="J215" s="24"/>
      <c r="K215" s="33"/>
      <c r="L215" s="181"/>
      <c r="M215" s="33"/>
      <c r="N215" s="77"/>
      <c r="O215" s="6"/>
      <c r="P215" s="745"/>
      <c r="Q215" s="601"/>
      <c r="R215" s="602"/>
    </row>
    <row r="216" spans="1:18" ht="15" customHeight="1" x14ac:dyDescent="0.3">
      <c r="A216" s="652" t="str">
        <f>A165</f>
        <v>이민호님 보장분석(후)</v>
      </c>
      <c r="B216" s="653"/>
      <c r="C216" s="688"/>
      <c r="D216" s="695"/>
      <c r="E216" s="688"/>
      <c r="F216" s="695"/>
      <c r="G216" s="688"/>
      <c r="H216" s="695"/>
      <c r="I216" s="688"/>
      <c r="J216" s="695"/>
      <c r="K216" s="688"/>
      <c r="L216" s="695"/>
      <c r="M216" s="688"/>
      <c r="N216" s="695"/>
      <c r="O216" s="138"/>
      <c r="P216" s="650" t="s">
        <v>15</v>
      </c>
      <c r="Q216" s="651"/>
      <c r="R216" s="137">
        <f>R165</f>
        <v>45898</v>
      </c>
    </row>
    <row r="217" spans="1:18" ht="15" customHeight="1" x14ac:dyDescent="0.3">
      <c r="A217" s="647" t="s">
        <v>49</v>
      </c>
      <c r="B217" s="648"/>
      <c r="C217" s="754"/>
      <c r="D217" s="754"/>
      <c r="E217" s="754"/>
      <c r="F217" s="754"/>
      <c r="G217" s="754"/>
      <c r="H217" s="754"/>
      <c r="I217" s="754"/>
      <c r="J217" s="754"/>
      <c r="K217" s="754"/>
      <c r="L217" s="754"/>
      <c r="M217" s="754"/>
      <c r="N217" s="755"/>
      <c r="O217" s="25"/>
      <c r="P217" s="654"/>
      <c r="Q217" s="655"/>
      <c r="R217" s="656"/>
    </row>
    <row r="218" spans="1:18" ht="15" customHeight="1" x14ac:dyDescent="0.3">
      <c r="A218" s="637" t="s">
        <v>28</v>
      </c>
      <c r="B218" s="638"/>
      <c r="C218" s="790"/>
      <c r="D218" s="791"/>
      <c r="E218" s="790"/>
      <c r="F218" s="791"/>
      <c r="G218" s="790"/>
      <c r="H218" s="791"/>
      <c r="I218" s="790"/>
      <c r="J218" s="791"/>
      <c r="K218" s="790"/>
      <c r="L218" s="791"/>
      <c r="M218" s="788"/>
      <c r="N218" s="789"/>
      <c r="O218" s="25"/>
      <c r="P218" s="657"/>
      <c r="Q218" s="658"/>
      <c r="R218" s="659"/>
    </row>
    <row r="219" spans="1:18" ht="15" customHeight="1" x14ac:dyDescent="0.3">
      <c r="A219" s="647" t="s">
        <v>17</v>
      </c>
      <c r="B219" s="648"/>
      <c r="C219" s="756"/>
      <c r="D219" s="756"/>
      <c r="E219" s="756"/>
      <c r="F219" s="754"/>
      <c r="G219" s="756"/>
      <c r="H219" s="754"/>
      <c r="I219" s="756"/>
      <c r="J219" s="754"/>
      <c r="K219" s="756"/>
      <c r="L219" s="754"/>
      <c r="M219" s="756"/>
      <c r="N219" s="755"/>
      <c r="O219" s="25"/>
      <c r="P219" s="657"/>
      <c r="Q219" s="658"/>
      <c r="R219" s="659"/>
    </row>
    <row r="220" spans="1:18" ht="15" customHeight="1" x14ac:dyDescent="0.3">
      <c r="A220" s="647" t="s">
        <v>23</v>
      </c>
      <c r="B220" s="648"/>
      <c r="C220" s="61"/>
      <c r="D220" s="62">
        <f>IF(DATEDIF(C219,$R$1,"m")&lt;C220*12,DATEDIF(C219,$R$1,"m"),C220*12)</f>
        <v>0</v>
      </c>
      <c r="E220" s="61"/>
      <c r="F220" s="62">
        <f>IF(DATEDIF(E219,$R$1,"m")&lt;E220*12,DATEDIF(E219,$R$1,"m"),E220*12)</f>
        <v>0</v>
      </c>
      <c r="G220" s="61"/>
      <c r="H220" s="62">
        <f>IF(DATEDIF(G219,$R$1,"m")&lt;G220*12,DATEDIF(G219,$R$1,"m"),G220*12)</f>
        <v>0</v>
      </c>
      <c r="I220" s="61"/>
      <c r="J220" s="62">
        <f>IF(DATEDIF(I219,$R$1,"m")&lt;I220*12,DATEDIF(I219,$R$1,"m"),I220*12)</f>
        <v>0</v>
      </c>
      <c r="K220" s="61"/>
      <c r="L220" s="62">
        <f>IF(DATEDIF(K219,$R$1,"m")&lt;K220*12,DATEDIF(K219,$R$1,"m"),K220*12)</f>
        <v>0</v>
      </c>
      <c r="M220" s="61"/>
      <c r="N220" s="65">
        <f>IF(DATEDIF(M219,$R$1,"m")&lt;M220*12,DATEDIF(M219,$R$1,"m"),M220*12)</f>
        <v>0</v>
      </c>
      <c r="O220" s="25"/>
      <c r="P220" s="657"/>
      <c r="Q220" s="658"/>
      <c r="R220" s="659"/>
    </row>
    <row r="221" spans="1:18" ht="15" customHeight="1" x14ac:dyDescent="0.3">
      <c r="A221" s="647" t="s">
        <v>2</v>
      </c>
      <c r="B221" s="648"/>
      <c r="C221" s="696"/>
      <c r="D221" s="696"/>
      <c r="E221" s="696"/>
      <c r="F221" s="696"/>
      <c r="G221" s="696"/>
      <c r="H221" s="696"/>
      <c r="I221" s="696"/>
      <c r="J221" s="696"/>
      <c r="K221" s="696"/>
      <c r="L221" s="696"/>
      <c r="M221" s="696"/>
      <c r="N221" s="717"/>
      <c r="O221" s="25"/>
      <c r="P221" s="660"/>
      <c r="Q221" s="661"/>
      <c r="R221" s="662"/>
    </row>
    <row r="222" spans="1:18" ht="15" customHeight="1" x14ac:dyDescent="0.3">
      <c r="A222" s="632" t="s">
        <v>37</v>
      </c>
      <c r="B222" s="633"/>
      <c r="C222" s="757"/>
      <c r="D222" s="758"/>
      <c r="E222" s="757"/>
      <c r="F222" s="758"/>
      <c r="G222" s="757"/>
      <c r="H222" s="758"/>
      <c r="I222" s="757"/>
      <c r="J222" s="758"/>
      <c r="K222" s="757"/>
      <c r="L222" s="758"/>
      <c r="M222" s="757"/>
      <c r="N222" s="759"/>
      <c r="O222" s="25"/>
      <c r="P222" s="643"/>
      <c r="Q222" s="644"/>
      <c r="R222" s="27" t="s">
        <v>91</v>
      </c>
    </row>
    <row r="223" spans="1:18" ht="15" customHeight="1" x14ac:dyDescent="0.3">
      <c r="A223" s="639" t="s">
        <v>12</v>
      </c>
      <c r="B223" s="640"/>
      <c r="C223" s="705"/>
      <c r="D223" s="705"/>
      <c r="E223" s="705"/>
      <c r="F223" s="705"/>
      <c r="G223" s="705"/>
      <c r="H223" s="705"/>
      <c r="I223" s="705"/>
      <c r="J223" s="705"/>
      <c r="K223" s="705"/>
      <c r="L223" s="705"/>
      <c r="M223" s="705"/>
      <c r="N223" s="720"/>
      <c r="O223" s="26"/>
      <c r="P223" s="635" t="s">
        <v>34</v>
      </c>
      <c r="Q223" s="636"/>
      <c r="R223" s="60">
        <f>R172+C223+E223+G223+I223+K223+M223</f>
        <v>470580</v>
      </c>
    </row>
    <row r="224" spans="1:18" ht="15" customHeight="1" x14ac:dyDescent="0.3">
      <c r="A224" s="637" t="s">
        <v>3</v>
      </c>
      <c r="B224" s="638"/>
      <c r="C224" s="709">
        <f>C223*C220*12</f>
        <v>0</v>
      </c>
      <c r="D224" s="711"/>
      <c r="E224" s="709">
        <f>E223*E220*12</f>
        <v>0</v>
      </c>
      <c r="F224" s="711"/>
      <c r="G224" s="709">
        <f>G223*G220*12</f>
        <v>0</v>
      </c>
      <c r="H224" s="711"/>
      <c r="I224" s="709">
        <f>I223*I220*12</f>
        <v>0</v>
      </c>
      <c r="J224" s="711"/>
      <c r="K224" s="709">
        <f>K223*K220*12</f>
        <v>0</v>
      </c>
      <c r="L224" s="711"/>
      <c r="M224" s="709">
        <f>M223*M220*12</f>
        <v>0</v>
      </c>
      <c r="N224" s="710"/>
      <c r="O224" s="26"/>
      <c r="P224" s="635" t="s">
        <v>33</v>
      </c>
      <c r="Q224" s="636"/>
      <c r="R224" s="51">
        <f t="shared" ref="R224:R262" si="12">R173+C224+E224+G224+I224+K224+M224</f>
        <v>105406080</v>
      </c>
    </row>
    <row r="225" spans="1:18" ht="15" customHeight="1" x14ac:dyDescent="0.3">
      <c r="A225" s="637" t="s">
        <v>4</v>
      </c>
      <c r="B225" s="638"/>
      <c r="C225" s="709">
        <f>C223*D220</f>
        <v>0</v>
      </c>
      <c r="D225" s="711"/>
      <c r="E225" s="709">
        <f>E223*F220</f>
        <v>0</v>
      </c>
      <c r="F225" s="711"/>
      <c r="G225" s="709">
        <f>G223*H220</f>
        <v>0</v>
      </c>
      <c r="H225" s="711"/>
      <c r="I225" s="709">
        <f>I223*J220</f>
        <v>0</v>
      </c>
      <c r="J225" s="711"/>
      <c r="K225" s="709">
        <f>K223*L220</f>
        <v>0</v>
      </c>
      <c r="L225" s="711"/>
      <c r="M225" s="709">
        <f>M223*N220</f>
        <v>0</v>
      </c>
      <c r="N225" s="710"/>
      <c r="O225" s="26"/>
      <c r="P225" s="635" t="s">
        <v>31</v>
      </c>
      <c r="Q225" s="636"/>
      <c r="R225" s="51">
        <f t="shared" si="12"/>
        <v>0</v>
      </c>
    </row>
    <row r="226" spans="1:18" ht="15" customHeight="1" thickBot="1" x14ac:dyDescent="0.35">
      <c r="A226" s="632" t="s">
        <v>18</v>
      </c>
      <c r="B226" s="633"/>
      <c r="C226" s="709">
        <f>C224-C225</f>
        <v>0</v>
      </c>
      <c r="D226" s="711"/>
      <c r="E226" s="709">
        <f>E224-E225</f>
        <v>0</v>
      </c>
      <c r="F226" s="711"/>
      <c r="G226" s="709">
        <f>G224-G225</f>
        <v>0</v>
      </c>
      <c r="H226" s="711"/>
      <c r="I226" s="709">
        <f>I224-I225</f>
        <v>0</v>
      </c>
      <c r="J226" s="711"/>
      <c r="K226" s="709">
        <f>K224-K225</f>
        <v>0</v>
      </c>
      <c r="L226" s="711"/>
      <c r="M226" s="709">
        <f>M224-M225</f>
        <v>0</v>
      </c>
      <c r="N226" s="710"/>
      <c r="O226" s="26"/>
      <c r="P226" s="619" t="s">
        <v>35</v>
      </c>
      <c r="Q226" s="620"/>
      <c r="R226" s="52">
        <f t="shared" si="12"/>
        <v>105406080</v>
      </c>
    </row>
    <row r="227" spans="1:18" ht="15" customHeight="1" x14ac:dyDescent="0.3">
      <c r="A227" s="768" t="s">
        <v>1</v>
      </c>
      <c r="B227" s="139" t="s">
        <v>58</v>
      </c>
      <c r="C227" s="41"/>
      <c r="D227" s="19"/>
      <c r="E227" s="8"/>
      <c r="F227" s="19"/>
      <c r="G227" s="8"/>
      <c r="H227" s="19"/>
      <c r="I227" s="8"/>
      <c r="J227" s="19"/>
      <c r="K227" s="8"/>
      <c r="L227" s="167"/>
      <c r="M227" s="8"/>
      <c r="N227" s="66"/>
      <c r="O227" s="6"/>
      <c r="P227" s="769" t="s">
        <v>0</v>
      </c>
      <c r="Q227" s="139" t="s">
        <v>66</v>
      </c>
      <c r="R227" s="182">
        <f t="shared" si="12"/>
        <v>50000000</v>
      </c>
    </row>
    <row r="228" spans="1:18" ht="15" customHeight="1" x14ac:dyDescent="0.3">
      <c r="A228" s="730"/>
      <c r="B228" s="140" t="s">
        <v>59</v>
      </c>
      <c r="C228" s="28"/>
      <c r="D228" s="20"/>
      <c r="E228" s="9"/>
      <c r="F228" s="20"/>
      <c r="G228" s="9"/>
      <c r="H228" s="20"/>
      <c r="I228" s="9"/>
      <c r="J228" s="20"/>
      <c r="K228" s="9"/>
      <c r="L228" s="172"/>
      <c r="M228" s="9"/>
      <c r="N228" s="67"/>
      <c r="O228" s="6"/>
      <c r="P228" s="770"/>
      <c r="Q228" s="140" t="s">
        <v>69</v>
      </c>
      <c r="R228" s="183">
        <f t="shared" si="12"/>
        <v>200000</v>
      </c>
    </row>
    <row r="229" spans="1:18" ht="15" customHeight="1" x14ac:dyDescent="0.3">
      <c r="A229" s="730"/>
      <c r="B229" s="140" t="s">
        <v>88</v>
      </c>
      <c r="C229" s="28"/>
      <c r="D229" s="20"/>
      <c r="E229" s="28"/>
      <c r="F229" s="20"/>
      <c r="G229" s="9"/>
      <c r="H229" s="20"/>
      <c r="I229" s="9"/>
      <c r="J229" s="20"/>
      <c r="K229" s="9"/>
      <c r="L229" s="172"/>
      <c r="M229" s="9"/>
      <c r="N229" s="67"/>
      <c r="O229" s="6"/>
      <c r="P229" s="770"/>
      <c r="Q229" s="140" t="s">
        <v>64</v>
      </c>
      <c r="R229" s="183">
        <f t="shared" si="12"/>
        <v>50000000</v>
      </c>
    </row>
    <row r="230" spans="1:18" ht="15" customHeight="1" x14ac:dyDescent="0.3">
      <c r="A230" s="730"/>
      <c r="B230" s="140" t="s">
        <v>94</v>
      </c>
      <c r="C230" s="28"/>
      <c r="D230" s="20"/>
      <c r="E230" s="28"/>
      <c r="F230" s="20"/>
      <c r="G230" s="9"/>
      <c r="H230" s="20"/>
      <c r="I230" s="9"/>
      <c r="J230" s="20"/>
      <c r="K230" s="9"/>
      <c r="L230" s="172"/>
      <c r="M230" s="9"/>
      <c r="N230" s="67"/>
      <c r="O230" s="6"/>
      <c r="P230" s="770"/>
      <c r="Q230" s="140" t="s">
        <v>60</v>
      </c>
      <c r="R230" s="183">
        <f t="shared" si="12"/>
        <v>200000</v>
      </c>
    </row>
    <row r="231" spans="1:18" ht="15" customHeight="1" thickBot="1" x14ac:dyDescent="0.35">
      <c r="A231" s="731"/>
      <c r="B231" s="141" t="s">
        <v>89</v>
      </c>
      <c r="C231" s="42"/>
      <c r="D231" s="18"/>
      <c r="E231" s="42"/>
      <c r="F231" s="18"/>
      <c r="G231" s="7"/>
      <c r="H231" s="18"/>
      <c r="I231" s="7"/>
      <c r="J231" s="18"/>
      <c r="K231" s="7"/>
      <c r="L231" s="168"/>
      <c r="M231" s="7"/>
      <c r="N231" s="68"/>
      <c r="O231" s="6"/>
      <c r="P231" s="771"/>
      <c r="Q231" s="141" t="s">
        <v>89</v>
      </c>
      <c r="R231" s="184">
        <f t="shared" si="12"/>
        <v>3500000</v>
      </c>
    </row>
    <row r="232" spans="1:18" ht="15" customHeight="1" x14ac:dyDescent="0.3">
      <c r="A232" s="626" t="s">
        <v>50</v>
      </c>
      <c r="B232" s="142" t="s">
        <v>55</v>
      </c>
      <c r="C232" s="8"/>
      <c r="D232" s="19"/>
      <c r="E232" s="8"/>
      <c r="F232" s="19"/>
      <c r="G232" s="8"/>
      <c r="H232" s="198"/>
      <c r="I232" s="8"/>
      <c r="J232" s="19"/>
      <c r="K232" s="8"/>
      <c r="L232" s="167"/>
      <c r="M232" s="8"/>
      <c r="N232" s="66"/>
      <c r="O232" s="6"/>
      <c r="P232" s="772" t="str">
        <f>A232</f>
        <v>암</v>
      </c>
      <c r="Q232" s="112" t="s">
        <v>55</v>
      </c>
      <c r="R232" s="182">
        <f t="shared" si="12"/>
        <v>60000000</v>
      </c>
    </row>
    <row r="233" spans="1:18" ht="15" customHeight="1" x14ac:dyDescent="0.3">
      <c r="A233" s="627"/>
      <c r="B233" s="143" t="s">
        <v>46</v>
      </c>
      <c r="C233" s="43"/>
      <c r="D233" s="21"/>
      <c r="E233" s="9"/>
      <c r="F233" s="21"/>
      <c r="G233" s="9"/>
      <c r="H233" s="204"/>
      <c r="I233" s="9"/>
      <c r="J233" s="21"/>
      <c r="K233" s="10"/>
      <c r="L233" s="169"/>
      <c r="M233" s="10"/>
      <c r="N233" s="69"/>
      <c r="O233" s="6"/>
      <c r="P233" s="773"/>
      <c r="Q233" s="113" t="s">
        <v>46</v>
      </c>
      <c r="R233" s="183">
        <f t="shared" si="12"/>
        <v>10000000</v>
      </c>
    </row>
    <row r="234" spans="1:18" ht="15" customHeight="1" x14ac:dyDescent="0.3">
      <c r="A234" s="627"/>
      <c r="B234" s="143" t="s">
        <v>9</v>
      </c>
      <c r="C234" s="43"/>
      <c r="D234" s="21"/>
      <c r="E234" s="10"/>
      <c r="F234" s="21"/>
      <c r="G234" s="9"/>
      <c r="H234" s="13"/>
      <c r="I234" s="10"/>
      <c r="J234" s="21"/>
      <c r="K234" s="10"/>
      <c r="L234" s="169"/>
      <c r="M234" s="10"/>
      <c r="N234" s="69"/>
      <c r="O234" s="6"/>
      <c r="P234" s="773"/>
      <c r="Q234" s="113" t="s">
        <v>9</v>
      </c>
      <c r="R234" s="183">
        <f t="shared" si="12"/>
        <v>65000000</v>
      </c>
    </row>
    <row r="235" spans="1:18" ht="15" customHeight="1" x14ac:dyDescent="0.3">
      <c r="A235" s="627"/>
      <c r="B235" s="143" t="s">
        <v>10</v>
      </c>
      <c r="C235" s="43"/>
      <c r="D235" s="21"/>
      <c r="E235" s="9"/>
      <c r="F235" s="21"/>
      <c r="G235" s="10"/>
      <c r="H235" s="13"/>
      <c r="I235" s="43"/>
      <c r="J235" s="21"/>
      <c r="K235" s="10"/>
      <c r="L235" s="169"/>
      <c r="M235" s="10"/>
      <c r="N235" s="69"/>
      <c r="O235" s="6"/>
      <c r="P235" s="773"/>
      <c r="Q235" s="113" t="s">
        <v>10</v>
      </c>
      <c r="R235" s="183">
        <f t="shared" si="12"/>
        <v>20000000</v>
      </c>
    </row>
    <row r="236" spans="1:18" ht="15" customHeight="1" thickBot="1" x14ac:dyDescent="0.35">
      <c r="A236" s="627"/>
      <c r="B236" s="144" t="s">
        <v>20</v>
      </c>
      <c r="C236" s="42"/>
      <c r="D236" s="18"/>
      <c r="E236" s="7"/>
      <c r="F236" s="21"/>
      <c r="G236" s="7"/>
      <c r="H236" s="13"/>
      <c r="I236" s="7"/>
      <c r="J236" s="21"/>
      <c r="K236" s="10"/>
      <c r="L236" s="169"/>
      <c r="M236" s="10"/>
      <c r="N236" s="69"/>
      <c r="O236" s="6"/>
      <c r="P236" s="773"/>
      <c r="Q236" s="114" t="s">
        <v>20</v>
      </c>
      <c r="R236" s="184">
        <f t="shared" si="12"/>
        <v>40000000</v>
      </c>
    </row>
    <row r="237" spans="1:18" ht="15" customHeight="1" x14ac:dyDescent="0.3">
      <c r="A237" s="721" t="s">
        <v>19</v>
      </c>
      <c r="B237" s="145" t="s">
        <v>51</v>
      </c>
      <c r="C237" s="9"/>
      <c r="D237" s="19"/>
      <c r="E237" s="9"/>
      <c r="F237" s="19"/>
      <c r="G237" s="9"/>
      <c r="H237" s="11"/>
      <c r="I237" s="8"/>
      <c r="J237" s="19"/>
      <c r="K237" s="8"/>
      <c r="L237" s="167"/>
      <c r="M237" s="8"/>
      <c r="N237" s="66"/>
      <c r="O237" s="6"/>
      <c r="P237" s="760" t="str">
        <f>A237</f>
        <v>2대
질병</v>
      </c>
      <c r="Q237" s="115" t="s">
        <v>51</v>
      </c>
      <c r="R237" s="182">
        <f t="shared" si="12"/>
        <v>10000000</v>
      </c>
    </row>
    <row r="238" spans="1:18" ht="15" customHeight="1" x14ac:dyDescent="0.3">
      <c r="A238" s="722"/>
      <c r="B238" s="146" t="s">
        <v>43</v>
      </c>
      <c r="C238" s="9"/>
      <c r="D238" s="204"/>
      <c r="E238" s="10"/>
      <c r="F238" s="204"/>
      <c r="G238" s="9"/>
      <c r="H238" s="13"/>
      <c r="I238" s="10"/>
      <c r="J238" s="204"/>
      <c r="K238" s="9"/>
      <c r="L238" s="169"/>
      <c r="M238" s="10"/>
      <c r="N238" s="69"/>
      <c r="O238" s="6"/>
      <c r="P238" s="761"/>
      <c r="Q238" s="116" t="s">
        <v>43</v>
      </c>
      <c r="R238" s="183">
        <f t="shared" si="12"/>
        <v>20000000</v>
      </c>
    </row>
    <row r="239" spans="1:18" ht="15" customHeight="1" thickBot="1" x14ac:dyDescent="0.35">
      <c r="A239" s="722"/>
      <c r="B239" s="147" t="s">
        <v>53</v>
      </c>
      <c r="C239" s="36"/>
      <c r="D239" s="199"/>
      <c r="E239" s="36"/>
      <c r="F239" s="47"/>
      <c r="G239" s="36"/>
      <c r="H239" s="48"/>
      <c r="I239" s="36"/>
      <c r="J239" s="199"/>
      <c r="K239" s="36"/>
      <c r="L239" s="170"/>
      <c r="M239" s="36"/>
      <c r="N239" s="70"/>
      <c r="O239" s="6"/>
      <c r="P239" s="761"/>
      <c r="Q239" s="117" t="s">
        <v>53</v>
      </c>
      <c r="R239" s="184">
        <f t="shared" si="12"/>
        <v>20000000</v>
      </c>
    </row>
    <row r="240" spans="1:18" ht="15" customHeight="1" x14ac:dyDescent="0.3">
      <c r="A240" s="722"/>
      <c r="B240" s="148" t="s">
        <v>65</v>
      </c>
      <c r="C240" s="8"/>
      <c r="D240" s="19"/>
      <c r="E240" s="8"/>
      <c r="F240" s="19"/>
      <c r="G240" s="8"/>
      <c r="H240" s="11"/>
      <c r="I240" s="8"/>
      <c r="J240" s="19"/>
      <c r="K240" s="8"/>
      <c r="L240" s="167"/>
      <c r="M240" s="8"/>
      <c r="N240" s="66"/>
      <c r="O240" s="6"/>
      <c r="P240" s="761"/>
      <c r="Q240" s="118" t="s">
        <v>65</v>
      </c>
      <c r="R240" s="182">
        <f t="shared" si="12"/>
        <v>10000000</v>
      </c>
    </row>
    <row r="241" spans="1:18" ht="15" customHeight="1" x14ac:dyDescent="0.3">
      <c r="A241" s="722"/>
      <c r="B241" s="149" t="s">
        <v>8</v>
      </c>
      <c r="C241" s="9"/>
      <c r="D241" s="21"/>
      <c r="E241" s="9"/>
      <c r="F241" s="204"/>
      <c r="G241" s="9"/>
      <c r="H241" s="13"/>
      <c r="I241" s="9"/>
      <c r="J241" s="20"/>
      <c r="K241" s="9"/>
      <c r="L241" s="169"/>
      <c r="M241" s="10"/>
      <c r="N241" s="69"/>
      <c r="O241" s="6"/>
      <c r="P241" s="761"/>
      <c r="Q241" s="119" t="s">
        <v>8</v>
      </c>
      <c r="R241" s="183">
        <f t="shared" si="12"/>
        <v>20000000</v>
      </c>
    </row>
    <row r="242" spans="1:18" ht="15" customHeight="1" thickBot="1" x14ac:dyDescent="0.35">
      <c r="A242" s="722"/>
      <c r="B242" s="165" t="s">
        <v>5</v>
      </c>
      <c r="C242" s="7"/>
      <c r="D242" s="204"/>
      <c r="E242" s="36"/>
      <c r="F242" s="47"/>
      <c r="G242" s="36"/>
      <c r="H242" s="48"/>
      <c r="I242" s="36"/>
      <c r="J242" s="199"/>
      <c r="K242" s="35"/>
      <c r="L242" s="170"/>
      <c r="M242" s="35"/>
      <c r="N242" s="70"/>
      <c r="O242" s="6"/>
      <c r="P242" s="761"/>
      <c r="Q242" s="120" t="s">
        <v>5</v>
      </c>
      <c r="R242" s="184">
        <f>R191+C242+E242+G242+I242+K242+M242</f>
        <v>20000000</v>
      </c>
    </row>
    <row r="243" spans="1:18" ht="15" customHeight="1" thickBot="1" x14ac:dyDescent="0.35">
      <c r="A243" s="722"/>
      <c r="B243" s="166" t="s">
        <v>32</v>
      </c>
      <c r="C243" s="53"/>
      <c r="D243" s="211"/>
      <c r="E243" s="14"/>
      <c r="F243" s="211"/>
      <c r="G243" s="14"/>
      <c r="H243" s="15"/>
      <c r="I243" s="14"/>
      <c r="J243" s="211"/>
      <c r="K243" s="14"/>
      <c r="L243" s="171"/>
      <c r="M243" s="14"/>
      <c r="N243" s="71"/>
      <c r="O243" s="6"/>
      <c r="P243" s="761"/>
      <c r="Q243" s="121" t="s">
        <v>32</v>
      </c>
      <c r="R243" s="108">
        <f t="shared" si="12"/>
        <v>0</v>
      </c>
    </row>
    <row r="244" spans="1:18" ht="15" customHeight="1" x14ac:dyDescent="0.3">
      <c r="A244" s="723" t="s">
        <v>16</v>
      </c>
      <c r="B244" s="152" t="s">
        <v>36</v>
      </c>
      <c r="C244" s="41"/>
      <c r="D244" s="19"/>
      <c r="E244" s="8"/>
      <c r="F244" s="198"/>
      <c r="G244" s="8"/>
      <c r="H244" s="19"/>
      <c r="I244" s="8"/>
      <c r="J244" s="19"/>
      <c r="K244" s="8"/>
      <c r="L244" s="167"/>
      <c r="M244" s="8"/>
      <c r="N244" s="66"/>
      <c r="O244" s="6"/>
      <c r="P244" s="762" t="str">
        <f>A244</f>
        <v>후유장해</v>
      </c>
      <c r="Q244" s="122" t="s">
        <v>36</v>
      </c>
      <c r="R244" s="182">
        <f t="shared" si="12"/>
        <v>0</v>
      </c>
    </row>
    <row r="245" spans="1:18" ht="15" customHeight="1" x14ac:dyDescent="0.3">
      <c r="A245" s="724"/>
      <c r="B245" s="153" t="s">
        <v>29</v>
      </c>
      <c r="C245" s="28"/>
      <c r="D245" s="20"/>
      <c r="E245" s="9"/>
      <c r="F245" s="204"/>
      <c r="G245" s="9"/>
      <c r="H245" s="20"/>
      <c r="I245" s="9"/>
      <c r="J245" s="20"/>
      <c r="K245" s="9"/>
      <c r="L245" s="172"/>
      <c r="M245" s="9"/>
      <c r="N245" s="67"/>
      <c r="O245" s="6"/>
      <c r="P245" s="763"/>
      <c r="Q245" s="123" t="s">
        <v>29</v>
      </c>
      <c r="R245" s="183">
        <f t="shared" si="12"/>
        <v>0</v>
      </c>
    </row>
    <row r="246" spans="1:18" ht="15" customHeight="1" x14ac:dyDescent="0.3">
      <c r="A246" s="724"/>
      <c r="B246" s="153" t="s">
        <v>25</v>
      </c>
      <c r="C246" s="28"/>
      <c r="D246" s="20"/>
      <c r="E246" s="9"/>
      <c r="F246" s="218"/>
      <c r="G246" s="9"/>
      <c r="H246" s="20"/>
      <c r="I246" s="9"/>
      <c r="J246" s="20"/>
      <c r="K246" s="9"/>
      <c r="L246" s="172"/>
      <c r="M246" s="9"/>
      <c r="N246" s="67"/>
      <c r="O246" s="6"/>
      <c r="P246" s="763"/>
      <c r="Q246" s="123" t="s">
        <v>25</v>
      </c>
      <c r="R246" s="183">
        <f t="shared" si="12"/>
        <v>0</v>
      </c>
    </row>
    <row r="247" spans="1:18" ht="15" customHeight="1" thickBot="1" x14ac:dyDescent="0.35">
      <c r="A247" s="725"/>
      <c r="B247" s="154" t="s">
        <v>24</v>
      </c>
      <c r="C247" s="42"/>
      <c r="D247" s="18"/>
      <c r="E247" s="7"/>
      <c r="F247" s="200"/>
      <c r="G247" s="9"/>
      <c r="H247" s="18"/>
      <c r="I247" s="7"/>
      <c r="J247" s="18"/>
      <c r="K247" s="7"/>
      <c r="L247" s="168"/>
      <c r="M247" s="7"/>
      <c r="N247" s="68"/>
      <c r="O247" s="6"/>
      <c r="P247" s="764"/>
      <c r="Q247" s="124" t="s">
        <v>24</v>
      </c>
      <c r="R247" s="184">
        <f t="shared" si="12"/>
        <v>0</v>
      </c>
    </row>
    <row r="248" spans="1:18" ht="15" customHeight="1" x14ac:dyDescent="0.3">
      <c r="A248" s="726" t="s">
        <v>47</v>
      </c>
      <c r="B248" s="155" t="s">
        <v>48</v>
      </c>
      <c r="C248" s="41"/>
      <c r="D248" s="19"/>
      <c r="E248" s="10"/>
      <c r="F248" s="19"/>
      <c r="G248" s="8"/>
      <c r="H248" s="19"/>
      <c r="I248" s="8"/>
      <c r="J248" s="19"/>
      <c r="K248" s="8"/>
      <c r="L248" s="173"/>
      <c r="M248" s="10"/>
      <c r="N248" s="69"/>
      <c r="O248" s="6"/>
      <c r="P248" s="765" t="s">
        <v>47</v>
      </c>
      <c r="Q248" s="125" t="s">
        <v>48</v>
      </c>
      <c r="R248" s="182">
        <f t="shared" si="12"/>
        <v>0</v>
      </c>
    </row>
    <row r="249" spans="1:18" ht="15" customHeight="1" x14ac:dyDescent="0.3">
      <c r="A249" s="727"/>
      <c r="B249" s="156" t="s">
        <v>44</v>
      </c>
      <c r="C249" s="28"/>
      <c r="D249" s="20"/>
      <c r="E249" s="9"/>
      <c r="F249" s="20"/>
      <c r="G249" s="9"/>
      <c r="H249" s="12"/>
      <c r="I249" s="9"/>
      <c r="J249" s="20"/>
      <c r="K249" s="9"/>
      <c r="L249" s="174"/>
      <c r="M249" s="9"/>
      <c r="N249" s="67"/>
      <c r="O249" s="6"/>
      <c r="P249" s="766"/>
      <c r="Q249" s="126" t="s">
        <v>44</v>
      </c>
      <c r="R249" s="183">
        <f t="shared" si="12"/>
        <v>0</v>
      </c>
    </row>
    <row r="250" spans="1:18" ht="15" customHeight="1" thickBot="1" x14ac:dyDescent="0.35">
      <c r="A250" s="728"/>
      <c r="B250" s="157" t="s">
        <v>7</v>
      </c>
      <c r="C250" s="43"/>
      <c r="D250" s="21"/>
      <c r="E250" s="7"/>
      <c r="F250" s="18"/>
      <c r="G250" s="7"/>
      <c r="H250" s="24"/>
      <c r="I250" s="7"/>
      <c r="J250" s="217"/>
      <c r="K250" s="7"/>
      <c r="L250" s="168"/>
      <c r="M250" s="7"/>
      <c r="N250" s="68"/>
      <c r="O250" s="6"/>
      <c r="P250" s="767"/>
      <c r="Q250" s="127" t="s">
        <v>54</v>
      </c>
      <c r="R250" s="184">
        <f t="shared" si="12"/>
        <v>30000000</v>
      </c>
    </row>
    <row r="251" spans="1:18" ht="15" customHeight="1" x14ac:dyDescent="0.3">
      <c r="A251" s="746" t="s">
        <v>39</v>
      </c>
      <c r="B251" s="158" t="s">
        <v>44</v>
      </c>
      <c r="C251" s="41"/>
      <c r="D251" s="19"/>
      <c r="E251" s="8"/>
      <c r="F251" s="19"/>
      <c r="G251" s="8"/>
      <c r="H251" s="19"/>
      <c r="I251" s="8"/>
      <c r="J251" s="215"/>
      <c r="K251" s="8"/>
      <c r="L251" s="167"/>
      <c r="M251" s="8"/>
      <c r="N251" s="66"/>
      <c r="O251" s="6"/>
      <c r="P251" s="779" t="s">
        <v>39</v>
      </c>
      <c r="Q251" s="128" t="s">
        <v>44</v>
      </c>
      <c r="R251" s="182">
        <f t="shared" si="12"/>
        <v>500000</v>
      </c>
    </row>
    <row r="252" spans="1:18" ht="15" customHeight="1" x14ac:dyDescent="0.3">
      <c r="A252" s="747"/>
      <c r="B252" s="158" t="s">
        <v>54</v>
      </c>
      <c r="C252" s="28"/>
      <c r="D252" s="20"/>
      <c r="E252" s="9"/>
      <c r="F252" s="21"/>
      <c r="G252" s="9"/>
      <c r="H252" s="20"/>
      <c r="I252" s="9"/>
      <c r="J252" s="216"/>
      <c r="K252" s="9"/>
      <c r="L252" s="209"/>
      <c r="M252" s="9"/>
      <c r="N252" s="67"/>
      <c r="O252" s="6"/>
      <c r="P252" s="780"/>
      <c r="Q252" s="129" t="s">
        <v>54</v>
      </c>
      <c r="R252" s="183">
        <f t="shared" si="12"/>
        <v>1200000</v>
      </c>
    </row>
    <row r="253" spans="1:18" ht="15" customHeight="1" x14ac:dyDescent="0.3">
      <c r="A253" s="747"/>
      <c r="B253" s="158" t="s">
        <v>68</v>
      </c>
      <c r="C253" s="28"/>
      <c r="D253" s="204"/>
      <c r="E253" s="9"/>
      <c r="F253" s="21"/>
      <c r="G253" s="9"/>
      <c r="H253" s="13"/>
      <c r="I253" s="10"/>
      <c r="J253" s="219"/>
      <c r="K253" s="10"/>
      <c r="L253" s="175"/>
      <c r="M253" s="23"/>
      <c r="N253" s="69"/>
      <c r="O253" s="6"/>
      <c r="P253" s="780"/>
      <c r="Q253" s="129" t="s">
        <v>68</v>
      </c>
      <c r="R253" s="183">
        <f t="shared" si="12"/>
        <v>5300000</v>
      </c>
    </row>
    <row r="254" spans="1:18" ht="15" customHeight="1" thickBot="1" x14ac:dyDescent="0.35">
      <c r="A254" s="747"/>
      <c r="B254" s="159" t="s">
        <v>61</v>
      </c>
      <c r="C254" s="44"/>
      <c r="D254" s="204"/>
      <c r="E254" s="35"/>
      <c r="F254" s="34"/>
      <c r="G254" s="35"/>
      <c r="H254" s="37"/>
      <c r="I254" s="36"/>
      <c r="J254" s="63"/>
      <c r="K254" s="36"/>
      <c r="L254" s="176"/>
      <c r="M254" s="35"/>
      <c r="N254" s="72"/>
      <c r="O254" s="6"/>
      <c r="P254" s="780"/>
      <c r="Q254" s="130" t="s">
        <v>61</v>
      </c>
      <c r="R254" s="184">
        <f t="shared" si="12"/>
        <v>0</v>
      </c>
    </row>
    <row r="255" spans="1:18" ht="15" customHeight="1" x14ac:dyDescent="0.3">
      <c r="A255" s="748" t="s">
        <v>40</v>
      </c>
      <c r="B255" s="160" t="s">
        <v>45</v>
      </c>
      <c r="C255" s="8"/>
      <c r="D255" s="19"/>
      <c r="E255" s="8"/>
      <c r="F255" s="19"/>
      <c r="G255" s="8"/>
      <c r="H255" s="19"/>
      <c r="I255" s="8"/>
      <c r="J255" s="215"/>
      <c r="K255" s="8"/>
      <c r="L255" s="167"/>
      <c r="M255" s="8"/>
      <c r="N255" s="66"/>
      <c r="O255" s="6"/>
      <c r="P255" s="782" t="s">
        <v>40</v>
      </c>
      <c r="Q255" s="131" t="s">
        <v>45</v>
      </c>
      <c r="R255" s="182">
        <f t="shared" si="12"/>
        <v>500000</v>
      </c>
    </row>
    <row r="256" spans="1:18" ht="15" customHeight="1" thickBot="1" x14ac:dyDescent="0.35">
      <c r="A256" s="781"/>
      <c r="B256" s="161" t="s">
        <v>42</v>
      </c>
      <c r="C256" s="45"/>
      <c r="D256" s="18"/>
      <c r="E256" s="39"/>
      <c r="F256" s="38"/>
      <c r="G256" s="39"/>
      <c r="H256" s="38"/>
      <c r="I256" s="39"/>
      <c r="J256" s="220"/>
      <c r="K256" s="39"/>
      <c r="L256" s="177"/>
      <c r="M256" s="39"/>
      <c r="N256" s="73"/>
      <c r="O256" s="6"/>
      <c r="P256" s="783"/>
      <c r="Q256" s="132" t="s">
        <v>42</v>
      </c>
      <c r="R256" s="184">
        <f t="shared" si="12"/>
        <v>200000</v>
      </c>
    </row>
    <row r="257" spans="1:18" ht="15" customHeight="1" x14ac:dyDescent="0.3">
      <c r="A257" s="784" t="s">
        <v>6</v>
      </c>
      <c r="B257" s="162" t="s">
        <v>44</v>
      </c>
      <c r="C257" s="41"/>
      <c r="D257" s="19"/>
      <c r="E257" s="41"/>
      <c r="F257" s="19"/>
      <c r="G257" s="41"/>
      <c r="H257" s="19"/>
      <c r="I257" s="41"/>
      <c r="J257" s="215"/>
      <c r="K257" s="8"/>
      <c r="L257" s="167"/>
      <c r="M257" s="8"/>
      <c r="N257" s="66"/>
      <c r="O257" s="6"/>
      <c r="P257" s="786" t="s">
        <v>6</v>
      </c>
      <c r="Q257" s="133" t="s">
        <v>44</v>
      </c>
      <c r="R257" s="182">
        <f t="shared" si="12"/>
        <v>150000</v>
      </c>
    </row>
    <row r="258" spans="1:18" ht="15" customHeight="1" thickBot="1" x14ac:dyDescent="0.35">
      <c r="A258" s="785"/>
      <c r="B258" s="163" t="s">
        <v>7</v>
      </c>
      <c r="C258" s="42"/>
      <c r="D258" s="18"/>
      <c r="E258" s="42"/>
      <c r="F258" s="18"/>
      <c r="G258" s="42"/>
      <c r="H258" s="18"/>
      <c r="I258" s="42"/>
      <c r="J258" s="217"/>
      <c r="K258" s="7"/>
      <c r="L258" s="168"/>
      <c r="M258" s="7"/>
      <c r="N258" s="68"/>
      <c r="O258" s="6"/>
      <c r="P258" s="787"/>
      <c r="Q258" s="134" t="s">
        <v>7</v>
      </c>
      <c r="R258" s="184">
        <f t="shared" si="12"/>
        <v>70000</v>
      </c>
    </row>
    <row r="259" spans="1:18" ht="15" customHeight="1" x14ac:dyDescent="0.3">
      <c r="A259" s="732" t="s">
        <v>52</v>
      </c>
      <c r="B259" s="144" t="s">
        <v>41</v>
      </c>
      <c r="C259" s="28"/>
      <c r="D259" s="19"/>
      <c r="E259" s="8"/>
      <c r="F259" s="19"/>
      <c r="G259" s="8"/>
      <c r="H259" s="19"/>
      <c r="I259" s="8"/>
      <c r="J259" s="215"/>
      <c r="K259" s="8"/>
      <c r="L259" s="178"/>
      <c r="M259" s="8"/>
      <c r="N259" s="66"/>
      <c r="O259" s="6"/>
      <c r="P259" s="774" t="s">
        <v>52</v>
      </c>
      <c r="Q259" s="114" t="s">
        <v>41</v>
      </c>
      <c r="R259" s="182">
        <f t="shared" si="12"/>
        <v>30000000</v>
      </c>
    </row>
    <row r="260" spans="1:18" ht="15" customHeight="1" x14ac:dyDescent="0.3">
      <c r="A260" s="733"/>
      <c r="B260" s="144" t="s">
        <v>11</v>
      </c>
      <c r="C260" s="28"/>
      <c r="D260" s="20"/>
      <c r="E260" s="9"/>
      <c r="F260" s="20"/>
      <c r="G260" s="9"/>
      <c r="H260" s="20"/>
      <c r="I260" s="9"/>
      <c r="J260" s="216"/>
      <c r="K260" s="9"/>
      <c r="L260" s="179"/>
      <c r="M260" s="9"/>
      <c r="N260" s="67"/>
      <c r="O260" s="6"/>
      <c r="P260" s="775"/>
      <c r="Q260" s="114" t="s">
        <v>11</v>
      </c>
      <c r="R260" s="183">
        <f t="shared" si="12"/>
        <v>50000000</v>
      </c>
    </row>
    <row r="261" spans="1:18" ht="15" customHeight="1" thickBot="1" x14ac:dyDescent="0.35">
      <c r="A261" s="734"/>
      <c r="B261" s="164" t="s">
        <v>27</v>
      </c>
      <c r="C261" s="28"/>
      <c r="D261" s="20"/>
      <c r="E261" s="10"/>
      <c r="F261" s="21"/>
      <c r="G261" s="10"/>
      <c r="H261" s="21"/>
      <c r="I261" s="10"/>
      <c r="J261" s="219"/>
      <c r="K261" s="10"/>
      <c r="L261" s="175"/>
      <c r="M261" s="10"/>
      <c r="N261" s="69"/>
      <c r="O261" s="6"/>
      <c r="P261" s="776"/>
      <c r="Q261" s="135" t="s">
        <v>27</v>
      </c>
      <c r="R261" s="184">
        <f t="shared" si="12"/>
        <v>200000000</v>
      </c>
    </row>
    <row r="262" spans="1:18" ht="15" customHeight="1" thickBot="1" x14ac:dyDescent="0.35">
      <c r="A262" s="735" t="s">
        <v>30</v>
      </c>
      <c r="B262" s="736"/>
      <c r="C262" s="14"/>
      <c r="D262" s="22"/>
      <c r="E262" s="14"/>
      <c r="F262" s="22"/>
      <c r="G262" s="14"/>
      <c r="H262" s="22"/>
      <c r="I262" s="14"/>
      <c r="J262" s="221"/>
      <c r="K262" s="14"/>
      <c r="L262" s="180"/>
      <c r="M262" s="14"/>
      <c r="N262" s="74"/>
      <c r="O262" s="6"/>
      <c r="P262" s="777" t="s">
        <v>30</v>
      </c>
      <c r="Q262" s="778"/>
      <c r="R262" s="107">
        <f t="shared" si="12"/>
        <v>100000000</v>
      </c>
    </row>
    <row r="263" spans="1:18" ht="15" customHeight="1" x14ac:dyDescent="0.3">
      <c r="A263" s="737" t="s">
        <v>38</v>
      </c>
      <c r="B263" s="738"/>
      <c r="C263" s="46"/>
      <c r="D263" s="11"/>
      <c r="E263" s="29"/>
      <c r="F263" s="20"/>
      <c r="G263" s="203"/>
      <c r="H263" s="20"/>
      <c r="I263" s="31"/>
      <c r="J263" s="215"/>
      <c r="K263" s="189"/>
      <c r="L263" s="208"/>
      <c r="M263" s="31"/>
      <c r="N263" s="191"/>
      <c r="O263" s="6"/>
      <c r="P263" s="743" t="s">
        <v>38</v>
      </c>
      <c r="Q263" s="597"/>
      <c r="R263" s="598"/>
    </row>
    <row r="264" spans="1:18" ht="15" customHeight="1" x14ac:dyDescent="0.3">
      <c r="A264" s="739"/>
      <c r="B264" s="740"/>
      <c r="C264" s="29"/>
      <c r="D264" s="12"/>
      <c r="E264" s="210"/>
      <c r="F264" s="201"/>
      <c r="G264" s="32"/>
      <c r="H264" s="201"/>
      <c r="I264" s="32"/>
      <c r="J264" s="216"/>
      <c r="K264" s="214"/>
      <c r="L264" s="209"/>
      <c r="M264" s="32"/>
      <c r="N264" s="190"/>
      <c r="O264" s="6"/>
      <c r="P264" s="744"/>
      <c r="Q264" s="599"/>
      <c r="R264" s="600"/>
    </row>
    <row r="265" spans="1:18" ht="15" customHeight="1" x14ac:dyDescent="0.3">
      <c r="A265" s="739"/>
      <c r="B265" s="740"/>
      <c r="C265" s="29"/>
      <c r="D265" s="12"/>
      <c r="E265" s="32"/>
      <c r="F265" s="12"/>
      <c r="G265" s="32"/>
      <c r="H265" s="201"/>
      <c r="I265" s="32"/>
      <c r="J265" s="216"/>
      <c r="K265" s="32"/>
      <c r="L265" s="179"/>
      <c r="M265" s="32"/>
      <c r="N265" s="76"/>
      <c r="O265" s="6"/>
      <c r="P265" s="744"/>
      <c r="Q265" s="599"/>
      <c r="R265" s="600"/>
    </row>
    <row r="266" spans="1:18" ht="15" customHeight="1" thickBot="1" x14ac:dyDescent="0.35">
      <c r="A266" s="741"/>
      <c r="B266" s="742"/>
      <c r="C266" s="30"/>
      <c r="D266" s="24"/>
      <c r="E266" s="33"/>
      <c r="F266" s="24"/>
      <c r="G266" s="33"/>
      <c r="H266" s="200"/>
      <c r="I266" s="33"/>
      <c r="J266" s="24"/>
      <c r="K266" s="33"/>
      <c r="L266" s="181"/>
      <c r="M266" s="33"/>
      <c r="N266" s="77"/>
      <c r="O266" s="6"/>
      <c r="P266" s="745"/>
      <c r="Q266" s="601"/>
      <c r="R266" s="602"/>
    </row>
  </sheetData>
  <protectedRanges>
    <protectedRange sqref="K5 P2 M64 K64 E67:N67 P61 R60 B110 F76:F80 I76:I80 H87:N87 I85:N86 I88:N88 D103:E109 H89:N96 K76:N80 H81:N84 G92 F93:G96 D71:E82 A60:B60 E61:N61 K66:N66 D99:E100 E101:E102 E63:N63 I64 F71:N75 F81:G91 D112:E113 D110:D111 F99:N113 E97:N98 E83:E96 D87 D83:D84 C83:C88 M118 K118 E121:N121 P115 R114 B161 F130:F132 I130:I132 H139:N139 I137:N138 I140:N140 D155:E160 H141:N148 K130:N132 H133:N136 G144 F145:G148 D125:E134 A114:B114 E115:N115 K120:N120 D151:E152 E153:E154 E117:N117 I118 F125:N129 F133:G143 D163:E164 D161:D162 E149:N150 M119:N119 E135:E148 D139 D135:D136 C135:C140 K18:K22 F151:N164 M169 K169 E172:N172 P166 R165 B212 F181:F183 I181:I183 H190:N190 I188:N189 I191:N191 D206:E211 H192:N199 K181:N183 H184:N187 G195 F196:G199 D176:E185 A165:B165 E166:N166 K171:N171 D202:E203 E204:E205 E168:N168 I169 F176:N180 F184:G194 D214:E215 D212:D213 E200:N201 M170:N170 E186:E199 D190 D186:D187 C186:C191 F202:N215 M220 K220 E223:N223 P217 R216 B263 F232:F234 I232:I234 H241:N241 I239:N240 I242:N242 D257:E262 H243:N250 K232:N234 H235:N238 G246 F247:G250 D227:E236 A216:B216 E217:N217 K222:N222 E255:E256 E219:N219 M218:N218 I220 F227:N231 F235:G245 D265:E266 D263:D264 E251:N252 M221:N221 E237:E250 D237:D238 C237:C242 F253:N266 D253:E254 D241:D243 L46 N46 L44:N44 G64 G23:H32 G56:G57 M48:N51 K48:K56 L48:L52 L54:L55 K23:L23 N12:N23 G58:H58 N52 G59:L59 M52:M59 N58:N59 N54:N56 C5 E5 F31 F36:F37 F27:F28 E49:E54 F49:F52 F54 G47:H55 G5 G18:G22 C12:H16 K45:N45 K47:N47 K12:L16 J46 J12:J23 J52 I52:I58 J54:J56 I24:N32 I47:J51 K58:L58 K36:N43 G36:H42 I36:J45 F34 E27:E37 G33:N35" name="범위1"/>
    <protectedRange sqref="D89:D98 D141:D150 D192:D201 D244:D252 H56:H57 L56:L57" name="범위1_2_1"/>
    <protectedRange sqref="D101:D102 D153:D154 D204:D205 D255:D256" name="범위1_2_2"/>
    <protectedRange sqref="E65:F65" name="범위1_5"/>
    <protectedRange sqref="G65:N65 C119:L119 C170:L170 C221:L221" name="범위1_6"/>
    <protectedRange sqref="I66:J66 I120:J120 I171:J171 I222:J222" name="범위1_7"/>
    <protectedRange sqref="G76:H80 H85:H86 H88 J76:J80 D85:D86 D88 G130:H132 H137:H138 H140 J130:J132 D137:D138 D140 L17:L22 G181:H183 H188:H189 H191 J181:J183 D188:D189 D191 G232:H234 H239:H240 H242 J232:J234 D239:D240 F29:F30 E18 F17:F18 E24:F25 E23 H17:H22 E19:F22 F32:F33 F35" name="범위1_2_3"/>
    <protectedRange sqref="C64 C67:D67 E64 C65:D65 C118 C121:D121 E118 G118 C169 C172:D172 E169 G169 C165:N165 C220 C223:D223 E220 G220 C114:N114 C216:N216 C60:N60 M5 M8:N8 M6:N6 I5 I8:J8 I6:J6 C1:N1" name="범위1_8"/>
    <protectedRange sqref="C61:D63 E62:N62 C115:D115 C166:D168 C217:D219 E218:L218 E167:N167 C117:D117 C116:N116 M2:N2 M4:N4 I2:J2" name="범위1_6_1"/>
    <protectedRange sqref="C66:H66 C120:H120 C171:H171 C222:H222 M7:N7 I7:J7" name="범위1_7_1"/>
    <protectedRange sqref="E110:E111 C71:C82 C89:C100 C155:C164 E161:E162 C125:C134 C141:C152 C206:C215 E212:E213 C176:C185 C192:C203 C257:C266 E263:E264 C227:C236 C243:C254 K46 M46 K44 C103:C113 K17 M12:M23 E17 G17 I46 I12:I23" name="범위1_9"/>
    <protectedRange sqref="C101:C102 C153:C154 C204:C205 C255:C256" name="범위1_5_1"/>
    <protectedRange sqref="R1" name="범위1_2"/>
    <protectedRange sqref="A1:B1" name="범위1_3"/>
    <protectedRange sqref="M3:N3 K2:L4 C2:H4 I3:J4" name="범위1_1"/>
    <protectedRange sqref="C6:H8 K6:L8" name="범위1_4"/>
    <protectedRange sqref="D45:D46 D49:D59 C39:C40 E55 D17:D27 F23 F26 F45:F46 E39:E40 F55:F59 H45:H46" name="범위1_12"/>
    <protectedRange sqref="D38:D44 F38:F44 H43:H44 D28:D36" name="범위1_2_1_3"/>
    <protectedRange sqref="D47:D48 F47:F48" name="범위1_2_2_1"/>
    <protectedRange sqref="C49:C59 D37 C41:C46 C37:C38 E26 E41:E46 E38 E56:E59 G43:G46 C17:C35" name="범위1_9_3"/>
    <protectedRange sqref="C47:C48 E47:E48" name="범위1_5_1_1"/>
    <protectedRange sqref="B56" name="범위1_10"/>
  </protectedRanges>
  <mergeCells count="505">
    <mergeCell ref="A259:A261"/>
    <mergeCell ref="P259:P261"/>
    <mergeCell ref="A262:B262"/>
    <mergeCell ref="P262:Q262"/>
    <mergeCell ref="A263:B266"/>
    <mergeCell ref="P263:P266"/>
    <mergeCell ref="Q263:R266"/>
    <mergeCell ref="A251:A254"/>
    <mergeCell ref="P251:P254"/>
    <mergeCell ref="A255:A256"/>
    <mergeCell ref="P255:P256"/>
    <mergeCell ref="A257:A258"/>
    <mergeCell ref="P257:P258"/>
    <mergeCell ref="A237:A243"/>
    <mergeCell ref="P237:P243"/>
    <mergeCell ref="A244:A247"/>
    <mergeCell ref="P244:P247"/>
    <mergeCell ref="A248:A250"/>
    <mergeCell ref="P248:P250"/>
    <mergeCell ref="M226:N226"/>
    <mergeCell ref="P226:Q226"/>
    <mergeCell ref="A227:A231"/>
    <mergeCell ref="P227:P231"/>
    <mergeCell ref="A232:A236"/>
    <mergeCell ref="P232:P236"/>
    <mergeCell ref="A226:B226"/>
    <mergeCell ref="C226:D226"/>
    <mergeCell ref="E226:F226"/>
    <mergeCell ref="G226:H226"/>
    <mergeCell ref="I226:J226"/>
    <mergeCell ref="K226:L226"/>
    <mergeCell ref="M224:N224"/>
    <mergeCell ref="P224:Q224"/>
    <mergeCell ref="A225:B225"/>
    <mergeCell ref="C225:D225"/>
    <mergeCell ref="E225:F225"/>
    <mergeCell ref="G225:H225"/>
    <mergeCell ref="I225:J225"/>
    <mergeCell ref="K225:L225"/>
    <mergeCell ref="M225:N225"/>
    <mergeCell ref="P225:Q225"/>
    <mergeCell ref="A224:B224"/>
    <mergeCell ref="C224:D224"/>
    <mergeCell ref="E224:F224"/>
    <mergeCell ref="G224:H224"/>
    <mergeCell ref="I224:J224"/>
    <mergeCell ref="K224:L224"/>
    <mergeCell ref="P222:Q222"/>
    <mergeCell ref="A223:B223"/>
    <mergeCell ref="C223:D223"/>
    <mergeCell ref="E223:F223"/>
    <mergeCell ref="G223:H223"/>
    <mergeCell ref="I223:J223"/>
    <mergeCell ref="K223:L223"/>
    <mergeCell ref="M223:N223"/>
    <mergeCell ref="P223:Q223"/>
    <mergeCell ref="K221:L221"/>
    <mergeCell ref="M221:N221"/>
    <mergeCell ref="A222:B222"/>
    <mergeCell ref="C222:D222"/>
    <mergeCell ref="E222:F222"/>
    <mergeCell ref="G222:H222"/>
    <mergeCell ref="I222:J222"/>
    <mergeCell ref="K222:L222"/>
    <mergeCell ref="M222:N222"/>
    <mergeCell ref="C219:D219"/>
    <mergeCell ref="E219:F219"/>
    <mergeCell ref="G219:H219"/>
    <mergeCell ref="I219:J219"/>
    <mergeCell ref="K219:L219"/>
    <mergeCell ref="M219:N219"/>
    <mergeCell ref="A218:B218"/>
    <mergeCell ref="C218:D218"/>
    <mergeCell ref="E218:F218"/>
    <mergeCell ref="G218:H218"/>
    <mergeCell ref="I218:J218"/>
    <mergeCell ref="K218:L218"/>
    <mergeCell ref="M216:N216"/>
    <mergeCell ref="P216:Q216"/>
    <mergeCell ref="A217:B217"/>
    <mergeCell ref="C217:D217"/>
    <mergeCell ref="E217:F217"/>
    <mergeCell ref="G217:H217"/>
    <mergeCell ref="I217:J217"/>
    <mergeCell ref="K217:L217"/>
    <mergeCell ref="M217:N217"/>
    <mergeCell ref="P217:R221"/>
    <mergeCell ref="A216:B216"/>
    <mergeCell ref="C216:D216"/>
    <mergeCell ref="E216:F216"/>
    <mergeCell ref="G216:H216"/>
    <mergeCell ref="I216:J216"/>
    <mergeCell ref="K216:L216"/>
    <mergeCell ref="A220:B220"/>
    <mergeCell ref="A221:B221"/>
    <mergeCell ref="C221:D221"/>
    <mergeCell ref="E221:F221"/>
    <mergeCell ref="G221:H221"/>
    <mergeCell ref="I221:J221"/>
    <mergeCell ref="M218:N218"/>
    <mergeCell ref="A219:B219"/>
    <mergeCell ref="A208:A210"/>
    <mergeCell ref="P208:P210"/>
    <mergeCell ref="A211:B211"/>
    <mergeCell ref="P211:Q211"/>
    <mergeCell ref="A212:B215"/>
    <mergeCell ref="P212:P215"/>
    <mergeCell ref="Q212:R215"/>
    <mergeCell ref="A200:A203"/>
    <mergeCell ref="P200:P203"/>
    <mergeCell ref="A204:A205"/>
    <mergeCell ref="P204:P205"/>
    <mergeCell ref="A206:A207"/>
    <mergeCell ref="P206:P207"/>
    <mergeCell ref="A186:A192"/>
    <mergeCell ref="P186:P192"/>
    <mergeCell ref="A193:A196"/>
    <mergeCell ref="P193:P196"/>
    <mergeCell ref="A197:A199"/>
    <mergeCell ref="P197:P199"/>
    <mergeCell ref="M175:N175"/>
    <mergeCell ref="P175:Q175"/>
    <mergeCell ref="A176:A180"/>
    <mergeCell ref="P176:P180"/>
    <mergeCell ref="A181:A185"/>
    <mergeCell ref="P181:P185"/>
    <mergeCell ref="A175:B175"/>
    <mergeCell ref="C175:D175"/>
    <mergeCell ref="E175:F175"/>
    <mergeCell ref="G175:H175"/>
    <mergeCell ref="I175:J175"/>
    <mergeCell ref="K175:L175"/>
    <mergeCell ref="M173:N173"/>
    <mergeCell ref="P173:Q173"/>
    <mergeCell ref="A174:B174"/>
    <mergeCell ref="C174:D174"/>
    <mergeCell ref="E174:F174"/>
    <mergeCell ref="G174:H174"/>
    <mergeCell ref="I174:J174"/>
    <mergeCell ref="K174:L174"/>
    <mergeCell ref="M174:N174"/>
    <mergeCell ref="P174:Q174"/>
    <mergeCell ref="A173:B173"/>
    <mergeCell ref="C173:D173"/>
    <mergeCell ref="E173:F173"/>
    <mergeCell ref="G173:H173"/>
    <mergeCell ref="I173:J173"/>
    <mergeCell ref="K173:L173"/>
    <mergeCell ref="P171:Q171"/>
    <mergeCell ref="A172:B172"/>
    <mergeCell ref="C172:D172"/>
    <mergeCell ref="E172:F172"/>
    <mergeCell ref="G172:H172"/>
    <mergeCell ref="I172:J172"/>
    <mergeCell ref="K172:L172"/>
    <mergeCell ref="M172:N172"/>
    <mergeCell ref="P172:Q172"/>
    <mergeCell ref="K170:L170"/>
    <mergeCell ref="M170:N170"/>
    <mergeCell ref="A171:B171"/>
    <mergeCell ref="C171:D171"/>
    <mergeCell ref="E171:F171"/>
    <mergeCell ref="G171:H171"/>
    <mergeCell ref="I171:J171"/>
    <mergeCell ref="K171:L171"/>
    <mergeCell ref="M171:N171"/>
    <mergeCell ref="C168:D168"/>
    <mergeCell ref="E168:F168"/>
    <mergeCell ref="G168:H168"/>
    <mergeCell ref="I168:J168"/>
    <mergeCell ref="K168:L168"/>
    <mergeCell ref="M168:N168"/>
    <mergeCell ref="A167:B167"/>
    <mergeCell ref="C167:D167"/>
    <mergeCell ref="E167:F167"/>
    <mergeCell ref="G167:H167"/>
    <mergeCell ref="I167:J167"/>
    <mergeCell ref="K167:L167"/>
    <mergeCell ref="M165:N165"/>
    <mergeCell ref="P165:Q165"/>
    <mergeCell ref="A166:B166"/>
    <mergeCell ref="C166:D166"/>
    <mergeCell ref="E166:F166"/>
    <mergeCell ref="G166:H166"/>
    <mergeCell ref="I166:J166"/>
    <mergeCell ref="K166:L166"/>
    <mergeCell ref="M166:N166"/>
    <mergeCell ref="P166:R170"/>
    <mergeCell ref="A165:B165"/>
    <mergeCell ref="C165:D165"/>
    <mergeCell ref="E165:F165"/>
    <mergeCell ref="G165:H165"/>
    <mergeCell ref="I165:J165"/>
    <mergeCell ref="K165:L165"/>
    <mergeCell ref="A169:B169"/>
    <mergeCell ref="A170:B170"/>
    <mergeCell ref="C170:D170"/>
    <mergeCell ref="E170:F170"/>
    <mergeCell ref="G170:H170"/>
    <mergeCell ref="I170:J170"/>
    <mergeCell ref="M167:N167"/>
    <mergeCell ref="A168:B168"/>
    <mergeCell ref="A157:A159"/>
    <mergeCell ref="P157:P159"/>
    <mergeCell ref="A160:B160"/>
    <mergeCell ref="P160:Q160"/>
    <mergeCell ref="A161:B164"/>
    <mergeCell ref="P161:P164"/>
    <mergeCell ref="Q161:R164"/>
    <mergeCell ref="A149:A152"/>
    <mergeCell ref="P149:P152"/>
    <mergeCell ref="A153:A154"/>
    <mergeCell ref="P153:P154"/>
    <mergeCell ref="A155:A156"/>
    <mergeCell ref="P155:P156"/>
    <mergeCell ref="A135:A141"/>
    <mergeCell ref="P135:P141"/>
    <mergeCell ref="A142:A145"/>
    <mergeCell ref="P142:P145"/>
    <mergeCell ref="A146:A148"/>
    <mergeCell ref="P146:P148"/>
    <mergeCell ref="M124:N124"/>
    <mergeCell ref="P124:Q124"/>
    <mergeCell ref="A125:A129"/>
    <mergeCell ref="P125:P129"/>
    <mergeCell ref="A130:A134"/>
    <mergeCell ref="P130:P134"/>
    <mergeCell ref="A124:B124"/>
    <mergeCell ref="C124:D124"/>
    <mergeCell ref="E124:F124"/>
    <mergeCell ref="G124:H124"/>
    <mergeCell ref="I124:J124"/>
    <mergeCell ref="K124:L124"/>
    <mergeCell ref="M122:N122"/>
    <mergeCell ref="P122:Q122"/>
    <mergeCell ref="A123:B123"/>
    <mergeCell ref="C123:D123"/>
    <mergeCell ref="E123:F123"/>
    <mergeCell ref="G123:H123"/>
    <mergeCell ref="I123:J123"/>
    <mergeCell ref="K123:L123"/>
    <mergeCell ref="M123:N123"/>
    <mergeCell ref="P123:Q123"/>
    <mergeCell ref="A122:B122"/>
    <mergeCell ref="C122:D122"/>
    <mergeCell ref="E122:F122"/>
    <mergeCell ref="G122:H122"/>
    <mergeCell ref="I122:J122"/>
    <mergeCell ref="K122:L122"/>
    <mergeCell ref="P120:Q120"/>
    <mergeCell ref="A121:B121"/>
    <mergeCell ref="C121:D121"/>
    <mergeCell ref="E121:F121"/>
    <mergeCell ref="G121:H121"/>
    <mergeCell ref="I121:J121"/>
    <mergeCell ref="K121:L121"/>
    <mergeCell ref="M121:N121"/>
    <mergeCell ref="P121:Q121"/>
    <mergeCell ref="K119:L119"/>
    <mergeCell ref="M119:N119"/>
    <mergeCell ref="A120:B120"/>
    <mergeCell ref="C120:D120"/>
    <mergeCell ref="E120:F120"/>
    <mergeCell ref="G120:H120"/>
    <mergeCell ref="I120:J120"/>
    <mergeCell ref="K120:L120"/>
    <mergeCell ref="M120:N120"/>
    <mergeCell ref="C117:D117"/>
    <mergeCell ref="E117:F117"/>
    <mergeCell ref="G117:H117"/>
    <mergeCell ref="I117:J117"/>
    <mergeCell ref="K117:L117"/>
    <mergeCell ref="M117:N117"/>
    <mergeCell ref="A116:B116"/>
    <mergeCell ref="C116:D116"/>
    <mergeCell ref="E116:F116"/>
    <mergeCell ref="G116:H116"/>
    <mergeCell ref="I116:J116"/>
    <mergeCell ref="K116:L116"/>
    <mergeCell ref="M114:N114"/>
    <mergeCell ref="P114:Q114"/>
    <mergeCell ref="A115:B115"/>
    <mergeCell ref="C115:D115"/>
    <mergeCell ref="E115:F115"/>
    <mergeCell ref="G115:H115"/>
    <mergeCell ref="I115:J115"/>
    <mergeCell ref="K115:L115"/>
    <mergeCell ref="M115:N115"/>
    <mergeCell ref="P115:R119"/>
    <mergeCell ref="A114:B114"/>
    <mergeCell ref="C114:D114"/>
    <mergeCell ref="E114:F114"/>
    <mergeCell ref="G114:H114"/>
    <mergeCell ref="I114:J114"/>
    <mergeCell ref="K114:L114"/>
    <mergeCell ref="A118:B118"/>
    <mergeCell ref="A119:B119"/>
    <mergeCell ref="C119:D119"/>
    <mergeCell ref="E119:F119"/>
    <mergeCell ref="G119:H119"/>
    <mergeCell ref="I119:J119"/>
    <mergeCell ref="M116:N116"/>
    <mergeCell ref="A117:B117"/>
    <mergeCell ref="A106:A108"/>
    <mergeCell ref="P106:P108"/>
    <mergeCell ref="A109:B109"/>
    <mergeCell ref="P109:Q109"/>
    <mergeCell ref="A110:B113"/>
    <mergeCell ref="P110:P113"/>
    <mergeCell ref="Q110:R113"/>
    <mergeCell ref="A97:A100"/>
    <mergeCell ref="P97:P100"/>
    <mergeCell ref="A101:A102"/>
    <mergeCell ref="P101:P102"/>
    <mergeCell ref="A103:A105"/>
    <mergeCell ref="P103:P105"/>
    <mergeCell ref="A83:A89"/>
    <mergeCell ref="P83:P89"/>
    <mergeCell ref="A90:A93"/>
    <mergeCell ref="P90:P93"/>
    <mergeCell ref="A94:A96"/>
    <mergeCell ref="P94:P96"/>
    <mergeCell ref="M70:N70"/>
    <mergeCell ref="P70:Q70"/>
    <mergeCell ref="A71:A75"/>
    <mergeCell ref="P71:P75"/>
    <mergeCell ref="A76:A82"/>
    <mergeCell ref="P76:P82"/>
    <mergeCell ref="A70:B70"/>
    <mergeCell ref="C70:D70"/>
    <mergeCell ref="E70:F70"/>
    <mergeCell ref="G70:H70"/>
    <mergeCell ref="I70:J70"/>
    <mergeCell ref="K70:L70"/>
    <mergeCell ref="M68:N68"/>
    <mergeCell ref="P68:Q68"/>
    <mergeCell ref="A69:B69"/>
    <mergeCell ref="C69:D69"/>
    <mergeCell ref="E69:F69"/>
    <mergeCell ref="G69:H69"/>
    <mergeCell ref="I69:J69"/>
    <mergeCell ref="K69:L69"/>
    <mergeCell ref="M69:N69"/>
    <mergeCell ref="P69:Q69"/>
    <mergeCell ref="A68:B68"/>
    <mergeCell ref="C68:D68"/>
    <mergeCell ref="E68:F68"/>
    <mergeCell ref="G68:H68"/>
    <mergeCell ref="I68:J68"/>
    <mergeCell ref="K68:L68"/>
    <mergeCell ref="P66:Q66"/>
    <mergeCell ref="A67:B67"/>
    <mergeCell ref="C67:D67"/>
    <mergeCell ref="E67:F67"/>
    <mergeCell ref="G67:H67"/>
    <mergeCell ref="I67:J67"/>
    <mergeCell ref="K67:L67"/>
    <mergeCell ref="M67:N67"/>
    <mergeCell ref="P67:Q67"/>
    <mergeCell ref="K65:L65"/>
    <mergeCell ref="M65:N65"/>
    <mergeCell ref="A66:B66"/>
    <mergeCell ref="C66:D66"/>
    <mergeCell ref="E66:F66"/>
    <mergeCell ref="G66:H66"/>
    <mergeCell ref="I66:J66"/>
    <mergeCell ref="K66:L66"/>
    <mergeCell ref="M66:N66"/>
    <mergeCell ref="C63:D63"/>
    <mergeCell ref="E63:F63"/>
    <mergeCell ref="G63:H63"/>
    <mergeCell ref="I63:J63"/>
    <mergeCell ref="K63:L63"/>
    <mergeCell ref="M63:N63"/>
    <mergeCell ref="A62:B62"/>
    <mergeCell ref="C62:D62"/>
    <mergeCell ref="E62:F62"/>
    <mergeCell ref="G62:H62"/>
    <mergeCell ref="I62:J62"/>
    <mergeCell ref="K62:L62"/>
    <mergeCell ref="M60:N60"/>
    <mergeCell ref="P60:Q60"/>
    <mergeCell ref="A61:B61"/>
    <mergeCell ref="C61:D61"/>
    <mergeCell ref="E61:F61"/>
    <mergeCell ref="G61:H61"/>
    <mergeCell ref="I61:J61"/>
    <mergeCell ref="K61:L61"/>
    <mergeCell ref="M61:N61"/>
    <mergeCell ref="P61:R65"/>
    <mergeCell ref="A60:B60"/>
    <mergeCell ref="C60:D60"/>
    <mergeCell ref="E60:F60"/>
    <mergeCell ref="G60:H60"/>
    <mergeCell ref="I60:J60"/>
    <mergeCell ref="K60:L60"/>
    <mergeCell ref="A64:B64"/>
    <mergeCell ref="A65:B65"/>
    <mergeCell ref="C65:D65"/>
    <mergeCell ref="E65:F65"/>
    <mergeCell ref="G65:H65"/>
    <mergeCell ref="I65:J65"/>
    <mergeCell ref="M62:N62"/>
    <mergeCell ref="A63:B63"/>
    <mergeCell ref="A52:A54"/>
    <mergeCell ref="P52:P54"/>
    <mergeCell ref="A55:B55"/>
    <mergeCell ref="P55:Q55"/>
    <mergeCell ref="A56:B59"/>
    <mergeCell ref="P56:P59"/>
    <mergeCell ref="Q56:R59"/>
    <mergeCell ref="A43:A46"/>
    <mergeCell ref="P43:P46"/>
    <mergeCell ref="A47:A48"/>
    <mergeCell ref="P47:P48"/>
    <mergeCell ref="A49:A51"/>
    <mergeCell ref="P49:P51"/>
    <mergeCell ref="A27:A35"/>
    <mergeCell ref="P27:P35"/>
    <mergeCell ref="A36:A39"/>
    <mergeCell ref="P36:P39"/>
    <mergeCell ref="A40:A42"/>
    <mergeCell ref="P40:P42"/>
    <mergeCell ref="M11:N11"/>
    <mergeCell ref="P11:Q11"/>
    <mergeCell ref="A12:A16"/>
    <mergeCell ref="P12:P16"/>
    <mergeCell ref="A17:A26"/>
    <mergeCell ref="P17:P26"/>
    <mergeCell ref="A11:B11"/>
    <mergeCell ref="C11:D11"/>
    <mergeCell ref="E11:F11"/>
    <mergeCell ref="G11:H11"/>
    <mergeCell ref="I11:J11"/>
    <mergeCell ref="K11:L11"/>
    <mergeCell ref="M9:N9"/>
    <mergeCell ref="P9:Q9"/>
    <mergeCell ref="A10:B10"/>
    <mergeCell ref="C10:D10"/>
    <mergeCell ref="E10:F10"/>
    <mergeCell ref="G10:H10"/>
    <mergeCell ref="I10:J10"/>
    <mergeCell ref="K10:L10"/>
    <mergeCell ref="M10:N10"/>
    <mergeCell ref="P10:Q10"/>
    <mergeCell ref="A9:B9"/>
    <mergeCell ref="C9:D9"/>
    <mergeCell ref="E9:F9"/>
    <mergeCell ref="G9:H9"/>
    <mergeCell ref="I9:J9"/>
    <mergeCell ref="K9:L9"/>
    <mergeCell ref="P7:Q7"/>
    <mergeCell ref="A8:B8"/>
    <mergeCell ref="C8:D8"/>
    <mergeCell ref="E8:F8"/>
    <mergeCell ref="G8:H8"/>
    <mergeCell ref="I8:J8"/>
    <mergeCell ref="K8:L8"/>
    <mergeCell ref="M8:N8"/>
    <mergeCell ref="P8:Q8"/>
    <mergeCell ref="K6:L6"/>
    <mergeCell ref="M6:N6"/>
    <mergeCell ref="A7:B7"/>
    <mergeCell ref="C7:D7"/>
    <mergeCell ref="E7:F7"/>
    <mergeCell ref="G7:H7"/>
    <mergeCell ref="I7:J7"/>
    <mergeCell ref="K7:L7"/>
    <mergeCell ref="M7:N7"/>
    <mergeCell ref="C4:D4"/>
    <mergeCell ref="E4:F4"/>
    <mergeCell ref="G4:H4"/>
    <mergeCell ref="I4:J4"/>
    <mergeCell ref="K4:L4"/>
    <mergeCell ref="M4:N4"/>
    <mergeCell ref="A3:B3"/>
    <mergeCell ref="C3:D3"/>
    <mergeCell ref="E3:F3"/>
    <mergeCell ref="G3:H3"/>
    <mergeCell ref="I3:J3"/>
    <mergeCell ref="K3:L3"/>
    <mergeCell ref="M1:N1"/>
    <mergeCell ref="P1:Q1"/>
    <mergeCell ref="A2:B2"/>
    <mergeCell ref="C2:D2"/>
    <mergeCell ref="E2:F2"/>
    <mergeCell ref="G2:H2"/>
    <mergeCell ref="I2:J2"/>
    <mergeCell ref="K2:L2"/>
    <mergeCell ref="M2:N2"/>
    <mergeCell ref="P2:R6"/>
    <mergeCell ref="A1:B1"/>
    <mergeCell ref="C1:D1"/>
    <mergeCell ref="E1:F1"/>
    <mergeCell ref="G1:H1"/>
    <mergeCell ref="I1:J1"/>
    <mergeCell ref="K1:L1"/>
    <mergeCell ref="A5:B5"/>
    <mergeCell ref="A6:B6"/>
    <mergeCell ref="C6:D6"/>
    <mergeCell ref="E6:F6"/>
    <mergeCell ref="G6:H6"/>
    <mergeCell ref="I6:J6"/>
    <mergeCell ref="M3:N3"/>
    <mergeCell ref="A4:B4"/>
  </mergeCells>
  <phoneticPr fontId="26" type="noConversion"/>
  <printOptions horizontalCentered="1" verticalCentered="1"/>
  <pageMargins left="0" right="0" top="0" bottom="0" header="0" footer="0"/>
  <pageSetup paperSize="9" scale="68" orientation="landscape" r:id="rId1"/>
  <rowBreaks count="2" manualBreakCount="2">
    <brk id="153" max="1048575" man="1"/>
    <brk id="204" max="104857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7375E"/>
  </sheetPr>
  <dimension ref="A1:S267"/>
  <sheetViews>
    <sheetView view="pageBreakPreview" zoomScale="55" zoomScaleNormal="100" zoomScaleSheetLayoutView="55" workbookViewId="0">
      <pane ySplit="11" topLeftCell="A22" activePane="bottomLeft" state="frozen"/>
      <selection pane="bottomLeft" activeCell="G30" sqref="G30"/>
    </sheetView>
  </sheetViews>
  <sheetFormatPr defaultColWidth="8.625" defaultRowHeight="16.5" x14ac:dyDescent="0.3"/>
  <cols>
    <col min="1" max="1" width="7.75" style="5" customWidth="1"/>
    <col min="2" max="2" width="13.625" style="3" customWidth="1"/>
    <col min="3" max="3" width="15.125" style="3" customWidth="1"/>
    <col min="4" max="4" width="5.25" style="16" customWidth="1"/>
    <col min="5" max="5" width="15.125" style="3" customWidth="1"/>
    <col min="6" max="6" width="5.25" style="16" customWidth="1"/>
    <col min="7" max="7" width="15.125" style="3" customWidth="1"/>
    <col min="8" max="8" width="5.25" style="16" customWidth="1"/>
    <col min="9" max="9" width="15.125" style="4" customWidth="1"/>
    <col min="10" max="10" width="5.25" style="16" customWidth="1"/>
    <col min="11" max="11" width="15.125" style="185" customWidth="1"/>
    <col min="12" max="12" width="5.25" style="16" customWidth="1"/>
    <col min="13" max="13" width="15.125" style="4" customWidth="1"/>
    <col min="14" max="14" width="5.25" style="78" customWidth="1"/>
    <col min="15" max="15" width="3.625" style="4" customWidth="1"/>
    <col min="16" max="16" width="6.625" style="5" customWidth="1"/>
    <col min="17" max="17" width="12.5" style="3" customWidth="1"/>
    <col min="18" max="18" width="11.625" style="17" customWidth="1"/>
  </cols>
  <sheetData>
    <row r="1" spans="1:18" s="1" customFormat="1" ht="19.5" customHeight="1" x14ac:dyDescent="0.3">
      <c r="A1" s="652" t="s">
        <v>110</v>
      </c>
      <c r="B1" s="653"/>
      <c r="C1" s="688" t="s">
        <v>98</v>
      </c>
      <c r="D1" s="694"/>
      <c r="E1" s="688" t="s">
        <v>98</v>
      </c>
      <c r="F1" s="694"/>
      <c r="G1" s="688" t="s">
        <v>98</v>
      </c>
      <c r="H1" s="694"/>
      <c r="I1" s="688" t="s">
        <v>98</v>
      </c>
      <c r="J1" s="694"/>
      <c r="K1" s="688" t="s">
        <v>98</v>
      </c>
      <c r="L1" s="694"/>
      <c r="M1" s="688" t="s">
        <v>98</v>
      </c>
      <c r="N1" s="689"/>
      <c r="O1" s="136"/>
      <c r="P1" s="650" t="s">
        <v>15</v>
      </c>
      <c r="Q1" s="651"/>
      <c r="R1" s="137">
        <f ca="1">TODAY()</f>
        <v>46140</v>
      </c>
    </row>
    <row r="2" spans="1:18" ht="15" customHeight="1" x14ac:dyDescent="0.3">
      <c r="A2" s="647" t="s">
        <v>49</v>
      </c>
      <c r="B2" s="648"/>
      <c r="C2" s="696" t="s">
        <v>102</v>
      </c>
      <c r="D2" s="690"/>
      <c r="E2" s="690" t="s">
        <v>101</v>
      </c>
      <c r="F2" s="691"/>
      <c r="G2" s="690" t="s">
        <v>137</v>
      </c>
      <c r="H2" s="691"/>
      <c r="I2" s="690" t="s">
        <v>136</v>
      </c>
      <c r="J2" s="691"/>
      <c r="K2" s="690" t="s">
        <v>104</v>
      </c>
      <c r="L2" s="691"/>
      <c r="M2" s="696" t="s">
        <v>108</v>
      </c>
      <c r="N2" s="717"/>
      <c r="O2" s="25"/>
      <c r="P2" s="679"/>
      <c r="Q2" s="680"/>
      <c r="R2" s="681"/>
    </row>
    <row r="3" spans="1:18" ht="15" customHeight="1" x14ac:dyDescent="0.3">
      <c r="A3" s="637" t="s">
        <v>28</v>
      </c>
      <c r="B3" s="638"/>
      <c r="C3" s="690" t="s">
        <v>99</v>
      </c>
      <c r="D3" s="691"/>
      <c r="E3" s="690" t="s">
        <v>99</v>
      </c>
      <c r="F3" s="691"/>
      <c r="G3" s="690" t="s">
        <v>99</v>
      </c>
      <c r="H3" s="691"/>
      <c r="I3" s="690" t="s">
        <v>99</v>
      </c>
      <c r="J3" s="691"/>
      <c r="K3" s="690" t="s">
        <v>99</v>
      </c>
      <c r="L3" s="691"/>
      <c r="M3" s="690" t="s">
        <v>99</v>
      </c>
      <c r="N3" s="693"/>
      <c r="O3" s="25"/>
      <c r="P3" s="682"/>
      <c r="Q3" s="683"/>
      <c r="R3" s="684"/>
    </row>
    <row r="4" spans="1:18" ht="15" customHeight="1" x14ac:dyDescent="0.3">
      <c r="A4" s="647" t="s">
        <v>17</v>
      </c>
      <c r="B4" s="648"/>
      <c r="C4" s="718">
        <v>45523</v>
      </c>
      <c r="D4" s="690"/>
      <c r="E4" s="697">
        <v>45540</v>
      </c>
      <c r="F4" s="698"/>
      <c r="G4" s="697">
        <v>45545</v>
      </c>
      <c r="H4" s="698"/>
      <c r="I4" s="718">
        <v>45546</v>
      </c>
      <c r="J4" s="690"/>
      <c r="K4" s="718">
        <v>45819</v>
      </c>
      <c r="L4" s="696"/>
      <c r="M4" s="718">
        <v>45820</v>
      </c>
      <c r="N4" s="717"/>
      <c r="O4" s="25"/>
      <c r="P4" s="682"/>
      <c r="Q4" s="683"/>
      <c r="R4" s="684"/>
    </row>
    <row r="5" spans="1:18" ht="15" customHeight="1" x14ac:dyDescent="0.3">
      <c r="A5" s="647" t="s">
        <v>23</v>
      </c>
      <c r="B5" s="648"/>
      <c r="C5" s="61">
        <v>30</v>
      </c>
      <c r="D5" s="62">
        <f ca="1">IF(DATEDIF(C4,$R$1,"m")&lt;C5*12,DATEDIF(C4,$R$1,"m"),C5*12)</f>
        <v>20</v>
      </c>
      <c r="E5" s="61">
        <v>30</v>
      </c>
      <c r="F5" s="247">
        <f ca="1">IF(DATEDIF(E4,$R$1,"m")&lt;E5*12,DATEDIF(E4,$R$1,"m"),E5*12)</f>
        <v>19</v>
      </c>
      <c r="G5" s="61">
        <v>15</v>
      </c>
      <c r="H5" s="62">
        <f ca="1">IF(DATEDIF(G4,$R$1,"m")&lt;G5*12,DATEDIF(G4,$R$1,"m"),G5*12)</f>
        <v>19</v>
      </c>
      <c r="I5" s="61">
        <v>20</v>
      </c>
      <c r="J5" s="228">
        <f ca="1">IF(DATEDIF(I4,$R$1,"m")&lt;I5*12,DATEDIF(I4,$R$1,"m"),I5*12)</f>
        <v>19</v>
      </c>
      <c r="K5" s="227">
        <v>30</v>
      </c>
      <c r="L5" s="62">
        <f ca="1">IF(DATEDIF(K4,$R$1,"m")&lt;K5*12,DATEDIF(K4,$R$1,"m"),K5*12)</f>
        <v>10</v>
      </c>
      <c r="M5" s="61">
        <v>10</v>
      </c>
      <c r="N5" s="65">
        <f ca="1">IF(DATEDIF(M4,$R$1,"m")&lt;M5*12,DATEDIF(M4,$R$1,"m"),M5*12)</f>
        <v>10</v>
      </c>
      <c r="O5" s="25"/>
      <c r="P5" s="682"/>
      <c r="Q5" s="683"/>
      <c r="R5" s="684"/>
    </row>
    <row r="6" spans="1:18" ht="15" customHeight="1" x14ac:dyDescent="0.3">
      <c r="A6" s="647" t="s">
        <v>2</v>
      </c>
      <c r="B6" s="648"/>
      <c r="C6" s="696" t="s">
        <v>96</v>
      </c>
      <c r="D6" s="696"/>
      <c r="E6" s="696" t="s">
        <v>103</v>
      </c>
      <c r="F6" s="690"/>
      <c r="G6" s="696" t="s">
        <v>105</v>
      </c>
      <c r="H6" s="696"/>
      <c r="I6" s="696" t="s">
        <v>106</v>
      </c>
      <c r="J6" s="696"/>
      <c r="K6" s="696" t="s">
        <v>103</v>
      </c>
      <c r="L6" s="696"/>
      <c r="M6" s="690" t="s">
        <v>105</v>
      </c>
      <c r="N6" s="693"/>
      <c r="O6" s="25"/>
      <c r="P6" s="685"/>
      <c r="Q6" s="686"/>
      <c r="R6" s="687"/>
    </row>
    <row r="7" spans="1:18" ht="15" customHeight="1" x14ac:dyDescent="0.3">
      <c r="A7" s="632" t="s">
        <v>37</v>
      </c>
      <c r="B7" s="633"/>
      <c r="C7" s="701" t="s">
        <v>109</v>
      </c>
      <c r="D7" s="702"/>
      <c r="E7" s="701" t="s">
        <v>123</v>
      </c>
      <c r="F7" s="702"/>
      <c r="G7" s="701" t="s">
        <v>124</v>
      </c>
      <c r="H7" s="702"/>
      <c r="I7" s="701" t="s">
        <v>138</v>
      </c>
      <c r="J7" s="702"/>
      <c r="K7" s="701" t="s">
        <v>109</v>
      </c>
      <c r="L7" s="702"/>
      <c r="M7" s="701" t="s">
        <v>146</v>
      </c>
      <c r="N7" s="704"/>
      <c r="O7" s="25"/>
      <c r="P7" s="643"/>
      <c r="Q7" s="644"/>
      <c r="R7" s="27" t="s">
        <v>91</v>
      </c>
    </row>
    <row r="8" spans="1:18" ht="15" customHeight="1" x14ac:dyDescent="0.3">
      <c r="A8" s="639" t="s">
        <v>12</v>
      </c>
      <c r="B8" s="640"/>
      <c r="C8" s="705">
        <v>165676</v>
      </c>
      <c r="D8" s="705"/>
      <c r="E8" s="706">
        <v>52102</v>
      </c>
      <c r="F8" s="707"/>
      <c r="G8" s="705">
        <v>148688</v>
      </c>
      <c r="H8" s="705"/>
      <c r="I8" s="705">
        <v>20000</v>
      </c>
      <c r="J8" s="705"/>
      <c r="K8" s="705">
        <v>221395</v>
      </c>
      <c r="L8" s="705"/>
      <c r="M8" s="705">
        <v>140000</v>
      </c>
      <c r="N8" s="720"/>
      <c r="O8" s="26"/>
      <c r="P8" s="637" t="s">
        <v>34</v>
      </c>
      <c r="Q8" s="638"/>
      <c r="R8" s="79">
        <f>SUM(B8:N8)</f>
        <v>747861</v>
      </c>
    </row>
    <row r="9" spans="1:18" ht="15" customHeight="1" x14ac:dyDescent="0.3">
      <c r="A9" s="637" t="s">
        <v>3</v>
      </c>
      <c r="B9" s="638"/>
      <c r="C9" s="709">
        <f>C8*C5*12</f>
        <v>59643360</v>
      </c>
      <c r="D9" s="711"/>
      <c r="E9" s="709">
        <f>E8*E5*12</f>
        <v>18756720</v>
      </c>
      <c r="F9" s="712"/>
      <c r="G9" s="709">
        <f>G8*G5*12</f>
        <v>26763840</v>
      </c>
      <c r="H9" s="711"/>
      <c r="I9" s="709">
        <f>I8*I5*12</f>
        <v>4800000</v>
      </c>
      <c r="J9" s="711"/>
      <c r="K9" s="709">
        <f>K8*K5*12</f>
        <v>79702200</v>
      </c>
      <c r="L9" s="711"/>
      <c r="M9" s="709">
        <f>M8*M5*12</f>
        <v>16800000</v>
      </c>
      <c r="N9" s="710"/>
      <c r="O9" s="26"/>
      <c r="P9" s="637" t="s">
        <v>33</v>
      </c>
      <c r="Q9" s="638"/>
      <c r="R9" s="80">
        <f t="shared" ref="R9:R11" si="0">SUM(B9:N9)</f>
        <v>206466120</v>
      </c>
    </row>
    <row r="10" spans="1:18" ht="15" customHeight="1" x14ac:dyDescent="0.3">
      <c r="A10" s="637" t="s">
        <v>4</v>
      </c>
      <c r="B10" s="638"/>
      <c r="C10" s="709">
        <f ca="1">C8*D5</f>
        <v>3313520</v>
      </c>
      <c r="D10" s="711"/>
      <c r="E10" s="709">
        <f ca="1">E8*F5</f>
        <v>989938</v>
      </c>
      <c r="F10" s="712"/>
      <c r="G10" s="709">
        <f ca="1">G8*H5</f>
        <v>2825072</v>
      </c>
      <c r="H10" s="711"/>
      <c r="I10" s="709">
        <f ca="1">I8*J5</f>
        <v>380000</v>
      </c>
      <c r="J10" s="711"/>
      <c r="K10" s="709">
        <f ca="1">K8*L5</f>
        <v>2213950</v>
      </c>
      <c r="L10" s="711"/>
      <c r="M10" s="709">
        <f ca="1">M8*N5</f>
        <v>1400000</v>
      </c>
      <c r="N10" s="710"/>
      <c r="O10" s="26"/>
      <c r="P10" s="637" t="s">
        <v>31</v>
      </c>
      <c r="Q10" s="638"/>
      <c r="R10" s="80">
        <f t="shared" ca="1" si="0"/>
        <v>11122480</v>
      </c>
    </row>
    <row r="11" spans="1:18" ht="15" customHeight="1" thickBot="1" x14ac:dyDescent="0.35">
      <c r="A11" s="632" t="s">
        <v>18</v>
      </c>
      <c r="B11" s="633"/>
      <c r="C11" s="709">
        <f ca="1">C9-C10</f>
        <v>56329840</v>
      </c>
      <c r="D11" s="711"/>
      <c r="E11" s="709">
        <f ca="1">E9-E10</f>
        <v>17766782</v>
      </c>
      <c r="F11" s="712"/>
      <c r="G11" s="709">
        <f ca="1">G9-G10</f>
        <v>23938768</v>
      </c>
      <c r="H11" s="711"/>
      <c r="I11" s="709">
        <f ca="1">I9-I10</f>
        <v>4420000</v>
      </c>
      <c r="J11" s="711"/>
      <c r="K11" s="709">
        <f ca="1">K9-K10</f>
        <v>77488250</v>
      </c>
      <c r="L11" s="711"/>
      <c r="M11" s="709">
        <f ca="1">M9-M10</f>
        <v>15400000</v>
      </c>
      <c r="N11" s="710"/>
      <c r="O11" s="26"/>
      <c r="P11" s="663" t="s">
        <v>35</v>
      </c>
      <c r="Q11" s="664"/>
      <c r="R11" s="80">
        <f t="shared" ca="1" si="0"/>
        <v>195343640</v>
      </c>
    </row>
    <row r="12" spans="1:18" ht="15" customHeight="1" x14ac:dyDescent="0.3">
      <c r="A12" s="729" t="s">
        <v>147</v>
      </c>
      <c r="B12" s="324" t="s">
        <v>149</v>
      </c>
      <c r="C12" s="8"/>
      <c r="D12" s="258"/>
      <c r="E12" s="8"/>
      <c r="F12" s="273"/>
      <c r="G12" s="8"/>
      <c r="H12" s="212"/>
      <c r="I12" s="8"/>
      <c r="J12" s="212"/>
      <c r="K12" s="8"/>
      <c r="L12" s="258"/>
      <c r="M12" s="8"/>
      <c r="N12" s="191"/>
      <c r="O12" s="6"/>
      <c r="P12" s="729" t="s">
        <v>147</v>
      </c>
      <c r="Q12" s="324" t="s">
        <v>149</v>
      </c>
      <c r="R12" s="81">
        <f>C12+E12+G12+I12+K12+M12</f>
        <v>0</v>
      </c>
    </row>
    <row r="13" spans="1:18" ht="15" customHeight="1" x14ac:dyDescent="0.3">
      <c r="A13" s="730"/>
      <c r="B13" s="325" t="s">
        <v>150</v>
      </c>
      <c r="C13" s="9"/>
      <c r="D13" s="259"/>
      <c r="E13" s="9"/>
      <c r="F13" s="274"/>
      <c r="G13" s="9"/>
      <c r="H13" s="187"/>
      <c r="I13" s="9"/>
      <c r="J13" s="187"/>
      <c r="K13" s="9"/>
      <c r="L13" s="259"/>
      <c r="M13" s="9"/>
      <c r="N13" s="190"/>
      <c r="O13" s="6"/>
      <c r="P13" s="730"/>
      <c r="Q13" s="325" t="s">
        <v>150</v>
      </c>
      <c r="R13" s="82">
        <f t="shared" ref="R13:R40" si="1">C13+E13+G13+I13+K13+M13</f>
        <v>0</v>
      </c>
    </row>
    <row r="14" spans="1:18" ht="15" customHeight="1" x14ac:dyDescent="0.3">
      <c r="A14" s="730"/>
      <c r="B14" s="325" t="s">
        <v>151</v>
      </c>
      <c r="C14" s="9"/>
      <c r="D14" s="259"/>
      <c r="E14" s="9"/>
      <c r="F14" s="274"/>
      <c r="G14" s="9"/>
      <c r="H14" s="187"/>
      <c r="I14" s="9"/>
      <c r="J14" s="187"/>
      <c r="K14" s="9"/>
      <c r="L14" s="259"/>
      <c r="M14" s="9"/>
      <c r="N14" s="190"/>
      <c r="O14" s="6"/>
      <c r="P14" s="730"/>
      <c r="Q14" s="325" t="s">
        <v>151</v>
      </c>
      <c r="R14" s="82">
        <f t="shared" si="1"/>
        <v>0</v>
      </c>
    </row>
    <row r="15" spans="1:18" ht="15" customHeight="1" x14ac:dyDescent="0.3">
      <c r="A15" s="730"/>
      <c r="B15" s="325" t="s">
        <v>148</v>
      </c>
      <c r="C15" s="9"/>
      <c r="D15" s="259"/>
      <c r="E15" s="9"/>
      <c r="F15" s="274"/>
      <c r="G15" s="9"/>
      <c r="H15" s="187"/>
      <c r="I15" s="9"/>
      <c r="J15" s="187"/>
      <c r="K15" s="9"/>
      <c r="L15" s="259"/>
      <c r="M15" s="9"/>
      <c r="N15" s="190"/>
      <c r="O15" s="6"/>
      <c r="P15" s="730"/>
      <c r="Q15" s="325" t="s">
        <v>148</v>
      </c>
      <c r="R15" s="82">
        <f t="shared" si="1"/>
        <v>0</v>
      </c>
    </row>
    <row r="16" spans="1:18" ht="15" customHeight="1" thickBot="1" x14ac:dyDescent="0.35">
      <c r="A16" s="731"/>
      <c r="B16" s="141" t="s">
        <v>89</v>
      </c>
      <c r="C16" s="42"/>
      <c r="D16" s="262"/>
      <c r="E16" s="7"/>
      <c r="F16" s="275"/>
      <c r="G16" s="7"/>
      <c r="H16" s="213"/>
      <c r="I16" s="7"/>
      <c r="J16" s="213"/>
      <c r="K16" s="42"/>
      <c r="L16" s="262"/>
      <c r="M16" s="7"/>
      <c r="N16" s="192"/>
      <c r="O16" s="6"/>
      <c r="P16" s="731"/>
      <c r="Q16" s="141" t="s">
        <v>89</v>
      </c>
      <c r="R16" s="83">
        <f t="shared" si="1"/>
        <v>0</v>
      </c>
    </row>
    <row r="17" spans="1:18" ht="15" customHeight="1" x14ac:dyDescent="0.3">
      <c r="A17" s="626" t="s">
        <v>50</v>
      </c>
      <c r="B17" s="344" t="s">
        <v>168</v>
      </c>
      <c r="C17" s="8">
        <v>30000000</v>
      </c>
      <c r="D17" s="294" t="s">
        <v>119</v>
      </c>
      <c r="E17" s="9"/>
      <c r="F17" s="248"/>
      <c r="G17" s="9"/>
      <c r="H17" s="248"/>
      <c r="I17" s="9"/>
      <c r="J17" s="248"/>
      <c r="K17" s="8">
        <v>30000000</v>
      </c>
      <c r="L17" s="313" t="s">
        <v>119</v>
      </c>
      <c r="M17" s="8"/>
      <c r="N17" s="256"/>
      <c r="O17" s="6"/>
      <c r="P17" s="626" t="s">
        <v>50</v>
      </c>
      <c r="Q17" s="344" t="s">
        <v>168</v>
      </c>
      <c r="R17" s="81">
        <f>C17+E17+G17+I17+K17+M17</f>
        <v>60000000</v>
      </c>
    </row>
    <row r="18" spans="1:18" ht="15" customHeight="1" x14ac:dyDescent="0.3">
      <c r="A18" s="627"/>
      <c r="B18" s="343" t="s">
        <v>163</v>
      </c>
      <c r="C18" s="9"/>
      <c r="D18" s="295"/>
      <c r="E18" s="9"/>
      <c r="F18" s="248"/>
      <c r="G18" s="9"/>
      <c r="H18" s="248"/>
      <c r="I18" s="9"/>
      <c r="J18" s="248"/>
      <c r="K18" s="9"/>
      <c r="L18" s="312"/>
      <c r="M18" s="9"/>
      <c r="N18" s="256"/>
      <c r="O18" s="6"/>
      <c r="P18" s="627"/>
      <c r="Q18" s="343" t="s">
        <v>163</v>
      </c>
      <c r="R18" s="82">
        <f t="shared" si="1"/>
        <v>0</v>
      </c>
    </row>
    <row r="19" spans="1:18" ht="15" customHeight="1" x14ac:dyDescent="0.3">
      <c r="A19" s="627"/>
      <c r="B19" s="326" t="s">
        <v>162</v>
      </c>
      <c r="C19" s="9">
        <v>2500000</v>
      </c>
      <c r="D19" s="296" t="s">
        <v>118</v>
      </c>
      <c r="E19" s="9"/>
      <c r="F19" s="248"/>
      <c r="G19" s="9"/>
      <c r="H19" s="248"/>
      <c r="I19" s="9"/>
      <c r="J19" s="248"/>
      <c r="K19" s="9"/>
      <c r="L19" s="312"/>
      <c r="M19" s="10"/>
      <c r="N19" s="256"/>
      <c r="O19" s="6"/>
      <c r="P19" s="627"/>
      <c r="Q19" s="326" t="s">
        <v>162</v>
      </c>
      <c r="R19" s="82">
        <f t="shared" si="1"/>
        <v>2500000</v>
      </c>
    </row>
    <row r="20" spans="1:18" ht="15" customHeight="1" x14ac:dyDescent="0.3">
      <c r="A20" s="627"/>
      <c r="B20" s="343" t="s">
        <v>164</v>
      </c>
      <c r="C20" s="9">
        <v>10000000</v>
      </c>
      <c r="D20" s="296" t="s">
        <v>119</v>
      </c>
      <c r="E20" s="9"/>
      <c r="F20" s="248"/>
      <c r="G20" s="9"/>
      <c r="H20" s="248"/>
      <c r="I20" s="9"/>
      <c r="J20" s="248"/>
      <c r="K20" s="9"/>
      <c r="L20" s="312"/>
      <c r="M20" s="43"/>
      <c r="N20" s="256"/>
      <c r="O20" s="6"/>
      <c r="P20" s="627"/>
      <c r="Q20" s="343" t="s">
        <v>164</v>
      </c>
      <c r="R20" s="82">
        <f t="shared" si="1"/>
        <v>10000000</v>
      </c>
    </row>
    <row r="21" spans="1:18" ht="15" customHeight="1" x14ac:dyDescent="0.3">
      <c r="A21" s="627"/>
      <c r="B21" s="326" t="s">
        <v>165</v>
      </c>
      <c r="C21" s="9"/>
      <c r="D21" s="296"/>
      <c r="E21" s="9"/>
      <c r="F21" s="248"/>
      <c r="G21" s="9"/>
      <c r="H21" s="248"/>
      <c r="I21" s="9"/>
      <c r="J21" s="248"/>
      <c r="K21" s="9"/>
      <c r="L21" s="312"/>
      <c r="M21" s="43"/>
      <c r="N21" s="256"/>
      <c r="O21" s="6"/>
      <c r="P21" s="627"/>
      <c r="Q21" s="326" t="s">
        <v>165</v>
      </c>
      <c r="R21" s="82">
        <f t="shared" si="1"/>
        <v>0</v>
      </c>
    </row>
    <row r="22" spans="1:18" ht="15" customHeight="1" x14ac:dyDescent="0.3">
      <c r="A22" s="627"/>
      <c r="B22" s="326" t="s">
        <v>184</v>
      </c>
      <c r="C22" s="9"/>
      <c r="D22" s="296"/>
      <c r="E22" s="9"/>
      <c r="F22" s="248"/>
      <c r="G22" s="9"/>
      <c r="H22" s="248"/>
      <c r="I22" s="9"/>
      <c r="J22" s="248"/>
      <c r="K22" s="9"/>
      <c r="L22" s="312"/>
      <c r="M22" s="43"/>
      <c r="N22" s="256"/>
      <c r="O22" s="6"/>
      <c r="P22" s="627"/>
      <c r="Q22" s="326" t="s">
        <v>184</v>
      </c>
      <c r="R22" s="82">
        <f t="shared" si="1"/>
        <v>0</v>
      </c>
    </row>
    <row r="23" spans="1:18" ht="15" customHeight="1" x14ac:dyDescent="0.3">
      <c r="A23" s="627"/>
      <c r="B23" s="326" t="s">
        <v>185</v>
      </c>
      <c r="C23" s="9"/>
      <c r="D23" s="296"/>
      <c r="E23" s="9"/>
      <c r="F23" s="248"/>
      <c r="G23" s="9"/>
      <c r="H23" s="248"/>
      <c r="I23" s="9"/>
      <c r="J23" s="248"/>
      <c r="K23" s="9"/>
      <c r="L23" s="312"/>
      <c r="M23" s="43"/>
      <c r="N23" s="256"/>
      <c r="O23" s="6"/>
      <c r="P23" s="627"/>
      <c r="Q23" s="326" t="s">
        <v>185</v>
      </c>
      <c r="R23" s="82">
        <f t="shared" si="1"/>
        <v>0</v>
      </c>
    </row>
    <row r="24" spans="1:18" ht="15" customHeight="1" x14ac:dyDescent="0.3">
      <c r="A24" s="627"/>
      <c r="B24" s="343" t="s">
        <v>166</v>
      </c>
      <c r="C24" s="9">
        <v>10000000</v>
      </c>
      <c r="D24" s="296" t="s">
        <v>118</v>
      </c>
      <c r="E24" s="35"/>
      <c r="F24" s="280"/>
      <c r="G24" s="35"/>
      <c r="H24" s="248"/>
      <c r="I24" s="35"/>
      <c r="J24" s="248"/>
      <c r="K24" s="35"/>
      <c r="L24" s="312"/>
      <c r="M24" s="49"/>
      <c r="N24" s="256"/>
      <c r="O24" s="6"/>
      <c r="P24" s="627"/>
      <c r="Q24" s="343" t="s">
        <v>166</v>
      </c>
      <c r="R24" s="82">
        <f t="shared" si="1"/>
        <v>10000000</v>
      </c>
    </row>
    <row r="25" spans="1:18" ht="15" customHeight="1" x14ac:dyDescent="0.3">
      <c r="A25" s="627"/>
      <c r="B25" s="326" t="s">
        <v>167</v>
      </c>
      <c r="C25" s="35">
        <v>50000000</v>
      </c>
      <c r="D25" s="345" t="s">
        <v>192</v>
      </c>
      <c r="E25" s="35"/>
      <c r="F25" s="280"/>
      <c r="G25" s="35"/>
      <c r="H25" s="248"/>
      <c r="I25" s="35"/>
      <c r="J25" s="248"/>
      <c r="K25" s="35"/>
      <c r="L25" s="312"/>
      <c r="M25" s="49"/>
      <c r="N25" s="256"/>
      <c r="O25" s="6"/>
      <c r="P25" s="627"/>
      <c r="Q25" s="326" t="s">
        <v>167</v>
      </c>
      <c r="R25" s="82">
        <f t="shared" si="1"/>
        <v>50000000</v>
      </c>
    </row>
    <row r="26" spans="1:18" ht="15" customHeight="1" thickBot="1" x14ac:dyDescent="0.35">
      <c r="A26" s="627"/>
      <c r="B26" s="327" t="s">
        <v>186</v>
      </c>
      <c r="C26" s="7"/>
      <c r="D26" s="293"/>
      <c r="E26" s="7"/>
      <c r="F26" s="286"/>
      <c r="G26" s="7"/>
      <c r="H26" s="248"/>
      <c r="I26" s="7"/>
      <c r="J26" s="248"/>
      <c r="K26" s="7"/>
      <c r="L26" s="312"/>
      <c r="M26" s="7"/>
      <c r="N26" s="256"/>
      <c r="O26" s="6"/>
      <c r="P26" s="627"/>
      <c r="Q26" s="327" t="s">
        <v>186</v>
      </c>
      <c r="R26" s="82">
        <f t="shared" si="1"/>
        <v>0</v>
      </c>
    </row>
    <row r="27" spans="1:18" ht="15" customHeight="1" x14ac:dyDescent="0.3">
      <c r="A27" s="721" t="s">
        <v>19</v>
      </c>
      <c r="B27" s="346" t="s">
        <v>193</v>
      </c>
      <c r="C27" s="9"/>
      <c r="D27" s="258"/>
      <c r="E27" s="9"/>
      <c r="F27" s="212"/>
      <c r="G27" s="9"/>
      <c r="H27" s="212"/>
      <c r="I27" s="9"/>
      <c r="J27" s="212"/>
      <c r="K27" s="9">
        <v>10000000</v>
      </c>
      <c r="L27" s="313" t="s">
        <v>118</v>
      </c>
      <c r="M27" s="8"/>
      <c r="N27" s="255"/>
      <c r="O27" s="6"/>
      <c r="P27" s="721" t="str">
        <f>A27</f>
        <v>2대
질병</v>
      </c>
      <c r="Q27" s="145" t="s">
        <v>51</v>
      </c>
      <c r="R27" s="81">
        <f>C27+E27+G27+I27+K27+M27</f>
        <v>10000000</v>
      </c>
    </row>
    <row r="28" spans="1:18" ht="15" customHeight="1" x14ac:dyDescent="0.3">
      <c r="A28" s="722"/>
      <c r="B28" s="347" t="s">
        <v>194</v>
      </c>
      <c r="C28" s="9"/>
      <c r="D28" s="260"/>
      <c r="E28" s="10"/>
      <c r="F28" s="248"/>
      <c r="G28" s="9"/>
      <c r="H28" s="248"/>
      <c r="I28" s="9"/>
      <c r="J28" s="248"/>
      <c r="K28" s="9"/>
      <c r="L28" s="312"/>
      <c r="M28" s="10"/>
      <c r="N28" s="256"/>
      <c r="O28" s="6"/>
      <c r="P28" s="722"/>
      <c r="Q28" s="146" t="s">
        <v>43</v>
      </c>
      <c r="R28" s="82">
        <f t="shared" si="1"/>
        <v>0</v>
      </c>
    </row>
    <row r="29" spans="1:18" ht="15" customHeight="1" thickBot="1" x14ac:dyDescent="0.35">
      <c r="A29" s="722"/>
      <c r="B29" s="348" t="s">
        <v>195</v>
      </c>
      <c r="C29" s="36"/>
      <c r="D29" s="261"/>
      <c r="E29" s="36"/>
      <c r="F29" s="277"/>
      <c r="G29" s="36"/>
      <c r="H29" s="277"/>
      <c r="I29" s="36"/>
      <c r="J29" s="277"/>
      <c r="K29" s="36"/>
      <c r="L29" s="319"/>
      <c r="M29" s="36"/>
      <c r="N29" s="254"/>
      <c r="O29" s="6"/>
      <c r="P29" s="722"/>
      <c r="Q29" s="147" t="s">
        <v>53</v>
      </c>
      <c r="R29" s="84">
        <f t="shared" si="1"/>
        <v>0</v>
      </c>
    </row>
    <row r="30" spans="1:18" ht="15" customHeight="1" x14ac:dyDescent="0.3">
      <c r="A30" s="722"/>
      <c r="B30" s="349" t="s">
        <v>196</v>
      </c>
      <c r="C30" s="8"/>
      <c r="D30" s="258"/>
      <c r="E30" s="8"/>
      <c r="F30" s="212"/>
      <c r="G30" s="8"/>
      <c r="H30" s="212"/>
      <c r="I30" s="8"/>
      <c r="J30" s="212"/>
      <c r="K30" s="8"/>
      <c r="L30" s="313"/>
      <c r="M30" s="8"/>
      <c r="N30" s="255"/>
      <c r="O30" s="6"/>
      <c r="P30" s="722"/>
      <c r="Q30" s="148" t="s">
        <v>65</v>
      </c>
      <c r="R30" s="81">
        <f t="shared" si="1"/>
        <v>0</v>
      </c>
    </row>
    <row r="31" spans="1:18" ht="15" customHeight="1" x14ac:dyDescent="0.3">
      <c r="A31" s="722"/>
      <c r="B31" s="350" t="s">
        <v>197</v>
      </c>
      <c r="C31" s="9"/>
      <c r="D31" s="260"/>
      <c r="E31" s="9"/>
      <c r="F31" s="248"/>
      <c r="G31" s="9"/>
      <c r="H31" s="248"/>
      <c r="I31" s="9"/>
      <c r="J31" s="248"/>
      <c r="K31" s="9">
        <v>10000000</v>
      </c>
      <c r="L31" s="312" t="s">
        <v>118</v>
      </c>
      <c r="M31" s="9"/>
      <c r="N31" s="256"/>
      <c r="O31" s="6"/>
      <c r="P31" s="722"/>
      <c r="Q31" s="149" t="s">
        <v>8</v>
      </c>
      <c r="R31" s="82">
        <f t="shared" si="1"/>
        <v>10000000</v>
      </c>
    </row>
    <row r="32" spans="1:18" ht="15" customHeight="1" thickBot="1" x14ac:dyDescent="0.35">
      <c r="A32" s="722"/>
      <c r="B32" s="351" t="s">
        <v>198</v>
      </c>
      <c r="C32" s="7"/>
      <c r="D32" s="262"/>
      <c r="E32" s="7"/>
      <c r="F32" s="213"/>
      <c r="G32" s="7"/>
      <c r="H32" s="213"/>
      <c r="I32" s="7"/>
      <c r="J32" s="213"/>
      <c r="K32" s="42"/>
      <c r="L32" s="311"/>
      <c r="M32" s="7"/>
      <c r="N32" s="263"/>
      <c r="O32" s="6"/>
      <c r="P32" s="722"/>
      <c r="Q32" s="150" t="s">
        <v>5</v>
      </c>
      <c r="R32" s="83">
        <f t="shared" si="1"/>
        <v>0</v>
      </c>
    </row>
    <row r="33" spans="1:19" ht="15" customHeight="1" thickBot="1" x14ac:dyDescent="0.35">
      <c r="A33" s="722"/>
      <c r="B33" s="283" t="s">
        <v>107</v>
      </c>
      <c r="C33" s="39"/>
      <c r="D33" s="276"/>
      <c r="E33" s="39"/>
      <c r="F33" s="248"/>
      <c r="G33" s="39"/>
      <c r="H33" s="248"/>
      <c r="I33" s="39"/>
      <c r="J33" s="248"/>
      <c r="K33" s="39">
        <v>20000000</v>
      </c>
      <c r="L33" s="320" t="s">
        <v>118</v>
      </c>
      <c r="M33" s="39"/>
      <c r="N33" s="264"/>
      <c r="O33" s="6"/>
      <c r="P33" s="722"/>
      <c r="Q33" s="283" t="s">
        <v>107</v>
      </c>
      <c r="R33" s="85">
        <f t="shared" si="1"/>
        <v>20000000</v>
      </c>
    </row>
    <row r="34" spans="1:19" ht="15" customHeight="1" x14ac:dyDescent="0.3">
      <c r="A34" s="723" t="s">
        <v>16</v>
      </c>
      <c r="B34" s="152" t="s">
        <v>36</v>
      </c>
      <c r="C34" s="8"/>
      <c r="D34" s="269"/>
      <c r="E34" s="8"/>
      <c r="F34" s="212"/>
      <c r="G34" s="8"/>
      <c r="H34" s="212"/>
      <c r="I34" s="8"/>
      <c r="J34" s="212"/>
      <c r="K34" s="8"/>
      <c r="L34" s="313"/>
      <c r="M34" s="8"/>
      <c r="N34" s="255"/>
      <c r="O34" s="6"/>
      <c r="P34" s="723" t="str">
        <f>A34</f>
        <v>후유장해</v>
      </c>
      <c r="Q34" s="152" t="s">
        <v>36</v>
      </c>
      <c r="R34" s="81">
        <f>C34+E34+G34+I34+K34+M34</f>
        <v>0</v>
      </c>
    </row>
    <row r="35" spans="1:19" ht="15" customHeight="1" x14ac:dyDescent="0.3">
      <c r="A35" s="724"/>
      <c r="B35" s="153" t="s">
        <v>81</v>
      </c>
      <c r="C35" s="9"/>
      <c r="D35" s="270"/>
      <c r="E35" s="9"/>
      <c r="F35" s="305"/>
      <c r="G35" s="9"/>
      <c r="H35" s="187"/>
      <c r="I35" s="9"/>
      <c r="J35" s="187"/>
      <c r="K35" s="9"/>
      <c r="L35" s="314"/>
      <c r="M35" s="9"/>
      <c r="N35" s="257"/>
      <c r="O35" s="6"/>
      <c r="P35" s="724"/>
      <c r="Q35" s="153" t="s">
        <v>81</v>
      </c>
      <c r="R35" s="82">
        <f t="shared" si="1"/>
        <v>0</v>
      </c>
    </row>
    <row r="36" spans="1:19" ht="15" customHeight="1" x14ac:dyDescent="0.3">
      <c r="A36" s="724"/>
      <c r="B36" s="153" t="s">
        <v>78</v>
      </c>
      <c r="C36" s="9">
        <v>50000000</v>
      </c>
      <c r="D36" s="297" t="s">
        <v>118</v>
      </c>
      <c r="E36" s="9">
        <v>10000000</v>
      </c>
      <c r="F36" s="297" t="s">
        <v>118</v>
      </c>
      <c r="G36" s="9"/>
      <c r="H36" s="259"/>
      <c r="I36" s="9"/>
      <c r="J36" s="259"/>
      <c r="K36" s="9">
        <v>100000000</v>
      </c>
      <c r="L36" s="314" t="s">
        <v>118</v>
      </c>
      <c r="M36" s="9"/>
      <c r="N36" s="257"/>
      <c r="O36" s="6"/>
      <c r="P36" s="724"/>
      <c r="Q36" s="153" t="s">
        <v>78</v>
      </c>
      <c r="R36" s="82">
        <f t="shared" si="1"/>
        <v>160000000</v>
      </c>
    </row>
    <row r="37" spans="1:19" ht="15" customHeight="1" thickBot="1" x14ac:dyDescent="0.35">
      <c r="A37" s="725"/>
      <c r="B37" s="154" t="s">
        <v>87</v>
      </c>
      <c r="C37" s="7">
        <v>50000000</v>
      </c>
      <c r="D37" s="298" t="s">
        <v>118</v>
      </c>
      <c r="E37" s="7">
        <v>10000000</v>
      </c>
      <c r="F37" s="298" t="s">
        <v>118</v>
      </c>
      <c r="G37" s="9"/>
      <c r="H37" s="262"/>
      <c r="I37" s="9"/>
      <c r="J37" s="262"/>
      <c r="K37" s="9">
        <v>20000000</v>
      </c>
      <c r="L37" s="311" t="s">
        <v>118</v>
      </c>
      <c r="M37" s="7"/>
      <c r="N37" s="263"/>
      <c r="O37" s="6"/>
      <c r="P37" s="725"/>
      <c r="Q37" s="154" t="s">
        <v>87</v>
      </c>
      <c r="R37" s="83">
        <f>C37+E37+G37+I37+K37+M37</f>
        <v>80000000</v>
      </c>
    </row>
    <row r="38" spans="1:19" ht="15" customHeight="1" x14ac:dyDescent="0.3">
      <c r="A38" s="726" t="s">
        <v>47</v>
      </c>
      <c r="B38" s="155" t="s">
        <v>48</v>
      </c>
      <c r="C38" s="10"/>
      <c r="D38" s="299"/>
      <c r="E38" s="288"/>
      <c r="F38" s="212"/>
      <c r="G38" s="8"/>
      <c r="H38" s="258"/>
      <c r="I38" s="8"/>
      <c r="J38" s="258"/>
      <c r="K38" s="8"/>
      <c r="L38" s="313"/>
      <c r="M38" s="8"/>
      <c r="N38" s="255"/>
      <c r="O38" s="6"/>
      <c r="P38" s="726" t="s">
        <v>47</v>
      </c>
      <c r="Q38" s="155" t="s">
        <v>48</v>
      </c>
      <c r="R38" s="81">
        <f>C38+E38+G38+I38+K38+M38</f>
        <v>0</v>
      </c>
    </row>
    <row r="39" spans="1:19" ht="15" customHeight="1" x14ac:dyDescent="0.3">
      <c r="A39" s="727"/>
      <c r="B39" s="156" t="s">
        <v>44</v>
      </c>
      <c r="C39" s="9"/>
      <c r="D39" s="300"/>
      <c r="E39" s="10"/>
      <c r="F39" s="187"/>
      <c r="G39" s="9"/>
      <c r="H39" s="259"/>
      <c r="I39" s="9"/>
      <c r="J39" s="259"/>
      <c r="K39" s="9"/>
      <c r="L39" s="314"/>
      <c r="M39" s="9"/>
      <c r="N39" s="257"/>
      <c r="O39" s="6"/>
      <c r="P39" s="727"/>
      <c r="Q39" s="156" t="s">
        <v>44</v>
      </c>
      <c r="R39" s="82">
        <f t="shared" si="1"/>
        <v>0</v>
      </c>
    </row>
    <row r="40" spans="1:19" ht="15" customHeight="1" thickBot="1" x14ac:dyDescent="0.35">
      <c r="A40" s="728"/>
      <c r="B40" s="157" t="s">
        <v>54</v>
      </c>
      <c r="C40" s="7"/>
      <c r="D40" s="301"/>
      <c r="E40" s="7"/>
      <c r="F40" s="213"/>
      <c r="G40" s="7"/>
      <c r="H40" s="262"/>
      <c r="I40" s="7"/>
      <c r="J40" s="262"/>
      <c r="K40" s="7">
        <v>100000000</v>
      </c>
      <c r="L40" s="311" t="s">
        <v>118</v>
      </c>
      <c r="M40" s="7"/>
      <c r="N40" s="263"/>
      <c r="O40" s="6"/>
      <c r="P40" s="728"/>
      <c r="Q40" s="157" t="s">
        <v>54</v>
      </c>
      <c r="R40" s="83">
        <f t="shared" si="1"/>
        <v>100000000</v>
      </c>
      <c r="S40" s="2"/>
    </row>
    <row r="41" spans="1:19" ht="15" customHeight="1" x14ac:dyDescent="0.3">
      <c r="A41" s="746" t="s">
        <v>39</v>
      </c>
      <c r="B41" s="158" t="s">
        <v>44</v>
      </c>
      <c r="C41" s="41">
        <v>300000</v>
      </c>
      <c r="D41" s="294" t="s">
        <v>118</v>
      </c>
      <c r="E41" s="41"/>
      <c r="F41" s="248"/>
      <c r="G41" s="8"/>
      <c r="H41" s="260"/>
      <c r="I41" s="8"/>
      <c r="J41" s="260"/>
      <c r="K41" s="41"/>
      <c r="L41" s="313"/>
      <c r="M41" s="10"/>
      <c r="N41" s="256"/>
      <c r="O41" s="6"/>
      <c r="P41" s="746" t="s">
        <v>39</v>
      </c>
      <c r="Q41" s="158" t="s">
        <v>44</v>
      </c>
      <c r="R41" s="81">
        <f>C41+E41+G41+I41+K41+M41</f>
        <v>300000</v>
      </c>
    </row>
    <row r="42" spans="1:19" ht="15" customHeight="1" x14ac:dyDescent="0.3">
      <c r="A42" s="747"/>
      <c r="B42" s="158" t="s">
        <v>54</v>
      </c>
      <c r="C42" s="28"/>
      <c r="D42" s="302"/>
      <c r="E42" s="28"/>
      <c r="F42" s="187"/>
      <c r="G42" s="9"/>
      <c r="H42" s="259"/>
      <c r="I42" s="9"/>
      <c r="J42" s="259"/>
      <c r="K42" s="28"/>
      <c r="L42" s="314"/>
      <c r="M42" s="9"/>
      <c r="N42" s="256"/>
      <c r="O42" s="6"/>
      <c r="P42" s="747"/>
      <c r="Q42" s="158" t="s">
        <v>54</v>
      </c>
      <c r="R42" s="86">
        <f>C42+E42+G42+I42+K42+M42</f>
        <v>0</v>
      </c>
    </row>
    <row r="43" spans="1:19" ht="15" customHeight="1" x14ac:dyDescent="0.3">
      <c r="A43" s="747"/>
      <c r="B43" s="292" t="s">
        <v>100</v>
      </c>
      <c r="C43" s="28">
        <v>6000000</v>
      </c>
      <c r="D43" s="302" t="s">
        <v>118</v>
      </c>
      <c r="E43" s="28"/>
      <c r="F43" s="248"/>
      <c r="G43" s="9"/>
      <c r="H43" s="260"/>
      <c r="I43" s="9"/>
      <c r="J43" s="260"/>
      <c r="K43" s="9"/>
      <c r="L43" s="312"/>
      <c r="M43" s="9"/>
      <c r="N43" s="256"/>
      <c r="O43" s="6"/>
      <c r="P43" s="747"/>
      <c r="Q43" s="292" t="s">
        <v>100</v>
      </c>
      <c r="R43" s="82">
        <f t="shared" ref="R43:R53" si="2">C43+E43+G43+I43+K43+M43</f>
        <v>6000000</v>
      </c>
    </row>
    <row r="44" spans="1:19" ht="15" customHeight="1" thickBot="1" x14ac:dyDescent="0.35">
      <c r="A44" s="747"/>
      <c r="B44" s="287" t="s">
        <v>113</v>
      </c>
      <c r="C44" s="44">
        <v>20000000</v>
      </c>
      <c r="D44" s="303" t="s">
        <v>118</v>
      </c>
      <c r="E44" s="44"/>
      <c r="F44" s="277"/>
      <c r="G44" s="35"/>
      <c r="H44" s="261"/>
      <c r="I44" s="35"/>
      <c r="J44" s="261"/>
      <c r="K44" s="44"/>
      <c r="L44" s="321"/>
      <c r="M44" s="44"/>
      <c r="N44" s="265"/>
      <c r="O44" s="6"/>
      <c r="P44" s="747"/>
      <c r="Q44" s="287" t="s">
        <v>113</v>
      </c>
      <c r="R44" s="83">
        <f t="shared" si="2"/>
        <v>20000000</v>
      </c>
    </row>
    <row r="45" spans="1:19" ht="15" customHeight="1" x14ac:dyDescent="0.3">
      <c r="A45" s="748" t="s">
        <v>40</v>
      </c>
      <c r="B45" s="229" t="s">
        <v>45</v>
      </c>
      <c r="C45" s="8">
        <v>300000</v>
      </c>
      <c r="D45" s="304" t="s">
        <v>118</v>
      </c>
      <c r="E45" s="8"/>
      <c r="F45" s="212"/>
      <c r="G45" s="8"/>
      <c r="H45" s="258"/>
      <c r="I45" s="8">
        <v>200000</v>
      </c>
      <c r="J45" s="258" t="s">
        <v>141</v>
      </c>
      <c r="K45" s="8"/>
      <c r="L45" s="313"/>
      <c r="M45" s="8"/>
      <c r="N45" s="255"/>
      <c r="O45" s="6"/>
      <c r="P45" s="748" t="s">
        <v>40</v>
      </c>
      <c r="Q45" s="229" t="s">
        <v>45</v>
      </c>
      <c r="R45" s="81">
        <f>C45+E45+G45+I45+K45+M45</f>
        <v>500000</v>
      </c>
    </row>
    <row r="46" spans="1:19" ht="15" customHeight="1" thickBot="1" x14ac:dyDescent="0.35">
      <c r="A46" s="749"/>
      <c r="B46" s="252" t="s">
        <v>42</v>
      </c>
      <c r="C46" s="39"/>
      <c r="D46" s="271"/>
      <c r="E46" s="39"/>
      <c r="F46" s="213"/>
      <c r="G46" s="39"/>
      <c r="H46" s="262"/>
      <c r="I46" s="39"/>
      <c r="J46" s="262"/>
      <c r="K46" s="39"/>
      <c r="L46" s="320"/>
      <c r="M46" s="39"/>
      <c r="N46" s="264"/>
      <c r="O46" s="6"/>
      <c r="P46" s="781"/>
      <c r="Q46" s="161" t="s">
        <v>42</v>
      </c>
      <c r="R46" s="83">
        <f t="shared" si="2"/>
        <v>0</v>
      </c>
    </row>
    <row r="47" spans="1:19" ht="15" customHeight="1" x14ac:dyDescent="0.3">
      <c r="A47" s="750" t="s">
        <v>125</v>
      </c>
      <c r="B47" s="308" t="s">
        <v>126</v>
      </c>
      <c r="C47" s="10"/>
      <c r="D47" s="270"/>
      <c r="E47" s="10"/>
      <c r="F47" s="248"/>
      <c r="G47" s="10">
        <v>100000</v>
      </c>
      <c r="H47" s="312" t="s">
        <v>22</v>
      </c>
      <c r="I47" s="10"/>
      <c r="J47" s="260"/>
      <c r="K47" s="43">
        <v>100000</v>
      </c>
      <c r="L47" s="312" t="s">
        <v>119</v>
      </c>
      <c r="M47" s="43"/>
      <c r="N47" s="256"/>
      <c r="O47" s="6"/>
      <c r="P47" s="750" t="s">
        <v>125</v>
      </c>
      <c r="Q47" s="308" t="s">
        <v>126</v>
      </c>
      <c r="R47" s="81">
        <f>C47+E47+G47+I47+K47+M47</f>
        <v>200000</v>
      </c>
    </row>
    <row r="48" spans="1:19" ht="15" customHeight="1" x14ac:dyDescent="0.3">
      <c r="A48" s="750"/>
      <c r="B48" s="309" t="s">
        <v>127</v>
      </c>
      <c r="C48" s="36"/>
      <c r="D48" s="306"/>
      <c r="E48" s="36"/>
      <c r="F48" s="248"/>
      <c r="G48" s="36">
        <v>20000</v>
      </c>
      <c r="H48" s="312" t="s">
        <v>22</v>
      </c>
      <c r="I48" s="36"/>
      <c r="J48" s="260"/>
      <c r="K48" s="49">
        <v>30000</v>
      </c>
      <c r="L48" s="319" t="s">
        <v>118</v>
      </c>
      <c r="M48" s="49"/>
      <c r="N48" s="254"/>
      <c r="O48" s="6"/>
      <c r="P48" s="750"/>
      <c r="Q48" s="309" t="s">
        <v>127</v>
      </c>
      <c r="R48" s="82">
        <f t="shared" si="2"/>
        <v>50000</v>
      </c>
    </row>
    <row r="49" spans="1:18" ht="15" customHeight="1" thickBot="1" x14ac:dyDescent="0.35">
      <c r="A49" s="751"/>
      <c r="B49" s="310" t="s">
        <v>128</v>
      </c>
      <c r="C49" s="7"/>
      <c r="D49" s="268"/>
      <c r="E49" s="7"/>
      <c r="F49" s="248"/>
      <c r="G49" s="7">
        <v>20000</v>
      </c>
      <c r="H49" s="312" t="s">
        <v>22</v>
      </c>
      <c r="I49" s="7"/>
      <c r="J49" s="260"/>
      <c r="K49" s="42"/>
      <c r="L49" s="311"/>
      <c r="M49" s="42"/>
      <c r="N49" s="263"/>
      <c r="O49" s="6"/>
      <c r="P49" s="751"/>
      <c r="Q49" s="310" t="s">
        <v>128</v>
      </c>
      <c r="R49" s="83">
        <f t="shared" si="2"/>
        <v>20000</v>
      </c>
    </row>
    <row r="50" spans="1:18" ht="15" customHeight="1" x14ac:dyDescent="0.3">
      <c r="A50" s="732" t="s">
        <v>52</v>
      </c>
      <c r="B50" s="144" t="s">
        <v>41</v>
      </c>
      <c r="C50" s="8"/>
      <c r="D50" s="291"/>
      <c r="E50" s="231"/>
      <c r="F50" s="212"/>
      <c r="G50" s="8"/>
      <c r="H50" s="313"/>
      <c r="I50" s="8">
        <v>20000000</v>
      </c>
      <c r="J50" s="258" t="s">
        <v>141</v>
      </c>
      <c r="K50" s="8"/>
      <c r="L50" s="313"/>
      <c r="M50" s="8"/>
      <c r="N50" s="255"/>
      <c r="O50" s="6"/>
      <c r="P50" s="732" t="s">
        <v>52</v>
      </c>
      <c r="Q50" s="144" t="s">
        <v>41</v>
      </c>
      <c r="R50" s="81">
        <f>C50+E50+G50+I50+K50+M50</f>
        <v>20000000</v>
      </c>
    </row>
    <row r="51" spans="1:18" ht="15" customHeight="1" x14ac:dyDescent="0.3">
      <c r="A51" s="733"/>
      <c r="B51" s="144" t="s">
        <v>11</v>
      </c>
      <c r="C51" s="9"/>
      <c r="D51" s="267"/>
      <c r="E51" s="233"/>
      <c r="F51" s="187"/>
      <c r="G51" s="9"/>
      <c r="H51" s="314"/>
      <c r="I51" s="9">
        <v>50000000</v>
      </c>
      <c r="J51" s="16" t="s">
        <v>140</v>
      </c>
      <c r="K51" s="9"/>
      <c r="L51" s="314"/>
      <c r="M51" s="9"/>
      <c r="N51" s="257"/>
      <c r="O51" s="6"/>
      <c r="P51" s="733"/>
      <c r="Q51" s="144" t="s">
        <v>11</v>
      </c>
      <c r="R51" s="82">
        <f t="shared" si="2"/>
        <v>50000000</v>
      </c>
    </row>
    <row r="52" spans="1:18" ht="15" customHeight="1" thickBot="1" x14ac:dyDescent="0.35">
      <c r="A52" s="734"/>
      <c r="B52" s="164" t="s">
        <v>27</v>
      </c>
      <c r="C52" s="10"/>
      <c r="D52" s="270"/>
      <c r="E52" s="234"/>
      <c r="F52" s="248"/>
      <c r="G52" s="10"/>
      <c r="H52" s="312"/>
      <c r="I52" s="10">
        <v>200000000</v>
      </c>
      <c r="J52" s="259" t="s">
        <v>140</v>
      </c>
      <c r="K52" s="10"/>
      <c r="L52" s="312"/>
      <c r="M52" s="10"/>
      <c r="N52" s="256"/>
      <c r="O52" s="6"/>
      <c r="P52" s="734"/>
      <c r="Q52" s="164" t="s">
        <v>27</v>
      </c>
      <c r="R52" s="83">
        <f t="shared" si="2"/>
        <v>200000000</v>
      </c>
    </row>
    <row r="53" spans="1:18" ht="15" customHeight="1" thickBot="1" x14ac:dyDescent="0.35">
      <c r="A53" s="735" t="s">
        <v>30</v>
      </c>
      <c r="B53" s="736"/>
      <c r="C53" s="14"/>
      <c r="D53" s="272"/>
      <c r="E53" s="14"/>
      <c r="F53" s="249"/>
      <c r="G53" s="14"/>
      <c r="H53" s="315"/>
      <c r="I53" s="14"/>
      <c r="J53" s="281"/>
      <c r="K53" s="14"/>
      <c r="L53" s="315"/>
      <c r="M53" s="14"/>
      <c r="N53" s="266"/>
      <c r="O53" s="6"/>
      <c r="P53" s="735" t="s">
        <v>30</v>
      </c>
      <c r="Q53" s="736"/>
      <c r="R53" s="83">
        <f t="shared" si="2"/>
        <v>0</v>
      </c>
    </row>
    <row r="54" spans="1:18" ht="15" customHeight="1" x14ac:dyDescent="0.3">
      <c r="A54" s="737" t="s">
        <v>38</v>
      </c>
      <c r="B54" s="738"/>
      <c r="C54" s="203" t="s">
        <v>169</v>
      </c>
      <c r="D54" s="278" t="s">
        <v>117</v>
      </c>
      <c r="E54" s="203" t="s">
        <v>171</v>
      </c>
      <c r="F54" s="259" t="s">
        <v>122</v>
      </c>
      <c r="G54" s="203" t="s">
        <v>116</v>
      </c>
      <c r="H54" s="313" t="s">
        <v>135</v>
      </c>
      <c r="I54" s="203" t="s">
        <v>139</v>
      </c>
      <c r="J54" s="289" t="s">
        <v>140</v>
      </c>
      <c r="K54" s="251" t="s">
        <v>142</v>
      </c>
      <c r="L54" s="313" t="s">
        <v>119</v>
      </c>
      <c r="M54" s="203" t="s">
        <v>116</v>
      </c>
      <c r="N54" s="317" t="s">
        <v>135</v>
      </c>
      <c r="O54" s="6"/>
      <c r="P54" s="743" t="s">
        <v>38</v>
      </c>
      <c r="Q54" s="665"/>
      <c r="R54" s="666"/>
    </row>
    <row r="55" spans="1:18" ht="15" customHeight="1" x14ac:dyDescent="0.3">
      <c r="A55" s="739"/>
      <c r="B55" s="740"/>
      <c r="C55" s="214" t="s">
        <v>170</v>
      </c>
      <c r="D55" s="279" t="s">
        <v>117</v>
      </c>
      <c r="E55" s="214" t="s">
        <v>172</v>
      </c>
      <c r="F55" s="260" t="s">
        <v>121</v>
      </c>
      <c r="G55" s="214" t="s">
        <v>132</v>
      </c>
      <c r="H55" s="314" t="s">
        <v>22</v>
      </c>
      <c r="I55" s="214"/>
      <c r="J55" s="290"/>
      <c r="K55" s="316" t="s">
        <v>143</v>
      </c>
      <c r="L55" s="314" t="s">
        <v>118</v>
      </c>
      <c r="M55" s="214" t="s">
        <v>144</v>
      </c>
      <c r="N55" s="318" t="s">
        <v>22</v>
      </c>
      <c r="O55" s="6"/>
      <c r="P55" s="744"/>
      <c r="Q55" s="667"/>
      <c r="R55" s="668"/>
    </row>
    <row r="56" spans="1:18" ht="15" customHeight="1" x14ac:dyDescent="0.3">
      <c r="A56" s="739"/>
      <c r="B56" s="740"/>
      <c r="C56" s="214" t="s">
        <v>114</v>
      </c>
      <c r="D56" s="279" t="s">
        <v>120</v>
      </c>
      <c r="E56" s="214"/>
      <c r="F56" s="260"/>
      <c r="G56" s="214" t="s">
        <v>133</v>
      </c>
      <c r="H56" s="314" t="s">
        <v>22</v>
      </c>
      <c r="I56" s="214"/>
      <c r="J56" s="260"/>
      <c r="K56" s="251"/>
      <c r="L56" s="259"/>
      <c r="M56" s="214" t="s">
        <v>145</v>
      </c>
      <c r="N56" s="317" t="s">
        <v>22</v>
      </c>
      <c r="O56" s="6"/>
      <c r="P56" s="744"/>
      <c r="Q56" s="667"/>
      <c r="R56" s="668"/>
    </row>
    <row r="57" spans="1:18" ht="15" customHeight="1" thickBot="1" x14ac:dyDescent="0.35">
      <c r="A57" s="741"/>
      <c r="B57" s="742"/>
      <c r="C57" s="250" t="s">
        <v>115</v>
      </c>
      <c r="D57" s="293" t="s">
        <v>120</v>
      </c>
      <c r="E57" s="250"/>
      <c r="F57" s="282"/>
      <c r="G57" s="250" t="s">
        <v>134</v>
      </c>
      <c r="H57" s="311" t="s">
        <v>22</v>
      </c>
      <c r="I57" s="250"/>
      <c r="J57" s="213"/>
      <c r="K57" s="253"/>
      <c r="L57" s="213"/>
      <c r="M57" s="250"/>
      <c r="N57" s="263"/>
      <c r="O57" s="6"/>
      <c r="P57" s="745"/>
      <c r="Q57" s="669"/>
      <c r="R57" s="670"/>
    </row>
    <row r="58" spans="1:18" ht="17.25" customHeight="1" x14ac:dyDescent="0.3">
      <c r="A58" s="652" t="str">
        <f>A1</f>
        <v>이민호님 보장분석(전)</v>
      </c>
      <c r="B58" s="653"/>
      <c r="C58" s="688" t="s">
        <v>152</v>
      </c>
      <c r="D58" s="695"/>
      <c r="E58" s="688"/>
      <c r="F58" s="695"/>
      <c r="G58" s="688"/>
      <c r="H58" s="695"/>
      <c r="I58" s="688"/>
      <c r="J58" s="695"/>
      <c r="K58" s="688"/>
      <c r="L58" s="695"/>
      <c r="M58" s="688"/>
      <c r="N58" s="689"/>
      <c r="O58" s="138"/>
      <c r="P58" s="650" t="s">
        <v>15</v>
      </c>
      <c r="Q58" s="651"/>
      <c r="R58" s="137">
        <f ca="1">R1</f>
        <v>46140</v>
      </c>
    </row>
    <row r="59" spans="1:18" ht="15" customHeight="1" x14ac:dyDescent="0.3">
      <c r="A59" s="647" t="s">
        <v>49</v>
      </c>
      <c r="B59" s="648"/>
      <c r="C59" s="690" t="s">
        <v>153</v>
      </c>
      <c r="D59" s="691"/>
      <c r="E59" s="690"/>
      <c r="F59" s="691"/>
      <c r="G59" s="690"/>
      <c r="H59" s="691"/>
      <c r="I59" s="690"/>
      <c r="J59" s="691"/>
      <c r="K59" s="696"/>
      <c r="L59" s="696"/>
      <c r="M59" s="696"/>
      <c r="N59" s="717"/>
      <c r="O59" s="25"/>
      <c r="P59" s="654"/>
      <c r="Q59" s="655"/>
      <c r="R59" s="656"/>
    </row>
    <row r="60" spans="1:18" ht="15" customHeight="1" x14ac:dyDescent="0.3">
      <c r="A60" s="637" t="s">
        <v>28</v>
      </c>
      <c r="B60" s="638"/>
      <c r="C60" s="697" t="s">
        <v>154</v>
      </c>
      <c r="D60" s="698"/>
      <c r="E60" s="697"/>
      <c r="F60" s="698"/>
      <c r="G60" s="697"/>
      <c r="H60" s="698"/>
      <c r="I60" s="697"/>
      <c r="J60" s="698"/>
      <c r="K60" s="718"/>
      <c r="L60" s="718"/>
      <c r="M60" s="718"/>
      <c r="N60" s="719"/>
      <c r="O60" s="25"/>
      <c r="P60" s="657"/>
      <c r="Q60" s="658"/>
      <c r="R60" s="659"/>
    </row>
    <row r="61" spans="1:18" ht="15" customHeight="1" x14ac:dyDescent="0.3">
      <c r="A61" s="647" t="s">
        <v>17</v>
      </c>
      <c r="B61" s="648"/>
      <c r="C61" s="697">
        <v>45895</v>
      </c>
      <c r="D61" s="698"/>
      <c r="E61" s="697"/>
      <c r="F61" s="698"/>
      <c r="G61" s="697"/>
      <c r="H61" s="698"/>
      <c r="I61" s="697"/>
      <c r="J61" s="698"/>
      <c r="K61" s="718"/>
      <c r="L61" s="696"/>
      <c r="M61" s="718"/>
      <c r="N61" s="717"/>
      <c r="O61" s="25"/>
      <c r="P61" s="657"/>
      <c r="Q61" s="658"/>
      <c r="R61" s="659"/>
    </row>
    <row r="62" spans="1:18" ht="15" customHeight="1" x14ac:dyDescent="0.3">
      <c r="A62" s="647" t="s">
        <v>23</v>
      </c>
      <c r="B62" s="648"/>
      <c r="C62" s="61">
        <v>20</v>
      </c>
      <c r="D62" s="62">
        <f ca="1">IF(DATEDIF(C61,$R$1,"m")&lt;C62*12,DATEDIF(C61,$R$1,"m"),C62*12)</f>
        <v>8</v>
      </c>
      <c r="E62" s="61"/>
      <c r="F62" s="62">
        <f ca="1">IF(DATEDIF(E61,$R$1,"m")&lt;E62*12,DATEDIF(E61,$R$1,"m"),E62*12)</f>
        <v>0</v>
      </c>
      <c r="G62" s="61"/>
      <c r="H62" s="62">
        <f ca="1">IF(DATEDIF(G61,$R$1,"m")&lt;G62*12,DATEDIF(G61,$R$1,"m"),G62*12)</f>
        <v>0</v>
      </c>
      <c r="I62" s="61"/>
      <c r="J62" s="62">
        <f ca="1">IF(DATEDIF(I61,$R$1,"m")&lt;I62*12,DATEDIF(I61,$R$1,"m"),I62*12)</f>
        <v>0</v>
      </c>
      <c r="K62" s="61"/>
      <c r="L62" s="62">
        <f ca="1">IF(DATEDIF(K61,$R$1,"m")&lt;K62*12,DATEDIF(K61,$R$1,"m"),K62*12)</f>
        <v>0</v>
      </c>
      <c r="M62" s="61"/>
      <c r="N62" s="65">
        <f ca="1">IF(DATEDIF(M61,$R$1,"m")&lt;M62*12,DATEDIF(M61,$R$1,"m"),M62*12)</f>
        <v>0</v>
      </c>
      <c r="O62" s="25"/>
      <c r="P62" s="657"/>
      <c r="Q62" s="658"/>
      <c r="R62" s="659"/>
    </row>
    <row r="63" spans="1:18" ht="15" customHeight="1" x14ac:dyDescent="0.3">
      <c r="A63" s="647" t="s">
        <v>2</v>
      </c>
      <c r="B63" s="648"/>
      <c r="C63" s="690" t="s">
        <v>155</v>
      </c>
      <c r="D63" s="691"/>
      <c r="E63" s="690"/>
      <c r="F63" s="691"/>
      <c r="G63" s="690"/>
      <c r="H63" s="691"/>
      <c r="I63" s="690"/>
      <c r="J63" s="691"/>
      <c r="K63" s="696"/>
      <c r="L63" s="696"/>
      <c r="M63" s="696"/>
      <c r="N63" s="717"/>
      <c r="O63" s="25"/>
      <c r="P63" s="660"/>
      <c r="Q63" s="661"/>
      <c r="R63" s="662"/>
    </row>
    <row r="64" spans="1:18" ht="15" customHeight="1" x14ac:dyDescent="0.3">
      <c r="A64" s="632" t="s">
        <v>37</v>
      </c>
      <c r="B64" s="633"/>
      <c r="C64" s="701" t="s">
        <v>156</v>
      </c>
      <c r="D64" s="702"/>
      <c r="E64" s="701"/>
      <c r="F64" s="702"/>
      <c r="G64" s="701"/>
      <c r="H64" s="702"/>
      <c r="I64" s="701"/>
      <c r="J64" s="702"/>
      <c r="K64" s="701"/>
      <c r="L64" s="702"/>
      <c r="M64" s="701"/>
      <c r="N64" s="704"/>
      <c r="O64" s="25"/>
      <c r="P64" s="643"/>
      <c r="Q64" s="644"/>
      <c r="R64" s="27" t="s">
        <v>91</v>
      </c>
    </row>
    <row r="65" spans="1:18" ht="15" customHeight="1" x14ac:dyDescent="0.3">
      <c r="A65" s="639" t="s">
        <v>12</v>
      </c>
      <c r="B65" s="640"/>
      <c r="C65" s="706">
        <v>56594</v>
      </c>
      <c r="D65" s="707"/>
      <c r="E65" s="706"/>
      <c r="F65" s="707"/>
      <c r="G65" s="706"/>
      <c r="H65" s="707"/>
      <c r="I65" s="706"/>
      <c r="J65" s="707"/>
      <c r="K65" s="705"/>
      <c r="L65" s="705"/>
      <c r="M65" s="705"/>
      <c r="N65" s="720"/>
      <c r="O65" s="26"/>
      <c r="P65" s="637" t="s">
        <v>34</v>
      </c>
      <c r="Q65" s="638"/>
      <c r="R65" s="60">
        <f t="shared" ref="R65:R75" si="3">R8+C65+E65+G65+I65+K65+M65</f>
        <v>804455</v>
      </c>
    </row>
    <row r="66" spans="1:18" ht="15" customHeight="1" x14ac:dyDescent="0.3">
      <c r="A66" s="637" t="s">
        <v>3</v>
      </c>
      <c r="B66" s="638"/>
      <c r="C66" s="709">
        <f>C65*C62*12</f>
        <v>13582560</v>
      </c>
      <c r="D66" s="711"/>
      <c r="E66" s="709">
        <f>E65*E62*12</f>
        <v>0</v>
      </c>
      <c r="F66" s="711"/>
      <c r="G66" s="709">
        <f>G65*G62*12</f>
        <v>0</v>
      </c>
      <c r="H66" s="711"/>
      <c r="I66" s="709">
        <f>I65*I62*12</f>
        <v>0</v>
      </c>
      <c r="J66" s="711"/>
      <c r="K66" s="709">
        <f>K65*K62*12</f>
        <v>0</v>
      </c>
      <c r="L66" s="711"/>
      <c r="M66" s="709">
        <f>M65*M62*12</f>
        <v>0</v>
      </c>
      <c r="N66" s="710"/>
      <c r="O66" s="26"/>
      <c r="P66" s="637" t="s">
        <v>33</v>
      </c>
      <c r="Q66" s="638"/>
      <c r="R66" s="51">
        <f t="shared" si="3"/>
        <v>220048680</v>
      </c>
    </row>
    <row r="67" spans="1:18" ht="15" customHeight="1" x14ac:dyDescent="0.3">
      <c r="A67" s="637" t="s">
        <v>4</v>
      </c>
      <c r="B67" s="638"/>
      <c r="C67" s="709">
        <f ca="1">C65*D62</f>
        <v>452752</v>
      </c>
      <c r="D67" s="711"/>
      <c r="E67" s="709">
        <f ca="1">E65*F62</f>
        <v>0</v>
      </c>
      <c r="F67" s="711"/>
      <c r="G67" s="709">
        <f ca="1">G65*H62</f>
        <v>0</v>
      </c>
      <c r="H67" s="711"/>
      <c r="I67" s="709">
        <f ca="1">I65*J62</f>
        <v>0</v>
      </c>
      <c r="J67" s="711"/>
      <c r="K67" s="709">
        <f ca="1">K65*L62</f>
        <v>0</v>
      </c>
      <c r="L67" s="711"/>
      <c r="M67" s="709">
        <f ca="1">M65*N62</f>
        <v>0</v>
      </c>
      <c r="N67" s="710"/>
      <c r="O67" s="26"/>
      <c r="P67" s="637" t="s">
        <v>31</v>
      </c>
      <c r="Q67" s="638"/>
      <c r="R67" s="51">
        <f t="shared" ca="1" si="3"/>
        <v>11575232</v>
      </c>
    </row>
    <row r="68" spans="1:18" ht="15" customHeight="1" thickBot="1" x14ac:dyDescent="0.35">
      <c r="A68" s="632" t="s">
        <v>18</v>
      </c>
      <c r="B68" s="633"/>
      <c r="C68" s="709">
        <f ca="1">C66-C67</f>
        <v>13129808</v>
      </c>
      <c r="D68" s="711"/>
      <c r="E68" s="709">
        <f ca="1">E66-E67</f>
        <v>0</v>
      </c>
      <c r="F68" s="711"/>
      <c r="G68" s="709">
        <f ca="1">G66-G67</f>
        <v>0</v>
      </c>
      <c r="H68" s="711"/>
      <c r="I68" s="709">
        <f ca="1">I66-I67</f>
        <v>0</v>
      </c>
      <c r="J68" s="711"/>
      <c r="K68" s="709">
        <f ca="1">K66-K67</f>
        <v>0</v>
      </c>
      <c r="L68" s="711"/>
      <c r="M68" s="709">
        <f ca="1">M66-M67</f>
        <v>0</v>
      </c>
      <c r="N68" s="710"/>
      <c r="O68" s="26"/>
      <c r="P68" s="663" t="s">
        <v>35</v>
      </c>
      <c r="Q68" s="664"/>
      <c r="R68" s="52">
        <f t="shared" ca="1" si="3"/>
        <v>208473448</v>
      </c>
    </row>
    <row r="69" spans="1:18" ht="15" customHeight="1" x14ac:dyDescent="0.3">
      <c r="A69" s="729" t="s">
        <v>147</v>
      </c>
      <c r="B69" s="324" t="s">
        <v>149</v>
      </c>
      <c r="C69" s="239"/>
      <c r="D69" s="19"/>
      <c r="E69" s="231"/>
      <c r="F69" s="19"/>
      <c r="G69" s="231"/>
      <c r="H69" s="19"/>
      <c r="I69" s="231"/>
      <c r="J69" s="19"/>
      <c r="K69" s="231"/>
      <c r="L69" s="167"/>
      <c r="M69" s="231"/>
      <c r="N69" s="66"/>
      <c r="O69" s="6"/>
      <c r="P69" s="729" t="s">
        <v>147</v>
      </c>
      <c r="Q69" s="324" t="s">
        <v>149</v>
      </c>
      <c r="R69" s="182">
        <f t="shared" si="3"/>
        <v>0</v>
      </c>
    </row>
    <row r="70" spans="1:18" ht="15" customHeight="1" x14ac:dyDescent="0.3">
      <c r="A70" s="730"/>
      <c r="B70" s="325" t="s">
        <v>150</v>
      </c>
      <c r="C70" s="237"/>
      <c r="D70" s="20"/>
      <c r="E70" s="233"/>
      <c r="F70" s="20"/>
      <c r="G70" s="233"/>
      <c r="H70" s="20"/>
      <c r="I70" s="233"/>
      <c r="J70" s="20"/>
      <c r="K70" s="233"/>
      <c r="L70" s="172"/>
      <c r="M70" s="233"/>
      <c r="N70" s="67"/>
      <c r="O70" s="6"/>
      <c r="P70" s="730"/>
      <c r="Q70" s="325" t="s">
        <v>150</v>
      </c>
      <c r="R70" s="183">
        <f t="shared" si="3"/>
        <v>0</v>
      </c>
    </row>
    <row r="71" spans="1:18" ht="15" customHeight="1" x14ac:dyDescent="0.3">
      <c r="A71" s="730"/>
      <c r="B71" s="325" t="s">
        <v>151</v>
      </c>
      <c r="C71" s="237"/>
      <c r="D71" s="20"/>
      <c r="E71" s="237"/>
      <c r="F71" s="20"/>
      <c r="G71" s="233"/>
      <c r="H71" s="20"/>
      <c r="I71" s="233"/>
      <c r="J71" s="20"/>
      <c r="K71" s="233"/>
      <c r="L71" s="172"/>
      <c r="M71" s="233"/>
      <c r="N71" s="67"/>
      <c r="O71" s="6"/>
      <c r="P71" s="730"/>
      <c r="Q71" s="325" t="s">
        <v>151</v>
      </c>
      <c r="R71" s="183">
        <f t="shared" si="3"/>
        <v>0</v>
      </c>
    </row>
    <row r="72" spans="1:18" ht="15" customHeight="1" x14ac:dyDescent="0.3">
      <c r="A72" s="730"/>
      <c r="B72" s="325" t="s">
        <v>148</v>
      </c>
      <c r="C72" s="237"/>
      <c r="D72" s="20"/>
      <c r="E72" s="237"/>
      <c r="F72" s="20"/>
      <c r="G72" s="233"/>
      <c r="H72" s="20"/>
      <c r="I72" s="233"/>
      <c r="J72" s="20"/>
      <c r="K72" s="233"/>
      <c r="L72" s="172"/>
      <c r="M72" s="233"/>
      <c r="N72" s="67"/>
      <c r="O72" s="6"/>
      <c r="P72" s="730"/>
      <c r="Q72" s="325" t="s">
        <v>148</v>
      </c>
      <c r="R72" s="183">
        <f t="shared" si="3"/>
        <v>0</v>
      </c>
    </row>
    <row r="73" spans="1:18" ht="15" customHeight="1" thickBot="1" x14ac:dyDescent="0.35">
      <c r="A73" s="731"/>
      <c r="B73" s="141" t="s">
        <v>89</v>
      </c>
      <c r="C73" s="235"/>
      <c r="D73" s="18"/>
      <c r="E73" s="235"/>
      <c r="F73" s="18"/>
      <c r="G73" s="236"/>
      <c r="H73" s="18"/>
      <c r="I73" s="236"/>
      <c r="J73" s="18"/>
      <c r="K73" s="236"/>
      <c r="L73" s="168"/>
      <c r="M73" s="236"/>
      <c r="N73" s="68"/>
      <c r="O73" s="6"/>
      <c r="P73" s="731"/>
      <c r="Q73" s="141" t="s">
        <v>89</v>
      </c>
      <c r="R73" s="184">
        <f t="shared" si="3"/>
        <v>0</v>
      </c>
    </row>
    <row r="74" spans="1:18" ht="15" customHeight="1" x14ac:dyDescent="0.3">
      <c r="A74" s="626" t="s">
        <v>50</v>
      </c>
      <c r="B74" s="344" t="s">
        <v>168</v>
      </c>
      <c r="C74" s="8"/>
      <c r="D74" s="19"/>
      <c r="E74" s="231"/>
      <c r="F74" s="19"/>
      <c r="G74" s="231"/>
      <c r="H74" s="19"/>
      <c r="I74" s="231"/>
      <c r="J74" s="19"/>
      <c r="K74" s="231"/>
      <c r="L74" s="167"/>
      <c r="M74" s="231"/>
      <c r="N74" s="66"/>
      <c r="O74" s="6"/>
      <c r="P74" s="626" t="s">
        <v>50</v>
      </c>
      <c r="Q74" s="344" t="s">
        <v>168</v>
      </c>
      <c r="R74" s="182">
        <f t="shared" si="3"/>
        <v>60000000</v>
      </c>
    </row>
    <row r="75" spans="1:18" ht="15" customHeight="1" x14ac:dyDescent="0.3">
      <c r="A75" s="627"/>
      <c r="B75" s="343" t="s">
        <v>163</v>
      </c>
      <c r="C75" s="43"/>
      <c r="D75" s="21"/>
      <c r="E75" s="233"/>
      <c r="F75" s="21"/>
      <c r="G75" s="233"/>
      <c r="H75" s="21"/>
      <c r="I75" s="233"/>
      <c r="J75" s="21"/>
      <c r="K75" s="234"/>
      <c r="L75" s="169"/>
      <c r="M75" s="234"/>
      <c r="N75" s="69"/>
      <c r="O75" s="6"/>
      <c r="P75" s="627"/>
      <c r="Q75" s="343" t="s">
        <v>163</v>
      </c>
      <c r="R75" s="183">
        <f t="shared" si="3"/>
        <v>0</v>
      </c>
    </row>
    <row r="76" spans="1:18" ht="15" customHeight="1" x14ac:dyDescent="0.3">
      <c r="A76" s="627"/>
      <c r="B76" s="326" t="s">
        <v>162</v>
      </c>
      <c r="C76" s="43">
        <v>30000000</v>
      </c>
      <c r="D76" s="21" t="s">
        <v>155</v>
      </c>
      <c r="E76" s="234"/>
      <c r="F76" s="21"/>
      <c r="G76" s="233"/>
      <c r="H76" s="21"/>
      <c r="I76" s="234"/>
      <c r="J76" s="21"/>
      <c r="K76" s="234"/>
      <c r="L76" s="169"/>
      <c r="M76" s="234"/>
      <c r="N76" s="69"/>
      <c r="O76" s="6"/>
      <c r="P76" s="627"/>
      <c r="Q76" s="326" t="s">
        <v>162</v>
      </c>
      <c r="R76" s="183">
        <f t="shared" ref="R76:R79" si="4">R19+C76+E76+G76+I76+K76+M76</f>
        <v>32500000</v>
      </c>
    </row>
    <row r="77" spans="1:18" ht="15" customHeight="1" x14ac:dyDescent="0.3">
      <c r="A77" s="627"/>
      <c r="B77" s="343" t="s">
        <v>164</v>
      </c>
      <c r="C77" s="43">
        <v>45000000</v>
      </c>
      <c r="D77" s="21" t="s">
        <v>155</v>
      </c>
      <c r="E77" s="234"/>
      <c r="F77" s="21"/>
      <c r="G77" s="233"/>
      <c r="H77" s="21"/>
      <c r="I77" s="234"/>
      <c r="J77" s="21"/>
      <c r="K77" s="234"/>
      <c r="L77" s="169"/>
      <c r="M77" s="234"/>
      <c r="N77" s="69"/>
      <c r="O77" s="6"/>
      <c r="P77" s="627"/>
      <c r="Q77" s="343" t="s">
        <v>164</v>
      </c>
      <c r="R77" s="183">
        <f t="shared" si="4"/>
        <v>55000000</v>
      </c>
    </row>
    <row r="78" spans="1:18" ht="15" customHeight="1" x14ac:dyDescent="0.3">
      <c r="A78" s="627"/>
      <c r="B78" s="326" t="s">
        <v>165</v>
      </c>
      <c r="C78" s="43"/>
      <c r="D78" s="21"/>
      <c r="E78" s="234"/>
      <c r="F78" s="21"/>
      <c r="G78" s="233"/>
      <c r="H78" s="21"/>
      <c r="I78" s="234"/>
      <c r="J78" s="21"/>
      <c r="K78" s="234"/>
      <c r="L78" s="169"/>
      <c r="M78" s="234"/>
      <c r="N78" s="69"/>
      <c r="O78" s="6"/>
      <c r="P78" s="627"/>
      <c r="Q78" s="326" t="s">
        <v>165</v>
      </c>
      <c r="R78" s="183">
        <f t="shared" si="4"/>
        <v>0</v>
      </c>
    </row>
    <row r="79" spans="1:18" ht="15" customHeight="1" x14ac:dyDescent="0.3">
      <c r="A79" s="627"/>
      <c r="B79" s="326" t="s">
        <v>184</v>
      </c>
      <c r="C79" s="43"/>
      <c r="D79" s="21"/>
      <c r="E79" s="234"/>
      <c r="F79" s="21"/>
      <c r="G79" s="233"/>
      <c r="H79" s="21"/>
      <c r="I79" s="234"/>
      <c r="J79" s="21"/>
      <c r="K79" s="234"/>
      <c r="L79" s="169"/>
      <c r="M79" s="234"/>
      <c r="N79" s="69"/>
      <c r="O79" s="6"/>
      <c r="P79" s="627"/>
      <c r="Q79" s="326" t="s">
        <v>184</v>
      </c>
      <c r="R79" s="183">
        <f t="shared" si="4"/>
        <v>0</v>
      </c>
    </row>
    <row r="80" spans="1:18" ht="15" customHeight="1" x14ac:dyDescent="0.3">
      <c r="A80" s="627"/>
      <c r="B80" s="326" t="s">
        <v>185</v>
      </c>
      <c r="C80" s="43">
        <v>45000000</v>
      </c>
      <c r="D80" s="21" t="s">
        <v>155</v>
      </c>
      <c r="E80" s="234"/>
      <c r="F80" s="21"/>
      <c r="G80" s="233"/>
      <c r="H80" s="21"/>
      <c r="I80" s="234"/>
      <c r="J80" s="21"/>
      <c r="K80" s="234"/>
      <c r="L80" s="169"/>
      <c r="M80" s="234"/>
      <c r="N80" s="69"/>
      <c r="O80" s="6"/>
      <c r="P80" s="627"/>
      <c r="Q80" s="326" t="s">
        <v>185</v>
      </c>
      <c r="R80" s="183">
        <f>R19+C80+E80+G80+I80+K80+M80</f>
        <v>47500000</v>
      </c>
    </row>
    <row r="81" spans="1:18" ht="15" customHeight="1" x14ac:dyDescent="0.3">
      <c r="A81" s="627"/>
      <c r="B81" s="343" t="s">
        <v>166</v>
      </c>
      <c r="C81" s="43"/>
      <c r="D81" s="21"/>
      <c r="E81" s="233"/>
      <c r="F81" s="21"/>
      <c r="G81" s="234"/>
      <c r="H81" s="21"/>
      <c r="I81" s="232"/>
      <c r="J81" s="21"/>
      <c r="K81" s="234"/>
      <c r="L81" s="169"/>
      <c r="M81" s="234"/>
      <c r="N81" s="69"/>
      <c r="O81" s="6"/>
      <c r="P81" s="627"/>
      <c r="Q81" s="343" t="s">
        <v>166</v>
      </c>
      <c r="R81" s="183">
        <f>R23+C81+E81+G81+I81+K81+M81</f>
        <v>0</v>
      </c>
    </row>
    <row r="82" spans="1:18" ht="15" customHeight="1" x14ac:dyDescent="0.3">
      <c r="A82" s="627"/>
      <c r="B82" s="326" t="s">
        <v>167</v>
      </c>
      <c r="C82" s="49"/>
      <c r="D82" s="47"/>
      <c r="E82" s="244"/>
      <c r="F82" s="21"/>
      <c r="G82" s="238"/>
      <c r="H82" s="21"/>
      <c r="I82" s="322"/>
      <c r="J82" s="21"/>
      <c r="K82" s="234"/>
      <c r="L82" s="169"/>
      <c r="M82" s="234"/>
      <c r="N82" s="69"/>
      <c r="O82" s="6"/>
      <c r="P82" s="627"/>
      <c r="Q82" s="326" t="s">
        <v>167</v>
      </c>
      <c r="R82" s="183">
        <f>R24+C82+E82+G82+I82+K82+M82</f>
        <v>10000000</v>
      </c>
    </row>
    <row r="83" spans="1:18" ht="15" customHeight="1" thickBot="1" x14ac:dyDescent="0.35">
      <c r="A83" s="627"/>
      <c r="B83" s="327" t="s">
        <v>186</v>
      </c>
      <c r="C83" s="235"/>
      <c r="D83" s="18"/>
      <c r="E83" s="236"/>
      <c r="F83" s="21"/>
      <c r="G83" s="236"/>
      <c r="H83" s="21"/>
      <c r="I83" s="236"/>
      <c r="J83" s="21"/>
      <c r="K83" s="234"/>
      <c r="L83" s="169"/>
      <c r="M83" s="234"/>
      <c r="N83" s="69"/>
      <c r="O83" s="6"/>
      <c r="P83" s="627"/>
      <c r="Q83" s="327" t="s">
        <v>186</v>
      </c>
      <c r="R83" s="184">
        <f t="shared" ref="R83:R104" si="5">R26+C83+E83+G83+I83+K83+M83</f>
        <v>0</v>
      </c>
    </row>
    <row r="84" spans="1:18" ht="15" customHeight="1" x14ac:dyDescent="0.3">
      <c r="A84" s="721" t="s">
        <v>19</v>
      </c>
      <c r="B84" s="145" t="s">
        <v>51</v>
      </c>
      <c r="C84" s="233"/>
      <c r="D84" s="19"/>
      <c r="E84" s="233"/>
      <c r="F84" s="19"/>
      <c r="G84" s="233"/>
      <c r="H84" s="19"/>
      <c r="I84" s="231"/>
      <c r="J84" s="19"/>
      <c r="K84" s="231"/>
      <c r="L84" s="167"/>
      <c r="M84" s="231"/>
      <c r="N84" s="66"/>
      <c r="O84" s="6"/>
      <c r="P84" s="721" t="s">
        <v>19</v>
      </c>
      <c r="Q84" s="145" t="s">
        <v>51</v>
      </c>
      <c r="R84" s="182">
        <f t="shared" si="5"/>
        <v>10000000</v>
      </c>
    </row>
    <row r="85" spans="1:18" ht="15" customHeight="1" x14ac:dyDescent="0.3">
      <c r="A85" s="722"/>
      <c r="B85" s="146" t="s">
        <v>43</v>
      </c>
      <c r="C85" s="233"/>
      <c r="D85" s="21"/>
      <c r="E85" s="234"/>
      <c r="F85" s="21"/>
      <c r="G85" s="233"/>
      <c r="H85" s="21"/>
      <c r="I85" s="234"/>
      <c r="J85" s="21"/>
      <c r="K85" s="233"/>
      <c r="L85" s="169"/>
      <c r="M85" s="234"/>
      <c r="N85" s="69"/>
      <c r="O85" s="6"/>
      <c r="P85" s="722"/>
      <c r="Q85" s="146" t="s">
        <v>43</v>
      </c>
      <c r="R85" s="183">
        <f t="shared" si="5"/>
        <v>0</v>
      </c>
    </row>
    <row r="86" spans="1:18" ht="15" customHeight="1" thickBot="1" x14ac:dyDescent="0.35">
      <c r="A86" s="722"/>
      <c r="B86" s="147" t="s">
        <v>53</v>
      </c>
      <c r="C86" s="238"/>
      <c r="D86" s="47"/>
      <c r="E86" s="238"/>
      <c r="F86" s="47"/>
      <c r="G86" s="238"/>
      <c r="H86" s="47"/>
      <c r="I86" s="238"/>
      <c r="J86" s="47"/>
      <c r="K86" s="238"/>
      <c r="L86" s="170"/>
      <c r="M86" s="238"/>
      <c r="N86" s="70"/>
      <c r="O86" s="6"/>
      <c r="P86" s="722"/>
      <c r="Q86" s="147" t="s">
        <v>53</v>
      </c>
      <c r="R86" s="184">
        <f t="shared" si="5"/>
        <v>0</v>
      </c>
    </row>
    <row r="87" spans="1:18" ht="15" customHeight="1" x14ac:dyDescent="0.3">
      <c r="A87" s="722"/>
      <c r="B87" s="148" t="s">
        <v>65</v>
      </c>
      <c r="C87" s="231"/>
      <c r="D87" s="19"/>
      <c r="E87" s="231"/>
      <c r="F87" s="19"/>
      <c r="G87" s="231"/>
      <c r="H87" s="19"/>
      <c r="I87" s="231"/>
      <c r="J87" s="19"/>
      <c r="K87" s="231"/>
      <c r="L87" s="167"/>
      <c r="M87" s="231"/>
      <c r="N87" s="66"/>
      <c r="O87" s="6"/>
      <c r="P87" s="722"/>
      <c r="Q87" s="148" t="s">
        <v>65</v>
      </c>
      <c r="R87" s="182">
        <f t="shared" si="5"/>
        <v>0</v>
      </c>
    </row>
    <row r="88" spans="1:18" ht="15" customHeight="1" x14ac:dyDescent="0.3">
      <c r="A88" s="722"/>
      <c r="B88" s="149" t="s">
        <v>8</v>
      </c>
      <c r="C88" s="233"/>
      <c r="D88" s="21"/>
      <c r="E88" s="233"/>
      <c r="F88" s="21"/>
      <c r="G88" s="233"/>
      <c r="H88" s="21"/>
      <c r="I88" s="233"/>
      <c r="J88" s="20"/>
      <c r="K88" s="233"/>
      <c r="L88" s="169"/>
      <c r="M88" s="234"/>
      <c r="N88" s="69"/>
      <c r="O88" s="6"/>
      <c r="P88" s="722"/>
      <c r="Q88" s="149" t="s">
        <v>8</v>
      </c>
      <c r="R88" s="183">
        <f t="shared" si="5"/>
        <v>10000000</v>
      </c>
    </row>
    <row r="89" spans="1:18" ht="15" customHeight="1" thickBot="1" x14ac:dyDescent="0.35">
      <c r="A89" s="722"/>
      <c r="B89" s="150" t="s">
        <v>5</v>
      </c>
      <c r="C89" s="236"/>
      <c r="D89" s="18"/>
      <c r="E89" s="238"/>
      <c r="F89" s="47"/>
      <c r="G89" s="238"/>
      <c r="H89" s="47"/>
      <c r="I89" s="238"/>
      <c r="J89" s="47"/>
      <c r="K89" s="244"/>
      <c r="L89" s="170"/>
      <c r="M89" s="244"/>
      <c r="N89" s="70"/>
      <c r="O89" s="6"/>
      <c r="P89" s="722"/>
      <c r="Q89" s="150" t="s">
        <v>5</v>
      </c>
      <c r="R89" s="184">
        <f t="shared" si="5"/>
        <v>0</v>
      </c>
    </row>
    <row r="90" spans="1:18" ht="15" customHeight="1" thickBot="1" x14ac:dyDescent="0.35">
      <c r="A90" s="722"/>
      <c r="B90" s="283" t="s">
        <v>107</v>
      </c>
      <c r="C90" s="245"/>
      <c r="D90" s="22"/>
      <c r="E90" s="243"/>
      <c r="F90" s="22"/>
      <c r="G90" s="243"/>
      <c r="H90" s="22"/>
      <c r="I90" s="243"/>
      <c r="J90" s="22"/>
      <c r="K90" s="243"/>
      <c r="L90" s="171"/>
      <c r="M90" s="243"/>
      <c r="N90" s="71"/>
      <c r="O90" s="6"/>
      <c r="P90" s="722"/>
      <c r="Q90" s="283" t="s">
        <v>107</v>
      </c>
      <c r="R90" s="108">
        <f t="shared" si="5"/>
        <v>20000000</v>
      </c>
    </row>
    <row r="91" spans="1:18" ht="15" customHeight="1" x14ac:dyDescent="0.3">
      <c r="A91" s="723" t="s">
        <v>16</v>
      </c>
      <c r="B91" s="152" t="s">
        <v>36</v>
      </c>
      <c r="C91" s="239"/>
      <c r="D91" s="19"/>
      <c r="E91" s="231"/>
      <c r="F91" s="19"/>
      <c r="G91" s="231"/>
      <c r="H91" s="19"/>
      <c r="I91" s="231"/>
      <c r="J91" s="19"/>
      <c r="K91" s="231"/>
      <c r="L91" s="167"/>
      <c r="M91" s="231"/>
      <c r="N91" s="66"/>
      <c r="O91" s="6"/>
      <c r="P91" s="723" t="s">
        <v>16</v>
      </c>
      <c r="Q91" s="152" t="s">
        <v>36</v>
      </c>
      <c r="R91" s="182">
        <f t="shared" si="5"/>
        <v>0</v>
      </c>
    </row>
    <row r="92" spans="1:18" ht="15" customHeight="1" x14ac:dyDescent="0.3">
      <c r="A92" s="724"/>
      <c r="B92" s="153" t="s">
        <v>81</v>
      </c>
      <c r="C92" s="237"/>
      <c r="D92" s="20"/>
      <c r="E92" s="233"/>
      <c r="F92" s="21"/>
      <c r="G92" s="233"/>
      <c r="H92" s="20"/>
      <c r="I92" s="233"/>
      <c r="J92" s="20"/>
      <c r="K92" s="233"/>
      <c r="L92" s="172"/>
      <c r="M92" s="233"/>
      <c r="N92" s="67"/>
      <c r="O92" s="6"/>
      <c r="P92" s="724"/>
      <c r="Q92" s="153" t="s">
        <v>81</v>
      </c>
      <c r="R92" s="183">
        <f t="shared" si="5"/>
        <v>0</v>
      </c>
    </row>
    <row r="93" spans="1:18" ht="15" customHeight="1" x14ac:dyDescent="0.3">
      <c r="A93" s="724"/>
      <c r="B93" s="153" t="s">
        <v>78</v>
      </c>
      <c r="C93" s="237"/>
      <c r="D93" s="20"/>
      <c r="E93" s="233"/>
      <c r="F93" s="4"/>
      <c r="G93" s="233"/>
      <c r="H93" s="20"/>
      <c r="I93" s="233"/>
      <c r="J93" s="20"/>
      <c r="K93" s="233"/>
      <c r="L93" s="172"/>
      <c r="M93" s="233"/>
      <c r="N93" s="67"/>
      <c r="O93" s="6"/>
      <c r="P93" s="724"/>
      <c r="Q93" s="153" t="s">
        <v>78</v>
      </c>
      <c r="R93" s="183">
        <f t="shared" si="5"/>
        <v>160000000</v>
      </c>
    </row>
    <row r="94" spans="1:18" ht="15" customHeight="1" thickBot="1" x14ac:dyDescent="0.35">
      <c r="A94" s="725"/>
      <c r="B94" s="154" t="s">
        <v>87</v>
      </c>
      <c r="C94" s="235"/>
      <c r="D94" s="18"/>
      <c r="E94" s="236"/>
      <c r="F94" s="18"/>
      <c r="G94" s="233"/>
      <c r="H94" s="18"/>
      <c r="I94" s="236"/>
      <c r="J94" s="18"/>
      <c r="K94" s="236"/>
      <c r="L94" s="168"/>
      <c r="M94" s="236"/>
      <c r="N94" s="68"/>
      <c r="O94" s="6"/>
      <c r="P94" s="725"/>
      <c r="Q94" s="154" t="s">
        <v>87</v>
      </c>
      <c r="R94" s="184">
        <f t="shared" si="5"/>
        <v>80000000</v>
      </c>
    </row>
    <row r="95" spans="1:18" ht="15" customHeight="1" x14ac:dyDescent="0.3">
      <c r="A95" s="726" t="s">
        <v>47</v>
      </c>
      <c r="B95" s="155" t="s">
        <v>48</v>
      </c>
      <c r="C95" s="239"/>
      <c r="D95" s="19"/>
      <c r="E95" s="234"/>
      <c r="F95" s="19"/>
      <c r="G95" s="231"/>
      <c r="H95" s="19"/>
      <c r="I95" s="231"/>
      <c r="J95" s="19"/>
      <c r="K95" s="231"/>
      <c r="L95" s="167"/>
      <c r="M95" s="234"/>
      <c r="N95" s="69"/>
      <c r="O95" s="6"/>
      <c r="P95" s="726" t="s">
        <v>47</v>
      </c>
      <c r="Q95" s="155" t="s">
        <v>48</v>
      </c>
      <c r="R95" s="182">
        <f t="shared" si="5"/>
        <v>0</v>
      </c>
    </row>
    <row r="96" spans="1:18" ht="15" customHeight="1" x14ac:dyDescent="0.3">
      <c r="A96" s="727"/>
      <c r="B96" s="156" t="s">
        <v>44</v>
      </c>
      <c r="C96" s="237"/>
      <c r="D96" s="20"/>
      <c r="E96" s="233"/>
      <c r="F96" s="20"/>
      <c r="G96" s="233"/>
      <c r="H96" s="20"/>
      <c r="I96" s="233"/>
      <c r="J96" s="20"/>
      <c r="K96" s="233"/>
      <c r="L96" s="172"/>
      <c r="M96" s="233"/>
      <c r="N96" s="67"/>
      <c r="O96" s="6"/>
      <c r="P96" s="727"/>
      <c r="Q96" s="156" t="s">
        <v>44</v>
      </c>
      <c r="R96" s="183">
        <f t="shared" si="5"/>
        <v>0</v>
      </c>
    </row>
    <row r="97" spans="1:18" ht="15" customHeight="1" thickBot="1" x14ac:dyDescent="0.35">
      <c r="A97" s="728"/>
      <c r="B97" s="157" t="s">
        <v>54</v>
      </c>
      <c r="C97" s="232"/>
      <c r="D97" s="21"/>
      <c r="E97" s="236"/>
      <c r="F97" s="18"/>
      <c r="G97" s="236"/>
      <c r="H97" s="18"/>
      <c r="I97" s="236"/>
      <c r="J97" s="18"/>
      <c r="K97" s="236"/>
      <c r="L97" s="168"/>
      <c r="M97" s="236"/>
      <c r="N97" s="68"/>
      <c r="O97" s="6"/>
      <c r="P97" s="728"/>
      <c r="Q97" s="157" t="s">
        <v>54</v>
      </c>
      <c r="R97" s="184">
        <f t="shared" si="5"/>
        <v>100000000</v>
      </c>
    </row>
    <row r="98" spans="1:18" ht="15" customHeight="1" x14ac:dyDescent="0.3">
      <c r="A98" s="746" t="s">
        <v>39</v>
      </c>
      <c r="B98" s="158" t="s">
        <v>44</v>
      </c>
      <c r="C98" s="239"/>
      <c r="D98" s="19"/>
      <c r="E98" s="231"/>
      <c r="F98" s="19"/>
      <c r="G98" s="231"/>
      <c r="H98" s="19"/>
      <c r="I98" s="231"/>
      <c r="J98" s="19"/>
      <c r="K98" s="231"/>
      <c r="L98" s="167"/>
      <c r="M98" s="231"/>
      <c r="N98" s="66"/>
      <c r="O98" s="6"/>
      <c r="P98" s="746" t="s">
        <v>39</v>
      </c>
      <c r="Q98" s="158" t="s">
        <v>44</v>
      </c>
      <c r="R98" s="182">
        <f t="shared" si="5"/>
        <v>300000</v>
      </c>
    </row>
    <row r="99" spans="1:18" ht="15" customHeight="1" x14ac:dyDescent="0.3">
      <c r="A99" s="747"/>
      <c r="B99" s="158" t="s">
        <v>54</v>
      </c>
      <c r="C99" s="237"/>
      <c r="D99" s="20"/>
      <c r="E99" s="233"/>
      <c r="F99" s="21"/>
      <c r="G99" s="233"/>
      <c r="H99" s="20"/>
      <c r="I99" s="233"/>
      <c r="J99" s="20"/>
      <c r="K99" s="233"/>
      <c r="L99" s="172"/>
      <c r="M99" s="233"/>
      <c r="N99" s="67"/>
      <c r="O99" s="6"/>
      <c r="P99" s="747"/>
      <c r="Q99" s="158" t="s">
        <v>54</v>
      </c>
      <c r="R99" s="183">
        <f t="shared" si="5"/>
        <v>0</v>
      </c>
    </row>
    <row r="100" spans="1:18" ht="15" customHeight="1" x14ac:dyDescent="0.3">
      <c r="A100" s="747"/>
      <c r="B100" s="292" t="s">
        <v>100</v>
      </c>
      <c r="C100" s="237"/>
      <c r="D100" s="20"/>
      <c r="E100" s="233"/>
      <c r="F100" s="21"/>
      <c r="G100" s="233"/>
      <c r="H100" s="21"/>
      <c r="I100" s="234"/>
      <c r="J100" s="21"/>
      <c r="K100" s="234"/>
      <c r="L100" s="169"/>
      <c r="M100" s="246"/>
      <c r="N100" s="69"/>
      <c r="O100" s="6"/>
      <c r="P100" s="747"/>
      <c r="Q100" s="292" t="s">
        <v>100</v>
      </c>
      <c r="R100" s="183">
        <f t="shared" si="5"/>
        <v>6000000</v>
      </c>
    </row>
    <row r="101" spans="1:18" ht="15" customHeight="1" thickBot="1" x14ac:dyDescent="0.35">
      <c r="A101" s="747"/>
      <c r="B101" s="287" t="s">
        <v>113</v>
      </c>
      <c r="C101" s="241"/>
      <c r="D101" s="34"/>
      <c r="E101" s="244"/>
      <c r="F101" s="34"/>
      <c r="G101" s="244"/>
      <c r="H101" s="34"/>
      <c r="I101" s="238"/>
      <c r="J101" s="34"/>
      <c r="K101" s="238"/>
      <c r="L101" s="226"/>
      <c r="M101" s="244"/>
      <c r="N101" s="72"/>
      <c r="O101" s="6"/>
      <c r="P101" s="747"/>
      <c r="Q101" s="287" t="s">
        <v>113</v>
      </c>
      <c r="R101" s="184">
        <f t="shared" si="5"/>
        <v>20000000</v>
      </c>
    </row>
    <row r="102" spans="1:18" ht="15" customHeight="1" x14ac:dyDescent="0.3">
      <c r="A102" s="748" t="s">
        <v>40</v>
      </c>
      <c r="B102" s="229" t="s">
        <v>45</v>
      </c>
      <c r="C102" s="231"/>
      <c r="D102" s="19"/>
      <c r="E102" s="231"/>
      <c r="F102" s="19"/>
      <c r="G102" s="231"/>
      <c r="H102" s="19"/>
      <c r="I102" s="231"/>
      <c r="J102" s="19"/>
      <c r="K102" s="231"/>
      <c r="L102" s="167"/>
      <c r="M102" s="231"/>
      <c r="N102" s="66"/>
      <c r="O102" s="6"/>
      <c r="P102" s="748" t="s">
        <v>40</v>
      </c>
      <c r="Q102" s="229" t="s">
        <v>45</v>
      </c>
      <c r="R102" s="182">
        <f t="shared" si="5"/>
        <v>500000</v>
      </c>
    </row>
    <row r="103" spans="1:18" ht="15" customHeight="1" thickBot="1" x14ac:dyDescent="0.35">
      <c r="A103" s="749"/>
      <c r="B103" s="252" t="s">
        <v>42</v>
      </c>
      <c r="C103" s="242"/>
      <c r="D103" s="18"/>
      <c r="E103" s="240"/>
      <c r="F103" s="38"/>
      <c r="G103" s="240"/>
      <c r="H103" s="38"/>
      <c r="I103" s="240"/>
      <c r="J103" s="38"/>
      <c r="K103" s="240"/>
      <c r="L103" s="225"/>
      <c r="M103" s="240"/>
      <c r="N103" s="73"/>
      <c r="O103" s="6"/>
      <c r="P103" s="749"/>
      <c r="Q103" s="252" t="s">
        <v>42</v>
      </c>
      <c r="R103" s="184">
        <f t="shared" si="5"/>
        <v>0</v>
      </c>
    </row>
    <row r="104" spans="1:18" ht="15" customHeight="1" x14ac:dyDescent="0.3">
      <c r="A104" s="750" t="s">
        <v>125</v>
      </c>
      <c r="B104" s="308" t="s">
        <v>126</v>
      </c>
      <c r="C104" s="239"/>
      <c r="D104" s="19"/>
      <c r="E104" s="239"/>
      <c r="F104" s="19"/>
      <c r="G104" s="239"/>
      <c r="H104" s="19"/>
      <c r="I104" s="239"/>
      <c r="J104" s="19"/>
      <c r="K104" s="231"/>
      <c r="L104" s="167"/>
      <c r="M104" s="231"/>
      <c r="N104" s="66"/>
      <c r="O104" s="6"/>
      <c r="P104" s="750" t="s">
        <v>125</v>
      </c>
      <c r="Q104" s="308" t="s">
        <v>126</v>
      </c>
      <c r="R104" s="182">
        <f t="shared" si="5"/>
        <v>200000</v>
      </c>
    </row>
    <row r="105" spans="1:18" ht="15" customHeight="1" x14ac:dyDescent="0.3">
      <c r="A105" s="750"/>
      <c r="B105" s="309" t="s">
        <v>127</v>
      </c>
      <c r="C105" s="322"/>
      <c r="D105" s="47"/>
      <c r="E105" s="322"/>
      <c r="F105" s="47"/>
      <c r="G105" s="322"/>
      <c r="H105" s="47"/>
      <c r="I105" s="322"/>
      <c r="J105" s="47"/>
      <c r="K105" s="238"/>
      <c r="L105" s="170"/>
      <c r="M105" s="238"/>
      <c r="N105" s="70"/>
      <c r="O105" s="6"/>
      <c r="P105" s="750"/>
      <c r="Q105" s="309" t="s">
        <v>127</v>
      </c>
      <c r="R105" s="323"/>
    </row>
    <row r="106" spans="1:18" ht="15" customHeight="1" thickBot="1" x14ac:dyDescent="0.35">
      <c r="A106" s="751"/>
      <c r="B106" s="310" t="s">
        <v>128</v>
      </c>
      <c r="C106" s="235"/>
      <c r="D106" s="18"/>
      <c r="E106" s="235"/>
      <c r="F106" s="18"/>
      <c r="G106" s="235"/>
      <c r="H106" s="18"/>
      <c r="I106" s="235"/>
      <c r="J106" s="18"/>
      <c r="K106" s="236"/>
      <c r="L106" s="168"/>
      <c r="M106" s="236"/>
      <c r="N106" s="68"/>
      <c r="O106" s="6"/>
      <c r="P106" s="751"/>
      <c r="Q106" s="310" t="s">
        <v>128</v>
      </c>
      <c r="R106" s="184">
        <f>R49+C106+E106+G106+I106+K106+M106</f>
        <v>20000</v>
      </c>
    </row>
    <row r="107" spans="1:18" ht="15" customHeight="1" x14ac:dyDescent="0.3">
      <c r="A107" s="732" t="s">
        <v>52</v>
      </c>
      <c r="B107" s="144" t="s">
        <v>41</v>
      </c>
      <c r="C107" s="237"/>
      <c r="D107" s="19"/>
      <c r="E107" s="231"/>
      <c r="F107" s="19"/>
      <c r="G107" s="231"/>
      <c r="H107" s="19"/>
      <c r="I107" s="231"/>
      <c r="J107" s="19"/>
      <c r="K107" s="231"/>
      <c r="L107" s="167"/>
      <c r="M107" s="231"/>
      <c r="N107" s="66"/>
      <c r="O107" s="6"/>
      <c r="P107" s="732" t="s">
        <v>52</v>
      </c>
      <c r="Q107" s="144" t="s">
        <v>41</v>
      </c>
      <c r="R107" s="182">
        <f>R50+C107+E107+G107+I107+K107+M107</f>
        <v>20000000</v>
      </c>
    </row>
    <row r="108" spans="1:18" ht="15" customHeight="1" x14ac:dyDescent="0.3">
      <c r="A108" s="733"/>
      <c r="B108" s="144" t="s">
        <v>11</v>
      </c>
      <c r="C108" s="237"/>
      <c r="D108" s="20"/>
      <c r="E108" s="233"/>
      <c r="F108" s="20"/>
      <c r="G108" s="233"/>
      <c r="H108" s="20"/>
      <c r="I108" s="233"/>
      <c r="J108" s="20"/>
      <c r="K108" s="233"/>
      <c r="L108" s="172"/>
      <c r="M108" s="233"/>
      <c r="N108" s="67"/>
      <c r="O108" s="6"/>
      <c r="P108" s="733"/>
      <c r="Q108" s="144" t="s">
        <v>11</v>
      </c>
      <c r="R108" s="183">
        <f>R51+C108+E108+G108+I108+K108+M108</f>
        <v>50000000</v>
      </c>
    </row>
    <row r="109" spans="1:18" ht="15" customHeight="1" thickBot="1" x14ac:dyDescent="0.35">
      <c r="A109" s="734"/>
      <c r="B109" s="164" t="s">
        <v>27</v>
      </c>
      <c r="C109" s="237"/>
      <c r="D109" s="20"/>
      <c r="E109" s="234"/>
      <c r="F109" s="21"/>
      <c r="G109" s="234"/>
      <c r="H109" s="21"/>
      <c r="I109" s="234"/>
      <c r="J109" s="21"/>
      <c r="K109" s="234"/>
      <c r="L109" s="169"/>
      <c r="M109" s="234"/>
      <c r="N109" s="69"/>
      <c r="O109" s="6"/>
      <c r="P109" s="734"/>
      <c r="Q109" s="164" t="s">
        <v>27</v>
      </c>
      <c r="R109" s="184">
        <f>R52+C109+E109+G109+I109+K109+M109</f>
        <v>200000000</v>
      </c>
    </row>
    <row r="110" spans="1:18" ht="15" customHeight="1" thickBot="1" x14ac:dyDescent="0.35">
      <c r="A110" s="735" t="s">
        <v>30</v>
      </c>
      <c r="B110" s="736"/>
      <c r="C110" s="243"/>
      <c r="D110" s="22"/>
      <c r="E110" s="243"/>
      <c r="F110" s="22"/>
      <c r="G110" s="243"/>
      <c r="H110" s="22"/>
      <c r="I110" s="243"/>
      <c r="J110" s="22"/>
      <c r="K110" s="243"/>
      <c r="L110" s="171"/>
      <c r="M110" s="243"/>
      <c r="N110" s="71"/>
      <c r="O110" s="6"/>
      <c r="P110" s="735" t="s">
        <v>30</v>
      </c>
      <c r="Q110" s="736"/>
      <c r="R110" s="107">
        <f>R53+C110+E110+G110+I110+K110+M110</f>
        <v>0</v>
      </c>
    </row>
    <row r="111" spans="1:18" ht="15" customHeight="1" x14ac:dyDescent="0.3">
      <c r="A111" s="737" t="s">
        <v>38</v>
      </c>
      <c r="B111" s="738"/>
      <c r="C111" s="202"/>
      <c r="D111" s="19"/>
      <c r="E111" s="251"/>
      <c r="F111" s="187"/>
      <c r="G111" s="189"/>
      <c r="H111" s="20"/>
      <c r="I111" s="189"/>
      <c r="J111" s="19"/>
      <c r="K111" s="189"/>
      <c r="L111" s="167"/>
      <c r="M111" s="189"/>
      <c r="N111" s="66"/>
      <c r="O111" s="6"/>
      <c r="P111" s="743" t="s">
        <v>38</v>
      </c>
      <c r="Q111" s="597"/>
      <c r="R111" s="598"/>
    </row>
    <row r="112" spans="1:18" ht="15" customHeight="1" x14ac:dyDescent="0.3">
      <c r="A112" s="739"/>
      <c r="B112" s="740"/>
      <c r="C112" s="251"/>
      <c r="D112" s="20"/>
      <c r="E112" s="210"/>
      <c r="F112" s="20"/>
      <c r="G112" s="188"/>
      <c r="H112" s="20"/>
      <c r="I112" s="188"/>
      <c r="J112" s="20"/>
      <c r="K112" s="188"/>
      <c r="L112" s="172"/>
      <c r="M112" s="188"/>
      <c r="N112" s="67"/>
      <c r="O112" s="6"/>
      <c r="P112" s="744"/>
      <c r="Q112" s="599"/>
      <c r="R112" s="600"/>
    </row>
    <row r="113" spans="1:18" ht="15" customHeight="1" x14ac:dyDescent="0.3">
      <c r="A113" s="739"/>
      <c r="B113" s="740"/>
      <c r="C113" s="251"/>
      <c r="D113" s="20"/>
      <c r="E113" s="188"/>
      <c r="F113" s="20"/>
      <c r="G113" s="188"/>
      <c r="H113" s="20"/>
      <c r="I113" s="188"/>
      <c r="J113" s="20"/>
      <c r="K113" s="188"/>
      <c r="L113" s="172"/>
      <c r="M113" s="188"/>
      <c r="N113" s="67"/>
      <c r="O113" s="6"/>
      <c r="P113" s="744"/>
      <c r="Q113" s="599"/>
      <c r="R113" s="600"/>
    </row>
    <row r="114" spans="1:18" ht="15" customHeight="1" thickBot="1" x14ac:dyDescent="0.35">
      <c r="A114" s="741"/>
      <c r="B114" s="742"/>
      <c r="C114" s="253"/>
      <c r="D114" s="18"/>
      <c r="E114" s="230"/>
      <c r="F114" s="18"/>
      <c r="G114" s="230"/>
      <c r="H114" s="18"/>
      <c r="I114" s="230"/>
      <c r="J114" s="18"/>
      <c r="K114" s="230"/>
      <c r="L114" s="168"/>
      <c r="M114" s="230"/>
      <c r="N114" s="68"/>
      <c r="O114" s="6"/>
      <c r="P114" s="745"/>
      <c r="Q114" s="601"/>
      <c r="R114" s="602"/>
    </row>
    <row r="115" spans="1:18" ht="15" customHeight="1" x14ac:dyDescent="0.3">
      <c r="A115" s="652" t="str">
        <f>A58</f>
        <v>이민호님 보장분석(전)</v>
      </c>
      <c r="B115" s="653"/>
      <c r="C115" s="752"/>
      <c r="D115" s="753"/>
      <c r="E115" s="752"/>
      <c r="F115" s="753"/>
      <c r="G115" s="752"/>
      <c r="H115" s="753"/>
      <c r="I115" s="752"/>
      <c r="J115" s="753"/>
      <c r="K115" s="752"/>
      <c r="L115" s="753"/>
      <c r="M115" s="752"/>
      <c r="N115" s="753"/>
      <c r="O115" s="138"/>
      <c r="P115" s="650" t="s">
        <v>15</v>
      </c>
      <c r="Q115" s="651"/>
      <c r="R115" s="137">
        <f ca="1">R58</f>
        <v>46140</v>
      </c>
    </row>
    <row r="116" spans="1:18" ht="15" customHeight="1" x14ac:dyDescent="0.3">
      <c r="A116" s="647" t="s">
        <v>49</v>
      </c>
      <c r="B116" s="648"/>
      <c r="C116" s="754"/>
      <c r="D116" s="754"/>
      <c r="E116" s="754"/>
      <c r="F116" s="754"/>
      <c r="G116" s="754"/>
      <c r="H116" s="754"/>
      <c r="I116" s="754"/>
      <c r="J116" s="754"/>
      <c r="K116" s="754"/>
      <c r="L116" s="754"/>
      <c r="M116" s="754"/>
      <c r="N116" s="755"/>
      <c r="O116" s="25"/>
      <c r="P116" s="654"/>
      <c r="Q116" s="655"/>
      <c r="R116" s="656"/>
    </row>
    <row r="117" spans="1:18" ht="15" customHeight="1" x14ac:dyDescent="0.3">
      <c r="A117" s="637" t="s">
        <v>28</v>
      </c>
      <c r="B117" s="638"/>
      <c r="C117" s="756"/>
      <c r="D117" s="756"/>
      <c r="E117" s="756"/>
      <c r="F117" s="756"/>
      <c r="G117" s="756"/>
      <c r="H117" s="756"/>
      <c r="I117" s="756"/>
      <c r="J117" s="756"/>
      <c r="K117" s="756"/>
      <c r="L117" s="756"/>
      <c r="M117" s="756"/>
      <c r="N117" s="756"/>
      <c r="O117" s="25"/>
      <c r="P117" s="657"/>
      <c r="Q117" s="658"/>
      <c r="R117" s="659"/>
    </row>
    <row r="118" spans="1:18" ht="15" customHeight="1" x14ac:dyDescent="0.3">
      <c r="A118" s="647" t="s">
        <v>17</v>
      </c>
      <c r="B118" s="648"/>
      <c r="C118" s="756"/>
      <c r="D118" s="756"/>
      <c r="E118" s="756"/>
      <c r="F118" s="754"/>
      <c r="G118" s="756"/>
      <c r="H118" s="754"/>
      <c r="I118" s="756"/>
      <c r="J118" s="754"/>
      <c r="K118" s="756"/>
      <c r="L118" s="754"/>
      <c r="M118" s="756"/>
      <c r="N118" s="755"/>
      <c r="O118" s="25"/>
      <c r="P118" s="657"/>
      <c r="Q118" s="658"/>
      <c r="R118" s="659"/>
    </row>
    <row r="119" spans="1:18" ht="15" customHeight="1" x14ac:dyDescent="0.3">
      <c r="A119" s="647" t="s">
        <v>23</v>
      </c>
      <c r="B119" s="648"/>
      <c r="C119" s="61"/>
      <c r="D119" s="62">
        <f ca="1">IF(DATEDIF(C118,$R$1,"m")&lt;C119*12,DATEDIF(C118,$R$1,"m"),C119*12)</f>
        <v>0</v>
      </c>
      <c r="E119" s="61"/>
      <c r="F119" s="62">
        <f ca="1">IF(DATEDIF(E118,$R$1,"m")&lt;E119*12,DATEDIF(E118,$R$1,"m"),E119*12)</f>
        <v>0</v>
      </c>
      <c r="G119" s="61"/>
      <c r="H119" s="62">
        <f ca="1">IF(DATEDIF(G118,$R$1,"m")&lt;G119*12,DATEDIF(G118,$R$1,"m"),G119*12)</f>
        <v>0</v>
      </c>
      <c r="I119" s="61"/>
      <c r="J119" s="62">
        <f ca="1">IF(DATEDIF(I118,$R$1,"m")&lt;I119*12,DATEDIF(I118,$R$1,"m"),I119*12)</f>
        <v>0</v>
      </c>
      <c r="K119" s="61"/>
      <c r="L119" s="62">
        <f ca="1">IF(DATEDIF(K118,$R$1,"m")&lt;K119*12,DATEDIF(K118,$R$1,"m"),K119*12)</f>
        <v>0</v>
      </c>
      <c r="M119" s="61"/>
      <c r="N119" s="65">
        <f ca="1">IF(DATEDIF(M118,$R$1,"m")&lt;M119*12,DATEDIF(M118,$R$1,"m"),M119*12)</f>
        <v>0</v>
      </c>
      <c r="O119" s="25"/>
      <c r="P119" s="657"/>
      <c r="Q119" s="658"/>
      <c r="R119" s="659"/>
    </row>
    <row r="120" spans="1:18" ht="15" customHeight="1" x14ac:dyDescent="0.3">
      <c r="A120" s="647" t="s">
        <v>2</v>
      </c>
      <c r="B120" s="648"/>
      <c r="C120" s="696"/>
      <c r="D120" s="696"/>
      <c r="E120" s="696"/>
      <c r="F120" s="696"/>
      <c r="G120" s="696"/>
      <c r="H120" s="696"/>
      <c r="I120" s="696"/>
      <c r="J120" s="696"/>
      <c r="K120" s="696"/>
      <c r="L120" s="696"/>
      <c r="M120" s="696"/>
      <c r="N120" s="717"/>
      <c r="O120" s="25"/>
      <c r="P120" s="660"/>
      <c r="Q120" s="661"/>
      <c r="R120" s="662"/>
    </row>
    <row r="121" spans="1:18" ht="15" customHeight="1" x14ac:dyDescent="0.3">
      <c r="A121" s="632" t="s">
        <v>37</v>
      </c>
      <c r="B121" s="633"/>
      <c r="C121" s="757"/>
      <c r="D121" s="758"/>
      <c r="E121" s="757"/>
      <c r="F121" s="758"/>
      <c r="G121" s="757"/>
      <c r="H121" s="758"/>
      <c r="I121" s="757"/>
      <c r="J121" s="758"/>
      <c r="K121" s="757"/>
      <c r="L121" s="758"/>
      <c r="M121" s="757"/>
      <c r="N121" s="759"/>
      <c r="O121" s="25"/>
      <c r="P121" s="643"/>
      <c r="Q121" s="644"/>
      <c r="R121" s="27" t="s">
        <v>91</v>
      </c>
    </row>
    <row r="122" spans="1:18" ht="15" customHeight="1" x14ac:dyDescent="0.3">
      <c r="A122" s="639" t="s">
        <v>12</v>
      </c>
      <c r="B122" s="640"/>
      <c r="C122" s="705"/>
      <c r="D122" s="705"/>
      <c r="E122" s="705"/>
      <c r="F122" s="705"/>
      <c r="G122" s="705"/>
      <c r="H122" s="705"/>
      <c r="I122" s="705"/>
      <c r="J122" s="705"/>
      <c r="K122" s="705"/>
      <c r="L122" s="705"/>
      <c r="M122" s="705"/>
      <c r="N122" s="720"/>
      <c r="O122" s="26"/>
      <c r="P122" s="635" t="s">
        <v>34</v>
      </c>
      <c r="Q122" s="636"/>
      <c r="R122" s="60">
        <f t="shared" ref="R122:R132" si="6">R65+C122+E122+G122+I122+K122+M122</f>
        <v>804455</v>
      </c>
    </row>
    <row r="123" spans="1:18" ht="15" customHeight="1" x14ac:dyDescent="0.3">
      <c r="A123" s="637" t="s">
        <v>3</v>
      </c>
      <c r="B123" s="638"/>
      <c r="C123" s="709">
        <f>C122*C119*12</f>
        <v>0</v>
      </c>
      <c r="D123" s="711"/>
      <c r="E123" s="709">
        <f>E122*E119*12</f>
        <v>0</v>
      </c>
      <c r="F123" s="711"/>
      <c r="G123" s="709">
        <f>G122*G119*12</f>
        <v>0</v>
      </c>
      <c r="H123" s="711"/>
      <c r="I123" s="709">
        <f>I122*I119*12</f>
        <v>0</v>
      </c>
      <c r="J123" s="711"/>
      <c r="K123" s="709">
        <f>K122*K119*12</f>
        <v>0</v>
      </c>
      <c r="L123" s="711"/>
      <c r="M123" s="709">
        <f>M122*M119*12</f>
        <v>0</v>
      </c>
      <c r="N123" s="710"/>
      <c r="O123" s="26"/>
      <c r="P123" s="635" t="s">
        <v>33</v>
      </c>
      <c r="Q123" s="636"/>
      <c r="R123" s="51">
        <f t="shared" si="6"/>
        <v>220048680</v>
      </c>
    </row>
    <row r="124" spans="1:18" ht="15" customHeight="1" x14ac:dyDescent="0.3">
      <c r="A124" s="637" t="s">
        <v>4</v>
      </c>
      <c r="B124" s="638"/>
      <c r="C124" s="709">
        <f ca="1">C122*D119</f>
        <v>0</v>
      </c>
      <c r="D124" s="711"/>
      <c r="E124" s="709">
        <f ca="1">E122*F119</f>
        <v>0</v>
      </c>
      <c r="F124" s="711"/>
      <c r="G124" s="709">
        <f ca="1">G122*H119</f>
        <v>0</v>
      </c>
      <c r="H124" s="711"/>
      <c r="I124" s="709">
        <f ca="1">I122*J119</f>
        <v>0</v>
      </c>
      <c r="J124" s="711"/>
      <c r="K124" s="709">
        <f ca="1">K122*L119</f>
        <v>0</v>
      </c>
      <c r="L124" s="711"/>
      <c r="M124" s="709">
        <f ca="1">M122*N119</f>
        <v>0</v>
      </c>
      <c r="N124" s="710"/>
      <c r="O124" s="26"/>
      <c r="P124" s="635" t="s">
        <v>31</v>
      </c>
      <c r="Q124" s="636"/>
      <c r="R124" s="51">
        <f t="shared" ca="1" si="6"/>
        <v>11575232</v>
      </c>
    </row>
    <row r="125" spans="1:18" ht="15" customHeight="1" thickBot="1" x14ac:dyDescent="0.35">
      <c r="A125" s="632" t="s">
        <v>18</v>
      </c>
      <c r="B125" s="633"/>
      <c r="C125" s="709">
        <f ca="1">C123-C124</f>
        <v>0</v>
      </c>
      <c r="D125" s="711"/>
      <c r="E125" s="709">
        <f ca="1">E123-E124</f>
        <v>0</v>
      </c>
      <c r="F125" s="711"/>
      <c r="G125" s="709">
        <f ca="1">G123-G124</f>
        <v>0</v>
      </c>
      <c r="H125" s="711"/>
      <c r="I125" s="709">
        <f ca="1">I123-I124</f>
        <v>0</v>
      </c>
      <c r="J125" s="711"/>
      <c r="K125" s="709">
        <f ca="1">K123-K124</f>
        <v>0</v>
      </c>
      <c r="L125" s="711"/>
      <c r="M125" s="709">
        <f ca="1">M123-M124</f>
        <v>0</v>
      </c>
      <c r="N125" s="710"/>
      <c r="O125" s="26"/>
      <c r="P125" s="619" t="s">
        <v>35</v>
      </c>
      <c r="Q125" s="620"/>
      <c r="R125" s="52">
        <f t="shared" ca="1" si="6"/>
        <v>208473448</v>
      </c>
    </row>
    <row r="126" spans="1:18" ht="15" customHeight="1" x14ac:dyDescent="0.3">
      <c r="A126" s="768" t="s">
        <v>1</v>
      </c>
      <c r="B126" s="139" t="s">
        <v>58</v>
      </c>
      <c r="C126" s="41"/>
      <c r="D126" s="19"/>
      <c r="E126" s="8"/>
      <c r="F126" s="19"/>
      <c r="G126" s="8"/>
      <c r="H126" s="19"/>
      <c r="I126" s="8"/>
      <c r="J126" s="19"/>
      <c r="K126" s="8"/>
      <c r="L126" s="167"/>
      <c r="M126" s="8"/>
      <c r="N126" s="66"/>
      <c r="O126" s="6"/>
      <c r="P126" s="769" t="s">
        <v>0</v>
      </c>
      <c r="Q126" s="139" t="s">
        <v>66</v>
      </c>
      <c r="R126" s="182">
        <f t="shared" si="6"/>
        <v>0</v>
      </c>
    </row>
    <row r="127" spans="1:18" ht="15" customHeight="1" x14ac:dyDescent="0.3">
      <c r="A127" s="730"/>
      <c r="B127" s="140" t="s">
        <v>59</v>
      </c>
      <c r="C127" s="28"/>
      <c r="D127" s="20"/>
      <c r="E127" s="9"/>
      <c r="F127" s="20"/>
      <c r="G127" s="9"/>
      <c r="H127" s="20"/>
      <c r="I127" s="9"/>
      <c r="J127" s="20"/>
      <c r="K127" s="9"/>
      <c r="L127" s="172"/>
      <c r="M127" s="9"/>
      <c r="N127" s="67"/>
      <c r="O127" s="6"/>
      <c r="P127" s="770"/>
      <c r="Q127" s="140" t="s">
        <v>69</v>
      </c>
      <c r="R127" s="183">
        <f t="shared" si="6"/>
        <v>0</v>
      </c>
    </row>
    <row r="128" spans="1:18" ht="15" customHeight="1" x14ac:dyDescent="0.3">
      <c r="A128" s="730"/>
      <c r="B128" s="140" t="s">
        <v>88</v>
      </c>
      <c r="C128" s="28"/>
      <c r="D128" s="20"/>
      <c r="E128" s="28"/>
      <c r="F128" s="20"/>
      <c r="G128" s="9"/>
      <c r="H128" s="20"/>
      <c r="I128" s="9"/>
      <c r="J128" s="20"/>
      <c r="K128" s="9"/>
      <c r="L128" s="172"/>
      <c r="M128" s="9"/>
      <c r="N128" s="67"/>
      <c r="O128" s="6"/>
      <c r="P128" s="770"/>
      <c r="Q128" s="140" t="s">
        <v>64</v>
      </c>
      <c r="R128" s="183">
        <f t="shared" si="6"/>
        <v>0</v>
      </c>
    </row>
    <row r="129" spans="1:18" ht="15" customHeight="1" x14ac:dyDescent="0.3">
      <c r="A129" s="730"/>
      <c r="B129" s="140" t="s">
        <v>94</v>
      </c>
      <c r="C129" s="28"/>
      <c r="D129" s="20"/>
      <c r="E129" s="28"/>
      <c r="F129" s="20"/>
      <c r="G129" s="9"/>
      <c r="H129" s="20"/>
      <c r="I129" s="9"/>
      <c r="J129" s="20"/>
      <c r="K129" s="9"/>
      <c r="L129" s="172"/>
      <c r="M129" s="9"/>
      <c r="N129" s="67"/>
      <c r="O129" s="6"/>
      <c r="P129" s="770"/>
      <c r="Q129" s="140" t="s">
        <v>60</v>
      </c>
      <c r="R129" s="183">
        <f t="shared" si="6"/>
        <v>0</v>
      </c>
    </row>
    <row r="130" spans="1:18" ht="15" customHeight="1" thickBot="1" x14ac:dyDescent="0.35">
      <c r="A130" s="731"/>
      <c r="B130" s="141" t="s">
        <v>89</v>
      </c>
      <c r="C130" s="42"/>
      <c r="D130" s="18"/>
      <c r="E130" s="42"/>
      <c r="F130" s="18"/>
      <c r="G130" s="7"/>
      <c r="H130" s="18"/>
      <c r="I130" s="7"/>
      <c r="J130" s="18"/>
      <c r="K130" s="7"/>
      <c r="L130" s="168"/>
      <c r="M130" s="7"/>
      <c r="N130" s="68"/>
      <c r="O130" s="6"/>
      <c r="P130" s="771"/>
      <c r="Q130" s="141" t="s">
        <v>89</v>
      </c>
      <c r="R130" s="184">
        <f t="shared" si="6"/>
        <v>0</v>
      </c>
    </row>
    <row r="131" spans="1:18" ht="15" customHeight="1" x14ac:dyDescent="0.3">
      <c r="A131" s="626" t="s">
        <v>50</v>
      </c>
      <c r="B131" s="142" t="s">
        <v>55</v>
      </c>
      <c r="C131" s="8"/>
      <c r="D131" s="19"/>
      <c r="E131" s="8"/>
      <c r="F131" s="19"/>
      <c r="G131" s="8"/>
      <c r="H131" s="198"/>
      <c r="I131" s="8"/>
      <c r="J131" s="19"/>
      <c r="K131" s="8"/>
      <c r="L131" s="167"/>
      <c r="M131" s="8"/>
      <c r="N131" s="66"/>
      <c r="O131" s="6"/>
      <c r="P131" s="772" t="str">
        <f>A131</f>
        <v>암</v>
      </c>
      <c r="Q131" s="112" t="s">
        <v>55</v>
      </c>
      <c r="R131" s="182">
        <f t="shared" si="6"/>
        <v>60000000</v>
      </c>
    </row>
    <row r="132" spans="1:18" ht="15" customHeight="1" x14ac:dyDescent="0.3">
      <c r="A132" s="627"/>
      <c r="B132" s="143" t="s">
        <v>46</v>
      </c>
      <c r="C132" s="43"/>
      <c r="D132" s="21"/>
      <c r="E132" s="9"/>
      <c r="F132" s="21"/>
      <c r="G132" s="9"/>
      <c r="H132" s="204"/>
      <c r="I132" s="9"/>
      <c r="J132" s="21"/>
      <c r="K132" s="10"/>
      <c r="L132" s="169"/>
      <c r="M132" s="10"/>
      <c r="N132" s="69"/>
      <c r="O132" s="6"/>
      <c r="P132" s="773"/>
      <c r="Q132" s="113" t="s">
        <v>46</v>
      </c>
      <c r="R132" s="183">
        <f t="shared" si="6"/>
        <v>0</v>
      </c>
    </row>
    <row r="133" spans="1:18" ht="15" customHeight="1" x14ac:dyDescent="0.3">
      <c r="A133" s="627"/>
      <c r="B133" s="143" t="s">
        <v>9</v>
      </c>
      <c r="C133" s="43"/>
      <c r="D133" s="21"/>
      <c r="E133" s="10"/>
      <c r="F133" s="21"/>
      <c r="G133" s="9"/>
      <c r="H133" s="13"/>
      <c r="I133" s="10"/>
      <c r="J133" s="21"/>
      <c r="K133" s="10"/>
      <c r="L133" s="169"/>
      <c r="M133" s="10"/>
      <c r="N133" s="69"/>
      <c r="O133" s="6"/>
      <c r="P133" s="773"/>
      <c r="Q133" s="113" t="s">
        <v>9</v>
      </c>
      <c r="R133" s="183">
        <f>R80+C133+E133+G133+I133+K133+M133</f>
        <v>47500000</v>
      </c>
    </row>
    <row r="134" spans="1:18" ht="15" customHeight="1" x14ac:dyDescent="0.3">
      <c r="A134" s="627"/>
      <c r="B134" s="143" t="s">
        <v>10</v>
      </c>
      <c r="C134" s="43"/>
      <c r="D134" s="21"/>
      <c r="E134" s="9"/>
      <c r="F134" s="21"/>
      <c r="G134" s="10"/>
      <c r="H134" s="13"/>
      <c r="I134" s="43"/>
      <c r="J134" s="21"/>
      <c r="K134" s="10"/>
      <c r="L134" s="169"/>
      <c r="M134" s="10"/>
      <c r="N134" s="69"/>
      <c r="O134" s="6"/>
      <c r="P134" s="773"/>
      <c r="Q134" s="113" t="s">
        <v>10</v>
      </c>
      <c r="R134" s="183">
        <f>R81+C134+E134+G134+I134+K134+M134</f>
        <v>0</v>
      </c>
    </row>
    <row r="135" spans="1:18" ht="15" customHeight="1" thickBot="1" x14ac:dyDescent="0.35">
      <c r="A135" s="627"/>
      <c r="B135" s="144" t="s">
        <v>20</v>
      </c>
      <c r="C135" s="42"/>
      <c r="D135" s="18"/>
      <c r="E135" s="7"/>
      <c r="F135" s="21"/>
      <c r="G135" s="7"/>
      <c r="H135" s="13"/>
      <c r="I135" s="7"/>
      <c r="J135" s="21"/>
      <c r="K135" s="10"/>
      <c r="L135" s="169"/>
      <c r="M135" s="10"/>
      <c r="N135" s="69"/>
      <c r="O135" s="6"/>
      <c r="P135" s="773"/>
      <c r="Q135" s="114" t="s">
        <v>20</v>
      </c>
      <c r="R135" s="184">
        <f t="shared" ref="R135:R156" si="7">R83+C135+E135+G135+I135+K135+M135</f>
        <v>0</v>
      </c>
    </row>
    <row r="136" spans="1:18" ht="15" customHeight="1" x14ac:dyDescent="0.3">
      <c r="A136" s="721" t="s">
        <v>19</v>
      </c>
      <c r="B136" s="145" t="s">
        <v>51</v>
      </c>
      <c r="C136" s="9"/>
      <c r="D136" s="19"/>
      <c r="E136" s="9"/>
      <c r="F136" s="19"/>
      <c r="G136" s="9"/>
      <c r="H136" s="11"/>
      <c r="I136" s="8"/>
      <c r="J136" s="19"/>
      <c r="K136" s="8"/>
      <c r="L136" s="167"/>
      <c r="M136" s="8"/>
      <c r="N136" s="66"/>
      <c r="O136" s="6"/>
      <c r="P136" s="760" t="str">
        <f>A136</f>
        <v>2대
질병</v>
      </c>
      <c r="Q136" s="115" t="s">
        <v>51</v>
      </c>
      <c r="R136" s="182">
        <f t="shared" si="7"/>
        <v>10000000</v>
      </c>
    </row>
    <row r="137" spans="1:18" ht="15" customHeight="1" x14ac:dyDescent="0.3">
      <c r="A137" s="722"/>
      <c r="B137" s="146" t="s">
        <v>43</v>
      </c>
      <c r="C137" s="9"/>
      <c r="D137" s="21"/>
      <c r="E137" s="10"/>
      <c r="F137" s="204"/>
      <c r="G137" s="9"/>
      <c r="H137" s="13"/>
      <c r="I137" s="10"/>
      <c r="J137" s="204"/>
      <c r="K137" s="9"/>
      <c r="L137" s="169"/>
      <c r="M137" s="10"/>
      <c r="N137" s="69"/>
      <c r="O137" s="6"/>
      <c r="P137" s="761"/>
      <c r="Q137" s="116" t="s">
        <v>43</v>
      </c>
      <c r="R137" s="183">
        <f t="shared" si="7"/>
        <v>0</v>
      </c>
    </row>
    <row r="138" spans="1:18" ht="15" customHeight="1" thickBot="1" x14ac:dyDescent="0.35">
      <c r="A138" s="722"/>
      <c r="B138" s="147" t="s">
        <v>53</v>
      </c>
      <c r="C138" s="36"/>
      <c r="D138" s="199"/>
      <c r="E138" s="36"/>
      <c r="F138" s="47"/>
      <c r="G138" s="36"/>
      <c r="H138" s="48"/>
      <c r="I138" s="36"/>
      <c r="J138" s="199"/>
      <c r="K138" s="36"/>
      <c r="L138" s="170"/>
      <c r="M138" s="36"/>
      <c r="N138" s="70"/>
      <c r="O138" s="6"/>
      <c r="P138" s="761"/>
      <c r="Q138" s="117" t="s">
        <v>53</v>
      </c>
      <c r="R138" s="184">
        <f t="shared" si="7"/>
        <v>0</v>
      </c>
    </row>
    <row r="139" spans="1:18" ht="15" customHeight="1" x14ac:dyDescent="0.3">
      <c r="A139" s="722"/>
      <c r="B139" s="148" t="s">
        <v>65</v>
      </c>
      <c r="C139" s="8"/>
      <c r="D139" s="19"/>
      <c r="E139" s="8"/>
      <c r="F139" s="19"/>
      <c r="G139" s="8"/>
      <c r="H139" s="11"/>
      <c r="I139" s="8"/>
      <c r="J139" s="19"/>
      <c r="K139" s="8"/>
      <c r="L139" s="167"/>
      <c r="M139" s="8"/>
      <c r="N139" s="66"/>
      <c r="O139" s="6"/>
      <c r="P139" s="761"/>
      <c r="Q139" s="118" t="s">
        <v>65</v>
      </c>
      <c r="R139" s="182">
        <f t="shared" si="7"/>
        <v>0</v>
      </c>
    </row>
    <row r="140" spans="1:18" ht="15" customHeight="1" x14ac:dyDescent="0.3">
      <c r="A140" s="722"/>
      <c r="B140" s="149" t="s">
        <v>8</v>
      </c>
      <c r="C140" s="9"/>
      <c r="D140" s="21"/>
      <c r="E140" s="9"/>
      <c r="F140" s="204"/>
      <c r="G140" s="9"/>
      <c r="H140" s="13"/>
      <c r="I140" s="9"/>
      <c r="J140" s="20"/>
      <c r="K140" s="9"/>
      <c r="L140" s="169"/>
      <c r="M140" s="10"/>
      <c r="N140" s="69"/>
      <c r="O140" s="6"/>
      <c r="P140" s="761"/>
      <c r="Q140" s="119" t="s">
        <v>8</v>
      </c>
      <c r="R140" s="183">
        <f t="shared" si="7"/>
        <v>10000000</v>
      </c>
    </row>
    <row r="141" spans="1:18" ht="15" customHeight="1" thickBot="1" x14ac:dyDescent="0.35">
      <c r="A141" s="722"/>
      <c r="B141" s="165" t="s">
        <v>5</v>
      </c>
      <c r="C141" s="7"/>
      <c r="D141" s="200"/>
      <c r="E141" s="36"/>
      <c r="F141" s="47"/>
      <c r="G141" s="36"/>
      <c r="H141" s="48"/>
      <c r="I141" s="36"/>
      <c r="J141" s="199"/>
      <c r="K141" s="35"/>
      <c r="L141" s="170"/>
      <c r="M141" s="35"/>
      <c r="N141" s="70"/>
      <c r="O141" s="6"/>
      <c r="P141" s="761"/>
      <c r="Q141" s="120" t="s">
        <v>5</v>
      </c>
      <c r="R141" s="184">
        <f t="shared" si="7"/>
        <v>0</v>
      </c>
    </row>
    <row r="142" spans="1:18" ht="15" customHeight="1" thickBot="1" x14ac:dyDescent="0.35">
      <c r="A142" s="722"/>
      <c r="B142" s="283" t="s">
        <v>97</v>
      </c>
      <c r="C142" s="53"/>
      <c r="D142" s="22"/>
      <c r="E142" s="14"/>
      <c r="F142" s="211"/>
      <c r="G142" s="14"/>
      <c r="H142" s="15"/>
      <c r="I142" s="14"/>
      <c r="J142" s="211"/>
      <c r="K142" s="14"/>
      <c r="L142" s="171"/>
      <c r="M142" s="14"/>
      <c r="N142" s="71"/>
      <c r="O142" s="6"/>
      <c r="P142" s="761"/>
      <c r="Q142" s="283" t="s">
        <v>97</v>
      </c>
      <c r="R142" s="108">
        <f t="shared" si="7"/>
        <v>20000000</v>
      </c>
    </row>
    <row r="143" spans="1:18" ht="15" customHeight="1" x14ac:dyDescent="0.3">
      <c r="A143" s="723" t="s">
        <v>16</v>
      </c>
      <c r="B143" s="152" t="s">
        <v>36</v>
      </c>
      <c r="C143" s="41"/>
      <c r="D143" s="19"/>
      <c r="E143" s="8"/>
      <c r="F143" s="198"/>
      <c r="G143" s="8"/>
      <c r="H143" s="19"/>
      <c r="I143" s="8"/>
      <c r="J143" s="19"/>
      <c r="K143" s="8"/>
      <c r="L143" s="167"/>
      <c r="M143" s="8"/>
      <c r="N143" s="66"/>
      <c r="O143" s="6"/>
      <c r="P143" s="762" t="str">
        <f>A143</f>
        <v>후유장해</v>
      </c>
      <c r="Q143" s="122" t="s">
        <v>36</v>
      </c>
      <c r="R143" s="182">
        <f t="shared" si="7"/>
        <v>0</v>
      </c>
    </row>
    <row r="144" spans="1:18" ht="15" customHeight="1" x14ac:dyDescent="0.3">
      <c r="A144" s="724"/>
      <c r="B144" s="153" t="s">
        <v>29</v>
      </c>
      <c r="C144" s="28"/>
      <c r="D144" s="20"/>
      <c r="E144" s="9"/>
      <c r="F144" s="204"/>
      <c r="G144" s="9"/>
      <c r="H144" s="20"/>
      <c r="I144" s="9"/>
      <c r="J144" s="20"/>
      <c r="K144" s="9"/>
      <c r="L144" s="172"/>
      <c r="M144" s="9"/>
      <c r="N144" s="67"/>
      <c r="O144" s="6"/>
      <c r="P144" s="763"/>
      <c r="Q144" s="123" t="s">
        <v>29</v>
      </c>
      <c r="R144" s="183">
        <f t="shared" si="7"/>
        <v>0</v>
      </c>
    </row>
    <row r="145" spans="1:18" ht="15" customHeight="1" x14ac:dyDescent="0.3">
      <c r="A145" s="724"/>
      <c r="B145" s="153" t="s">
        <v>25</v>
      </c>
      <c r="C145" s="28"/>
      <c r="D145" s="20"/>
      <c r="E145" s="9"/>
      <c r="F145" s="218"/>
      <c r="G145" s="9"/>
      <c r="H145" s="20"/>
      <c r="I145" s="9"/>
      <c r="J145" s="20"/>
      <c r="K145" s="9"/>
      <c r="L145" s="172"/>
      <c r="M145" s="9"/>
      <c r="N145" s="67"/>
      <c r="O145" s="6"/>
      <c r="P145" s="763"/>
      <c r="Q145" s="123" t="s">
        <v>25</v>
      </c>
      <c r="R145" s="183">
        <f t="shared" si="7"/>
        <v>160000000</v>
      </c>
    </row>
    <row r="146" spans="1:18" ht="15" customHeight="1" thickBot="1" x14ac:dyDescent="0.35">
      <c r="A146" s="725"/>
      <c r="B146" s="154" t="s">
        <v>24</v>
      </c>
      <c r="C146" s="42"/>
      <c r="D146" s="18"/>
      <c r="E146" s="7"/>
      <c r="F146" s="200"/>
      <c r="G146" s="9"/>
      <c r="H146" s="18"/>
      <c r="I146" s="7"/>
      <c r="J146" s="18"/>
      <c r="K146" s="7"/>
      <c r="L146" s="168"/>
      <c r="M146" s="7"/>
      <c r="N146" s="68"/>
      <c r="O146" s="6"/>
      <c r="P146" s="764"/>
      <c r="Q146" s="124" t="s">
        <v>24</v>
      </c>
      <c r="R146" s="184">
        <f t="shared" si="7"/>
        <v>80000000</v>
      </c>
    </row>
    <row r="147" spans="1:18" ht="15" customHeight="1" x14ac:dyDescent="0.3">
      <c r="A147" s="726" t="s">
        <v>47</v>
      </c>
      <c r="B147" s="155" t="s">
        <v>48</v>
      </c>
      <c r="C147" s="41"/>
      <c r="D147" s="19"/>
      <c r="E147" s="10"/>
      <c r="F147" s="19"/>
      <c r="G147" s="8"/>
      <c r="H147" s="19"/>
      <c r="I147" s="8"/>
      <c r="J147" s="19"/>
      <c r="K147" s="8"/>
      <c r="L147" s="173"/>
      <c r="M147" s="10"/>
      <c r="N147" s="69"/>
      <c r="O147" s="6"/>
      <c r="P147" s="765" t="s">
        <v>47</v>
      </c>
      <c r="Q147" s="125" t="s">
        <v>48</v>
      </c>
      <c r="R147" s="182">
        <f t="shared" si="7"/>
        <v>0</v>
      </c>
    </row>
    <row r="148" spans="1:18" ht="15" customHeight="1" x14ac:dyDescent="0.3">
      <c r="A148" s="727"/>
      <c r="B148" s="156" t="s">
        <v>44</v>
      </c>
      <c r="C148" s="28"/>
      <c r="D148" s="20"/>
      <c r="E148" s="9"/>
      <c r="F148" s="20"/>
      <c r="G148" s="9"/>
      <c r="H148" s="12"/>
      <c r="I148" s="9"/>
      <c r="J148" s="20"/>
      <c r="K148" s="9"/>
      <c r="L148" s="174"/>
      <c r="M148" s="9"/>
      <c r="N148" s="67"/>
      <c r="O148" s="6"/>
      <c r="P148" s="766"/>
      <c r="Q148" s="126" t="s">
        <v>44</v>
      </c>
      <c r="R148" s="183">
        <f t="shared" si="7"/>
        <v>0</v>
      </c>
    </row>
    <row r="149" spans="1:18" ht="15" customHeight="1" thickBot="1" x14ac:dyDescent="0.35">
      <c r="A149" s="728"/>
      <c r="B149" s="157" t="s">
        <v>7</v>
      </c>
      <c r="C149" s="43"/>
      <c r="D149" s="21"/>
      <c r="E149" s="7"/>
      <c r="F149" s="18"/>
      <c r="G149" s="7"/>
      <c r="H149" s="24"/>
      <c r="I149" s="7"/>
      <c r="J149" s="217"/>
      <c r="K149" s="7"/>
      <c r="L149" s="168"/>
      <c r="M149" s="7"/>
      <c r="N149" s="68"/>
      <c r="O149" s="6"/>
      <c r="P149" s="767"/>
      <c r="Q149" s="127" t="s">
        <v>54</v>
      </c>
      <c r="R149" s="184">
        <f t="shared" si="7"/>
        <v>100000000</v>
      </c>
    </row>
    <row r="150" spans="1:18" ht="15" customHeight="1" x14ac:dyDescent="0.3">
      <c r="A150" s="746" t="s">
        <v>39</v>
      </c>
      <c r="B150" s="158" t="s">
        <v>44</v>
      </c>
      <c r="C150" s="41"/>
      <c r="D150" s="19"/>
      <c r="E150" s="8"/>
      <c r="F150" s="19"/>
      <c r="G150" s="8"/>
      <c r="H150" s="19"/>
      <c r="I150" s="8"/>
      <c r="J150" s="215"/>
      <c r="K150" s="8"/>
      <c r="L150" s="167"/>
      <c r="M150" s="8"/>
      <c r="N150" s="66"/>
      <c r="O150" s="6"/>
      <c r="P150" s="779" t="s">
        <v>39</v>
      </c>
      <c r="Q150" s="128" t="s">
        <v>44</v>
      </c>
      <c r="R150" s="182">
        <f t="shared" si="7"/>
        <v>300000</v>
      </c>
    </row>
    <row r="151" spans="1:18" ht="15" customHeight="1" x14ac:dyDescent="0.3">
      <c r="A151" s="747"/>
      <c r="B151" s="158" t="s">
        <v>54</v>
      </c>
      <c r="C151" s="28"/>
      <c r="D151" s="20"/>
      <c r="E151" s="9"/>
      <c r="F151" s="21"/>
      <c r="G151" s="9"/>
      <c r="H151" s="20"/>
      <c r="I151" s="9"/>
      <c r="J151" s="216"/>
      <c r="K151" s="9"/>
      <c r="L151" s="172"/>
      <c r="M151" s="9"/>
      <c r="N151" s="67"/>
      <c r="O151" s="6"/>
      <c r="P151" s="780"/>
      <c r="Q151" s="129" t="s">
        <v>54</v>
      </c>
      <c r="R151" s="183">
        <f t="shared" si="7"/>
        <v>0</v>
      </c>
    </row>
    <row r="152" spans="1:18" ht="15" customHeight="1" x14ac:dyDescent="0.3">
      <c r="A152" s="747"/>
      <c r="B152" s="158" t="s">
        <v>68</v>
      </c>
      <c r="C152" s="28"/>
      <c r="D152" s="20"/>
      <c r="E152" s="9"/>
      <c r="F152" s="21"/>
      <c r="G152" s="9"/>
      <c r="H152" s="13"/>
      <c r="I152" s="10"/>
      <c r="J152" s="219"/>
      <c r="K152" s="10"/>
      <c r="L152" s="175"/>
      <c r="M152" s="23"/>
      <c r="N152" s="69"/>
      <c r="O152" s="6"/>
      <c r="P152" s="780"/>
      <c r="Q152" s="129" t="s">
        <v>68</v>
      </c>
      <c r="R152" s="183">
        <f t="shared" si="7"/>
        <v>6000000</v>
      </c>
    </row>
    <row r="153" spans="1:18" ht="15" customHeight="1" thickBot="1" x14ac:dyDescent="0.35">
      <c r="A153" s="747"/>
      <c r="B153" s="159" t="s">
        <v>61</v>
      </c>
      <c r="C153" s="44"/>
      <c r="D153" s="34"/>
      <c r="E153" s="35"/>
      <c r="F153" s="34"/>
      <c r="G153" s="35"/>
      <c r="H153" s="37"/>
      <c r="I153" s="36"/>
      <c r="J153" s="63"/>
      <c r="K153" s="36"/>
      <c r="L153" s="176"/>
      <c r="M153" s="35"/>
      <c r="N153" s="72"/>
      <c r="O153" s="6"/>
      <c r="P153" s="780"/>
      <c r="Q153" s="130" t="s">
        <v>61</v>
      </c>
      <c r="R153" s="184">
        <f t="shared" si="7"/>
        <v>20000000</v>
      </c>
    </row>
    <row r="154" spans="1:18" ht="15" customHeight="1" x14ac:dyDescent="0.3">
      <c r="A154" s="748" t="s">
        <v>40</v>
      </c>
      <c r="B154" s="160" t="s">
        <v>45</v>
      </c>
      <c r="C154" s="8"/>
      <c r="D154" s="19"/>
      <c r="E154" s="8"/>
      <c r="F154" s="19"/>
      <c r="G154" s="8"/>
      <c r="H154" s="19"/>
      <c r="I154" s="8"/>
      <c r="J154" s="215"/>
      <c r="K154" s="8"/>
      <c r="L154" s="167"/>
      <c r="M154" s="8"/>
      <c r="N154" s="66"/>
      <c r="O154" s="6"/>
      <c r="P154" s="782" t="s">
        <v>40</v>
      </c>
      <c r="Q154" s="131" t="s">
        <v>45</v>
      </c>
      <c r="R154" s="182">
        <f t="shared" si="7"/>
        <v>500000</v>
      </c>
    </row>
    <row r="155" spans="1:18" ht="15" customHeight="1" thickBot="1" x14ac:dyDescent="0.35">
      <c r="A155" s="781"/>
      <c r="B155" s="161" t="s">
        <v>42</v>
      </c>
      <c r="C155" s="45"/>
      <c r="D155" s="18"/>
      <c r="E155" s="39"/>
      <c r="F155" s="38"/>
      <c r="G155" s="39"/>
      <c r="H155" s="38"/>
      <c r="I155" s="39"/>
      <c r="J155" s="220"/>
      <c r="K155" s="39"/>
      <c r="L155" s="177"/>
      <c r="M155" s="39"/>
      <c r="N155" s="73"/>
      <c r="O155" s="6"/>
      <c r="P155" s="783"/>
      <c r="Q155" s="132" t="s">
        <v>42</v>
      </c>
      <c r="R155" s="184">
        <f t="shared" si="7"/>
        <v>0</v>
      </c>
    </row>
    <row r="156" spans="1:18" ht="15" customHeight="1" x14ac:dyDescent="0.3">
      <c r="A156" s="784" t="s">
        <v>6</v>
      </c>
      <c r="B156" s="162" t="s">
        <v>44</v>
      </c>
      <c r="C156" s="41"/>
      <c r="D156" s="19"/>
      <c r="E156" s="41"/>
      <c r="F156" s="19"/>
      <c r="G156" s="41"/>
      <c r="H156" s="19"/>
      <c r="I156" s="41"/>
      <c r="J156" s="215"/>
      <c r="K156" s="8"/>
      <c r="L156" s="167"/>
      <c r="M156" s="8"/>
      <c r="N156" s="66"/>
      <c r="O156" s="6"/>
      <c r="P156" s="786" t="s">
        <v>6</v>
      </c>
      <c r="Q156" s="133" t="s">
        <v>44</v>
      </c>
      <c r="R156" s="182">
        <f t="shared" si="7"/>
        <v>200000</v>
      </c>
    </row>
    <row r="157" spans="1:18" ht="15" customHeight="1" thickBot="1" x14ac:dyDescent="0.35">
      <c r="A157" s="785"/>
      <c r="B157" s="163" t="s">
        <v>7</v>
      </c>
      <c r="C157" s="42"/>
      <c r="D157" s="18"/>
      <c r="E157" s="42"/>
      <c r="F157" s="18"/>
      <c r="G157" s="42"/>
      <c r="H157" s="18"/>
      <c r="I157" s="42"/>
      <c r="J157" s="217"/>
      <c r="K157" s="7"/>
      <c r="L157" s="168"/>
      <c r="M157" s="7"/>
      <c r="N157" s="68"/>
      <c r="O157" s="6"/>
      <c r="P157" s="787"/>
      <c r="Q157" s="134" t="s">
        <v>7</v>
      </c>
      <c r="R157" s="184">
        <f t="shared" ref="R157:R161" si="8">R106+C157+E157+G157+I157+K157+M157</f>
        <v>20000</v>
      </c>
    </row>
    <row r="158" spans="1:18" ht="15" customHeight="1" x14ac:dyDescent="0.3">
      <c r="A158" s="732" t="s">
        <v>52</v>
      </c>
      <c r="B158" s="144" t="s">
        <v>41</v>
      </c>
      <c r="C158" s="28"/>
      <c r="D158" s="19"/>
      <c r="E158" s="8"/>
      <c r="F158" s="19"/>
      <c r="G158" s="8"/>
      <c r="H158" s="19"/>
      <c r="I158" s="8"/>
      <c r="J158" s="215"/>
      <c r="K158" s="8"/>
      <c r="L158" s="178"/>
      <c r="M158" s="8"/>
      <c r="N158" s="66"/>
      <c r="O158" s="6"/>
      <c r="P158" s="774" t="s">
        <v>52</v>
      </c>
      <c r="Q158" s="114" t="s">
        <v>41</v>
      </c>
      <c r="R158" s="182">
        <f t="shared" si="8"/>
        <v>20000000</v>
      </c>
    </row>
    <row r="159" spans="1:18" ht="15" customHeight="1" x14ac:dyDescent="0.3">
      <c r="A159" s="733"/>
      <c r="B159" s="144" t="s">
        <v>11</v>
      </c>
      <c r="C159" s="28"/>
      <c r="D159" s="20"/>
      <c r="E159" s="9"/>
      <c r="F159" s="20"/>
      <c r="G159" s="9"/>
      <c r="H159" s="20"/>
      <c r="I159" s="9"/>
      <c r="J159" s="216"/>
      <c r="K159" s="9"/>
      <c r="L159" s="179"/>
      <c r="M159" s="9"/>
      <c r="N159" s="67"/>
      <c r="O159" s="6"/>
      <c r="P159" s="775"/>
      <c r="Q159" s="114" t="s">
        <v>11</v>
      </c>
      <c r="R159" s="183">
        <f t="shared" si="8"/>
        <v>50000000</v>
      </c>
    </row>
    <row r="160" spans="1:18" ht="15" customHeight="1" thickBot="1" x14ac:dyDescent="0.35">
      <c r="A160" s="734"/>
      <c r="B160" s="164" t="s">
        <v>27</v>
      </c>
      <c r="C160" s="28"/>
      <c r="D160" s="20"/>
      <c r="E160" s="10"/>
      <c r="F160" s="21"/>
      <c r="G160" s="10"/>
      <c r="H160" s="21"/>
      <c r="I160" s="10"/>
      <c r="J160" s="219"/>
      <c r="K160" s="10"/>
      <c r="L160" s="175"/>
      <c r="M160" s="10"/>
      <c r="N160" s="69"/>
      <c r="O160" s="6"/>
      <c r="P160" s="776"/>
      <c r="Q160" s="135" t="s">
        <v>27</v>
      </c>
      <c r="R160" s="184">
        <f t="shared" si="8"/>
        <v>200000000</v>
      </c>
    </row>
    <row r="161" spans="1:18" ht="15" customHeight="1" thickBot="1" x14ac:dyDescent="0.35">
      <c r="A161" s="735" t="s">
        <v>30</v>
      </c>
      <c r="B161" s="736"/>
      <c r="C161" s="14"/>
      <c r="D161" s="22"/>
      <c r="E161" s="14"/>
      <c r="F161" s="22"/>
      <c r="G161" s="14"/>
      <c r="H161" s="22"/>
      <c r="I161" s="14"/>
      <c r="J161" s="221"/>
      <c r="K161" s="14"/>
      <c r="L161" s="180"/>
      <c r="M161" s="14"/>
      <c r="N161" s="74"/>
      <c r="O161" s="6"/>
      <c r="P161" s="777" t="s">
        <v>30</v>
      </c>
      <c r="Q161" s="778"/>
      <c r="R161" s="107">
        <f t="shared" si="8"/>
        <v>0</v>
      </c>
    </row>
    <row r="162" spans="1:18" ht="15" customHeight="1" x14ac:dyDescent="0.3">
      <c r="A162" s="737" t="s">
        <v>38</v>
      </c>
      <c r="B162" s="738"/>
      <c r="C162" s="46"/>
      <c r="D162" s="11"/>
      <c r="E162" s="29"/>
      <c r="F162" s="201"/>
      <c r="G162" s="203"/>
      <c r="H162" s="20"/>
      <c r="I162" s="31"/>
      <c r="J162" s="215"/>
      <c r="K162" s="189"/>
      <c r="L162" s="222"/>
      <c r="M162" s="31"/>
      <c r="N162" s="191"/>
      <c r="O162" s="6"/>
      <c r="P162" s="743" t="s">
        <v>38</v>
      </c>
      <c r="Q162" s="597"/>
      <c r="R162" s="598"/>
    </row>
    <row r="163" spans="1:18" ht="15" customHeight="1" x14ac:dyDescent="0.3">
      <c r="A163" s="739"/>
      <c r="B163" s="740"/>
      <c r="C163" s="29"/>
      <c r="D163" s="12"/>
      <c r="E163" s="210"/>
      <c r="F163" s="201"/>
      <c r="G163" s="32"/>
      <c r="H163" s="201"/>
      <c r="I163" s="32"/>
      <c r="J163" s="216"/>
      <c r="K163" s="214"/>
      <c r="L163" s="223"/>
      <c r="M163" s="32"/>
      <c r="N163" s="190"/>
      <c r="O163" s="6"/>
      <c r="P163" s="744"/>
      <c r="Q163" s="599"/>
      <c r="R163" s="600"/>
    </row>
    <row r="164" spans="1:18" ht="15" customHeight="1" x14ac:dyDescent="0.3">
      <c r="A164" s="739"/>
      <c r="B164" s="740"/>
      <c r="C164" s="29"/>
      <c r="D164" s="12"/>
      <c r="E164" s="32"/>
      <c r="F164" s="12"/>
      <c r="G164" s="32"/>
      <c r="H164" s="201"/>
      <c r="I164" s="32"/>
      <c r="J164" s="216"/>
      <c r="K164" s="32"/>
      <c r="L164" s="179"/>
      <c r="M164" s="32"/>
      <c r="N164" s="76"/>
      <c r="O164" s="6"/>
      <c r="P164" s="744"/>
      <c r="Q164" s="599"/>
      <c r="R164" s="600"/>
    </row>
    <row r="165" spans="1:18" ht="15" customHeight="1" thickBot="1" x14ac:dyDescent="0.35">
      <c r="A165" s="741"/>
      <c r="B165" s="742"/>
      <c r="C165" s="30"/>
      <c r="D165" s="24"/>
      <c r="E165" s="33"/>
      <c r="F165" s="24"/>
      <c r="G165" s="33"/>
      <c r="H165" s="200"/>
      <c r="I165" s="33"/>
      <c r="J165" s="24"/>
      <c r="K165" s="33"/>
      <c r="L165" s="181"/>
      <c r="M165" s="33"/>
      <c r="N165" s="77"/>
      <c r="O165" s="6"/>
      <c r="P165" s="745"/>
      <c r="Q165" s="601"/>
      <c r="R165" s="602"/>
    </row>
    <row r="166" spans="1:18" ht="15" customHeight="1" x14ac:dyDescent="0.3">
      <c r="A166" s="652" t="str">
        <f>A115</f>
        <v>이민호님 보장분석(전)</v>
      </c>
      <c r="B166" s="653"/>
      <c r="C166" s="688"/>
      <c r="D166" s="695"/>
      <c r="E166" s="688"/>
      <c r="F166" s="695"/>
      <c r="G166" s="688"/>
      <c r="H166" s="695"/>
      <c r="I166" s="688"/>
      <c r="J166" s="695"/>
      <c r="K166" s="688"/>
      <c r="L166" s="695"/>
      <c r="M166" s="688"/>
      <c r="N166" s="695"/>
      <c r="O166" s="138"/>
      <c r="P166" s="650" t="s">
        <v>15</v>
      </c>
      <c r="Q166" s="651"/>
      <c r="R166" s="137">
        <f ca="1">R115</f>
        <v>46140</v>
      </c>
    </row>
    <row r="167" spans="1:18" ht="15" customHeight="1" x14ac:dyDescent="0.3">
      <c r="A167" s="647" t="s">
        <v>49</v>
      </c>
      <c r="B167" s="648"/>
      <c r="C167" s="754"/>
      <c r="D167" s="754"/>
      <c r="E167" s="754"/>
      <c r="F167" s="754"/>
      <c r="G167" s="754"/>
      <c r="H167" s="754"/>
      <c r="I167" s="754"/>
      <c r="J167" s="754"/>
      <c r="K167" s="754"/>
      <c r="L167" s="754"/>
      <c r="M167" s="754"/>
      <c r="N167" s="755"/>
      <c r="O167" s="25"/>
      <c r="P167" s="654"/>
      <c r="Q167" s="655"/>
      <c r="R167" s="656"/>
    </row>
    <row r="168" spans="1:18" ht="15" customHeight="1" x14ac:dyDescent="0.3">
      <c r="A168" s="637" t="s">
        <v>28</v>
      </c>
      <c r="B168" s="638"/>
      <c r="C168" s="756"/>
      <c r="D168" s="756"/>
      <c r="E168" s="756"/>
      <c r="F168" s="756"/>
      <c r="G168" s="756"/>
      <c r="H168" s="756"/>
      <c r="I168" s="756"/>
      <c r="J168" s="756"/>
      <c r="K168" s="756"/>
      <c r="L168" s="756"/>
      <c r="M168" s="756"/>
      <c r="N168" s="756"/>
      <c r="O168" s="25"/>
      <c r="P168" s="657"/>
      <c r="Q168" s="658"/>
      <c r="R168" s="659"/>
    </row>
    <row r="169" spans="1:18" ht="15" customHeight="1" x14ac:dyDescent="0.3">
      <c r="A169" s="647" t="s">
        <v>17</v>
      </c>
      <c r="B169" s="648"/>
      <c r="C169" s="756"/>
      <c r="D169" s="756"/>
      <c r="E169" s="756"/>
      <c r="F169" s="754"/>
      <c r="G169" s="756"/>
      <c r="H169" s="754"/>
      <c r="I169" s="756"/>
      <c r="J169" s="754"/>
      <c r="K169" s="756"/>
      <c r="L169" s="754"/>
      <c r="M169" s="756"/>
      <c r="N169" s="755"/>
      <c r="O169" s="25"/>
      <c r="P169" s="657"/>
      <c r="Q169" s="658"/>
      <c r="R169" s="659"/>
    </row>
    <row r="170" spans="1:18" ht="15" customHeight="1" x14ac:dyDescent="0.3">
      <c r="A170" s="647" t="s">
        <v>23</v>
      </c>
      <c r="B170" s="648"/>
      <c r="C170" s="61"/>
      <c r="D170" s="62">
        <f ca="1">IF(DATEDIF(C169,$R$1,"m")&lt;C170*12,DATEDIF(C169,$R$1,"m"),C170*12)</f>
        <v>0</v>
      </c>
      <c r="E170" s="61"/>
      <c r="F170" s="62">
        <f ca="1">IF(DATEDIF(E169,$R$1,"m")&lt;E170*12,DATEDIF(E169,$R$1,"m"),E170*12)</f>
        <v>0</v>
      </c>
      <c r="G170" s="61"/>
      <c r="H170" s="62">
        <f ca="1">IF(DATEDIF(G169,$R$1,"m")&lt;G170*12,DATEDIF(G169,$R$1,"m"),G170*12)</f>
        <v>0</v>
      </c>
      <c r="I170" s="61"/>
      <c r="J170" s="62">
        <f ca="1">IF(DATEDIF(I169,$R$1,"m")&lt;I170*12,DATEDIF(I169,$R$1,"m"),I170*12)</f>
        <v>0</v>
      </c>
      <c r="K170" s="61"/>
      <c r="L170" s="62">
        <f ca="1">IF(DATEDIF(K169,$R$1,"m")&lt;K170*12,DATEDIF(K169,$R$1,"m"),K170*12)</f>
        <v>0</v>
      </c>
      <c r="M170" s="61"/>
      <c r="N170" s="65">
        <f ca="1">IF(DATEDIF(M169,$R$1,"m")&lt;M170*12,DATEDIF(M169,$R$1,"m"),M170*12)</f>
        <v>0</v>
      </c>
      <c r="O170" s="25"/>
      <c r="P170" s="657"/>
      <c r="Q170" s="658"/>
      <c r="R170" s="659"/>
    </row>
    <row r="171" spans="1:18" ht="15" customHeight="1" x14ac:dyDescent="0.3">
      <c r="A171" s="647" t="s">
        <v>2</v>
      </c>
      <c r="B171" s="648"/>
      <c r="C171" s="696"/>
      <c r="D171" s="696"/>
      <c r="E171" s="696"/>
      <c r="F171" s="696"/>
      <c r="G171" s="696"/>
      <c r="H171" s="696"/>
      <c r="I171" s="696"/>
      <c r="J171" s="696"/>
      <c r="K171" s="696"/>
      <c r="L171" s="696"/>
      <c r="M171" s="696"/>
      <c r="N171" s="717"/>
      <c r="O171" s="25"/>
      <c r="P171" s="660"/>
      <c r="Q171" s="661"/>
      <c r="R171" s="662"/>
    </row>
    <row r="172" spans="1:18" ht="15" customHeight="1" x14ac:dyDescent="0.3">
      <c r="A172" s="632" t="s">
        <v>37</v>
      </c>
      <c r="B172" s="633"/>
      <c r="C172" s="757"/>
      <c r="D172" s="758"/>
      <c r="E172" s="757"/>
      <c r="F172" s="758"/>
      <c r="G172" s="757"/>
      <c r="H172" s="758"/>
      <c r="I172" s="757"/>
      <c r="J172" s="758"/>
      <c r="K172" s="757"/>
      <c r="L172" s="758"/>
      <c r="M172" s="757"/>
      <c r="N172" s="759"/>
      <c r="O172" s="25"/>
      <c r="P172" s="643"/>
      <c r="Q172" s="644"/>
      <c r="R172" s="27" t="s">
        <v>91</v>
      </c>
    </row>
    <row r="173" spans="1:18" ht="15" customHeight="1" x14ac:dyDescent="0.3">
      <c r="A173" s="639" t="s">
        <v>12</v>
      </c>
      <c r="B173" s="640"/>
      <c r="C173" s="705"/>
      <c r="D173" s="705"/>
      <c r="E173" s="705"/>
      <c r="F173" s="705"/>
      <c r="G173" s="705"/>
      <c r="H173" s="705"/>
      <c r="I173" s="705"/>
      <c r="J173" s="705"/>
      <c r="K173" s="705"/>
      <c r="L173" s="705"/>
      <c r="M173" s="705"/>
      <c r="N173" s="720"/>
      <c r="O173" s="26"/>
      <c r="P173" s="635" t="s">
        <v>34</v>
      </c>
      <c r="Q173" s="636"/>
      <c r="R173" s="60">
        <f>R122+C173+E173+G173+I173+K173+M173</f>
        <v>804455</v>
      </c>
    </row>
    <row r="174" spans="1:18" ht="15" customHeight="1" x14ac:dyDescent="0.3">
      <c r="A174" s="637" t="s">
        <v>3</v>
      </c>
      <c r="B174" s="638"/>
      <c r="C174" s="709">
        <f>C173*C170*12</f>
        <v>0</v>
      </c>
      <c r="D174" s="711"/>
      <c r="E174" s="709">
        <f>E173*E170*12</f>
        <v>0</v>
      </c>
      <c r="F174" s="711"/>
      <c r="G174" s="709">
        <f>G173*G170*12</f>
        <v>0</v>
      </c>
      <c r="H174" s="711"/>
      <c r="I174" s="709">
        <f>I173*I170*12</f>
        <v>0</v>
      </c>
      <c r="J174" s="711"/>
      <c r="K174" s="709">
        <f>K173*K170*12</f>
        <v>0</v>
      </c>
      <c r="L174" s="711"/>
      <c r="M174" s="709">
        <f>M173*M170*12</f>
        <v>0</v>
      </c>
      <c r="N174" s="710"/>
      <c r="O174" s="26"/>
      <c r="P174" s="635" t="s">
        <v>33</v>
      </c>
      <c r="Q174" s="636"/>
      <c r="R174" s="51">
        <f t="shared" ref="R174:R212" si="9">R123+C174+E174+G174+I174+K174+M174</f>
        <v>220048680</v>
      </c>
    </row>
    <row r="175" spans="1:18" ht="15" customHeight="1" x14ac:dyDescent="0.3">
      <c r="A175" s="637" t="s">
        <v>4</v>
      </c>
      <c r="B175" s="638"/>
      <c r="C175" s="709">
        <f ca="1">C173*D170</f>
        <v>0</v>
      </c>
      <c r="D175" s="711"/>
      <c r="E175" s="709">
        <f ca="1">E173*F170</f>
        <v>0</v>
      </c>
      <c r="F175" s="711"/>
      <c r="G175" s="709">
        <f ca="1">G173*H170</f>
        <v>0</v>
      </c>
      <c r="H175" s="711"/>
      <c r="I175" s="709">
        <f ca="1">I173*J170</f>
        <v>0</v>
      </c>
      <c r="J175" s="711"/>
      <c r="K175" s="709">
        <f ca="1">K173*L170</f>
        <v>0</v>
      </c>
      <c r="L175" s="711"/>
      <c r="M175" s="709">
        <f ca="1">M173*N170</f>
        <v>0</v>
      </c>
      <c r="N175" s="710"/>
      <c r="O175" s="26"/>
      <c r="P175" s="635" t="s">
        <v>31</v>
      </c>
      <c r="Q175" s="636"/>
      <c r="R175" s="51">
        <f t="shared" ca="1" si="9"/>
        <v>11575232</v>
      </c>
    </row>
    <row r="176" spans="1:18" ht="15" customHeight="1" thickBot="1" x14ac:dyDescent="0.35">
      <c r="A176" s="632" t="s">
        <v>18</v>
      </c>
      <c r="B176" s="633"/>
      <c r="C176" s="709">
        <f ca="1">C174-C175</f>
        <v>0</v>
      </c>
      <c r="D176" s="711"/>
      <c r="E176" s="709">
        <f ca="1">E174-E175</f>
        <v>0</v>
      </c>
      <c r="F176" s="711"/>
      <c r="G176" s="709">
        <f ca="1">G174-G175</f>
        <v>0</v>
      </c>
      <c r="H176" s="711"/>
      <c r="I176" s="709">
        <f ca="1">I174-I175</f>
        <v>0</v>
      </c>
      <c r="J176" s="711"/>
      <c r="K176" s="709">
        <f ca="1">K174-K175</f>
        <v>0</v>
      </c>
      <c r="L176" s="711"/>
      <c r="M176" s="709">
        <f ca="1">M174-M175</f>
        <v>0</v>
      </c>
      <c r="N176" s="710"/>
      <c r="O176" s="26"/>
      <c r="P176" s="619" t="s">
        <v>35</v>
      </c>
      <c r="Q176" s="620"/>
      <c r="R176" s="52">
        <f t="shared" ca="1" si="9"/>
        <v>208473448</v>
      </c>
    </row>
    <row r="177" spans="1:18" ht="15" customHeight="1" x14ac:dyDescent="0.3">
      <c r="A177" s="768" t="s">
        <v>1</v>
      </c>
      <c r="B177" s="139" t="s">
        <v>58</v>
      </c>
      <c r="C177" s="41"/>
      <c r="D177" s="19"/>
      <c r="E177" s="8"/>
      <c r="F177" s="19"/>
      <c r="G177" s="8"/>
      <c r="H177" s="19"/>
      <c r="I177" s="8"/>
      <c r="J177" s="19"/>
      <c r="K177" s="8"/>
      <c r="L177" s="167"/>
      <c r="M177" s="8"/>
      <c r="N177" s="66"/>
      <c r="O177" s="6"/>
      <c r="P177" s="769" t="s">
        <v>0</v>
      </c>
      <c r="Q177" s="139" t="s">
        <v>66</v>
      </c>
      <c r="R177" s="182">
        <f t="shared" si="9"/>
        <v>0</v>
      </c>
    </row>
    <row r="178" spans="1:18" ht="15" customHeight="1" x14ac:dyDescent="0.3">
      <c r="A178" s="730"/>
      <c r="B178" s="140" t="s">
        <v>59</v>
      </c>
      <c r="C178" s="28"/>
      <c r="D178" s="20"/>
      <c r="E178" s="9"/>
      <c r="F178" s="20"/>
      <c r="G178" s="9"/>
      <c r="H178" s="20"/>
      <c r="I178" s="9"/>
      <c r="J178" s="20"/>
      <c r="K178" s="9"/>
      <c r="L178" s="172"/>
      <c r="M178" s="9"/>
      <c r="N178" s="67"/>
      <c r="O178" s="6"/>
      <c r="P178" s="770"/>
      <c r="Q178" s="140" t="s">
        <v>69</v>
      </c>
      <c r="R178" s="183">
        <f t="shared" si="9"/>
        <v>0</v>
      </c>
    </row>
    <row r="179" spans="1:18" ht="15" customHeight="1" x14ac:dyDescent="0.3">
      <c r="A179" s="730"/>
      <c r="B179" s="140" t="s">
        <v>88</v>
      </c>
      <c r="C179" s="28"/>
      <c r="D179" s="20"/>
      <c r="E179" s="28"/>
      <c r="F179" s="20"/>
      <c r="G179" s="9"/>
      <c r="H179" s="20"/>
      <c r="I179" s="9"/>
      <c r="J179" s="20"/>
      <c r="K179" s="9"/>
      <c r="L179" s="172"/>
      <c r="M179" s="9"/>
      <c r="N179" s="67"/>
      <c r="O179" s="6"/>
      <c r="P179" s="770"/>
      <c r="Q179" s="140" t="s">
        <v>64</v>
      </c>
      <c r="R179" s="183">
        <f t="shared" si="9"/>
        <v>0</v>
      </c>
    </row>
    <row r="180" spans="1:18" ht="15" customHeight="1" x14ac:dyDescent="0.3">
      <c r="A180" s="730"/>
      <c r="B180" s="140" t="s">
        <v>94</v>
      </c>
      <c r="C180" s="28"/>
      <c r="D180" s="20"/>
      <c r="E180" s="28"/>
      <c r="F180" s="20"/>
      <c r="G180" s="9"/>
      <c r="H180" s="20"/>
      <c r="I180" s="9"/>
      <c r="J180" s="20"/>
      <c r="K180" s="9"/>
      <c r="L180" s="172"/>
      <c r="M180" s="9"/>
      <c r="N180" s="67"/>
      <c r="O180" s="6"/>
      <c r="P180" s="770"/>
      <c r="Q180" s="140" t="s">
        <v>60</v>
      </c>
      <c r="R180" s="183">
        <f t="shared" si="9"/>
        <v>0</v>
      </c>
    </row>
    <row r="181" spans="1:18" ht="15" customHeight="1" thickBot="1" x14ac:dyDescent="0.35">
      <c r="A181" s="731"/>
      <c r="B181" s="141" t="s">
        <v>89</v>
      </c>
      <c r="C181" s="42"/>
      <c r="D181" s="18"/>
      <c r="E181" s="42"/>
      <c r="F181" s="18"/>
      <c r="G181" s="7"/>
      <c r="H181" s="18"/>
      <c r="I181" s="7"/>
      <c r="J181" s="18"/>
      <c r="K181" s="7"/>
      <c r="L181" s="168"/>
      <c r="M181" s="7"/>
      <c r="N181" s="68"/>
      <c r="O181" s="6"/>
      <c r="P181" s="771"/>
      <c r="Q181" s="141" t="s">
        <v>89</v>
      </c>
      <c r="R181" s="184">
        <f t="shared" si="9"/>
        <v>0</v>
      </c>
    </row>
    <row r="182" spans="1:18" ht="15" customHeight="1" x14ac:dyDescent="0.3">
      <c r="A182" s="626" t="s">
        <v>50</v>
      </c>
      <c r="B182" s="142" t="s">
        <v>55</v>
      </c>
      <c r="C182" s="8"/>
      <c r="D182" s="19"/>
      <c r="E182" s="8"/>
      <c r="F182" s="19"/>
      <c r="G182" s="8"/>
      <c r="H182" s="198"/>
      <c r="I182" s="8"/>
      <c r="J182" s="19"/>
      <c r="K182" s="8"/>
      <c r="L182" s="167"/>
      <c r="M182" s="8"/>
      <c r="N182" s="66"/>
      <c r="O182" s="6"/>
      <c r="P182" s="772" t="str">
        <f>A182</f>
        <v>암</v>
      </c>
      <c r="Q182" s="112" t="s">
        <v>55</v>
      </c>
      <c r="R182" s="182">
        <f t="shared" si="9"/>
        <v>60000000</v>
      </c>
    </row>
    <row r="183" spans="1:18" ht="15" customHeight="1" x14ac:dyDescent="0.3">
      <c r="A183" s="627"/>
      <c r="B183" s="143" t="s">
        <v>46</v>
      </c>
      <c r="C183" s="43"/>
      <c r="D183" s="21"/>
      <c r="E183" s="9"/>
      <c r="F183" s="21"/>
      <c r="G183" s="9"/>
      <c r="H183" s="204"/>
      <c r="I183" s="9"/>
      <c r="J183" s="21"/>
      <c r="K183" s="10"/>
      <c r="L183" s="169"/>
      <c r="M183" s="10"/>
      <c r="N183" s="69"/>
      <c r="O183" s="6"/>
      <c r="P183" s="773"/>
      <c r="Q183" s="113" t="s">
        <v>46</v>
      </c>
      <c r="R183" s="183">
        <f t="shared" si="9"/>
        <v>0</v>
      </c>
    </row>
    <row r="184" spans="1:18" ht="15" customHeight="1" x14ac:dyDescent="0.3">
      <c r="A184" s="627"/>
      <c r="B184" s="143" t="s">
        <v>9</v>
      </c>
      <c r="C184" s="43"/>
      <c r="D184" s="21"/>
      <c r="E184" s="10"/>
      <c r="F184" s="21"/>
      <c r="G184" s="9"/>
      <c r="H184" s="13"/>
      <c r="I184" s="10"/>
      <c r="J184" s="21"/>
      <c r="K184" s="10"/>
      <c r="L184" s="169"/>
      <c r="M184" s="10"/>
      <c r="N184" s="69"/>
      <c r="O184" s="6"/>
      <c r="P184" s="773"/>
      <c r="Q184" s="113" t="s">
        <v>9</v>
      </c>
      <c r="R184" s="183">
        <f t="shared" si="9"/>
        <v>47500000</v>
      </c>
    </row>
    <row r="185" spans="1:18" ht="15" customHeight="1" x14ac:dyDescent="0.3">
      <c r="A185" s="627"/>
      <c r="B185" s="143" t="s">
        <v>10</v>
      </c>
      <c r="C185" s="43"/>
      <c r="D185" s="21"/>
      <c r="E185" s="9"/>
      <c r="F185" s="21"/>
      <c r="G185" s="10"/>
      <c r="H185" s="13"/>
      <c r="I185" s="43"/>
      <c r="J185" s="21"/>
      <c r="K185" s="10"/>
      <c r="L185" s="169"/>
      <c r="M185" s="10"/>
      <c r="N185" s="69"/>
      <c r="O185" s="6"/>
      <c r="P185" s="773"/>
      <c r="Q185" s="113" t="s">
        <v>10</v>
      </c>
      <c r="R185" s="183">
        <f t="shared" si="9"/>
        <v>0</v>
      </c>
    </row>
    <row r="186" spans="1:18" ht="15" customHeight="1" thickBot="1" x14ac:dyDescent="0.35">
      <c r="A186" s="627"/>
      <c r="B186" s="144" t="s">
        <v>20</v>
      </c>
      <c r="C186" s="42"/>
      <c r="D186" s="18"/>
      <c r="E186" s="7"/>
      <c r="F186" s="21"/>
      <c r="G186" s="7"/>
      <c r="H186" s="13"/>
      <c r="I186" s="7"/>
      <c r="J186" s="21"/>
      <c r="K186" s="10"/>
      <c r="L186" s="169"/>
      <c r="M186" s="10"/>
      <c r="N186" s="69"/>
      <c r="O186" s="6"/>
      <c r="P186" s="773"/>
      <c r="Q186" s="114" t="s">
        <v>20</v>
      </c>
      <c r="R186" s="184">
        <f t="shared" si="9"/>
        <v>0</v>
      </c>
    </row>
    <row r="187" spans="1:18" ht="15" customHeight="1" x14ac:dyDescent="0.3">
      <c r="A187" s="721" t="s">
        <v>19</v>
      </c>
      <c r="B187" s="145" t="s">
        <v>51</v>
      </c>
      <c r="C187" s="9"/>
      <c r="D187" s="19"/>
      <c r="E187" s="9"/>
      <c r="F187" s="19"/>
      <c r="G187" s="9"/>
      <c r="H187" s="11"/>
      <c r="I187" s="8"/>
      <c r="J187" s="19"/>
      <c r="K187" s="8"/>
      <c r="L187" s="167"/>
      <c r="M187" s="8"/>
      <c r="N187" s="66"/>
      <c r="O187" s="6"/>
      <c r="P187" s="760" t="str">
        <f>A187</f>
        <v>2대
질병</v>
      </c>
      <c r="Q187" s="115" t="s">
        <v>51</v>
      </c>
      <c r="R187" s="182">
        <f t="shared" si="9"/>
        <v>10000000</v>
      </c>
    </row>
    <row r="188" spans="1:18" ht="15" customHeight="1" x14ac:dyDescent="0.3">
      <c r="A188" s="722"/>
      <c r="B188" s="146" t="s">
        <v>43</v>
      </c>
      <c r="C188" s="9"/>
      <c r="D188" s="21"/>
      <c r="E188" s="10"/>
      <c r="F188" s="204"/>
      <c r="G188" s="9"/>
      <c r="H188" s="13"/>
      <c r="I188" s="10"/>
      <c r="J188" s="204"/>
      <c r="K188" s="9"/>
      <c r="L188" s="169"/>
      <c r="M188" s="10"/>
      <c r="N188" s="69"/>
      <c r="O188" s="6"/>
      <c r="P188" s="761"/>
      <c r="Q188" s="116" t="s">
        <v>43</v>
      </c>
      <c r="R188" s="183">
        <f t="shared" si="9"/>
        <v>0</v>
      </c>
    </row>
    <row r="189" spans="1:18" ht="15" customHeight="1" thickBot="1" x14ac:dyDescent="0.35">
      <c r="A189" s="722"/>
      <c r="B189" s="147" t="s">
        <v>53</v>
      </c>
      <c r="C189" s="36"/>
      <c r="D189" s="199"/>
      <c r="E189" s="36"/>
      <c r="F189" s="47"/>
      <c r="G189" s="36"/>
      <c r="H189" s="48"/>
      <c r="I189" s="36"/>
      <c r="J189" s="199"/>
      <c r="K189" s="36"/>
      <c r="L189" s="170"/>
      <c r="M189" s="36"/>
      <c r="N189" s="70"/>
      <c r="O189" s="6"/>
      <c r="P189" s="761"/>
      <c r="Q189" s="117" t="s">
        <v>53</v>
      </c>
      <c r="R189" s="184">
        <f t="shared" si="9"/>
        <v>0</v>
      </c>
    </row>
    <row r="190" spans="1:18" ht="15" customHeight="1" x14ac:dyDescent="0.3">
      <c r="A190" s="722"/>
      <c r="B190" s="148" t="s">
        <v>65</v>
      </c>
      <c r="C190" s="8"/>
      <c r="D190" s="19"/>
      <c r="E190" s="8"/>
      <c r="F190" s="19"/>
      <c r="G190" s="8"/>
      <c r="H190" s="11"/>
      <c r="I190" s="8"/>
      <c r="J190" s="19"/>
      <c r="K190" s="8"/>
      <c r="L190" s="167"/>
      <c r="M190" s="8"/>
      <c r="N190" s="66"/>
      <c r="O190" s="6"/>
      <c r="P190" s="761"/>
      <c r="Q190" s="118" t="s">
        <v>65</v>
      </c>
      <c r="R190" s="182">
        <f t="shared" si="9"/>
        <v>0</v>
      </c>
    </row>
    <row r="191" spans="1:18" ht="15" customHeight="1" x14ac:dyDescent="0.3">
      <c r="A191" s="722"/>
      <c r="B191" s="149" t="s">
        <v>8</v>
      </c>
      <c r="C191" s="9"/>
      <c r="D191" s="21"/>
      <c r="E191" s="9"/>
      <c r="F191" s="204"/>
      <c r="G191" s="9"/>
      <c r="H191" s="13"/>
      <c r="I191" s="9"/>
      <c r="J191" s="20"/>
      <c r="K191" s="9"/>
      <c r="L191" s="169"/>
      <c r="M191" s="10"/>
      <c r="N191" s="69"/>
      <c r="O191" s="6"/>
      <c r="P191" s="761"/>
      <c r="Q191" s="119" t="s">
        <v>8</v>
      </c>
      <c r="R191" s="183">
        <f t="shared" si="9"/>
        <v>10000000</v>
      </c>
    </row>
    <row r="192" spans="1:18" ht="15" customHeight="1" thickBot="1" x14ac:dyDescent="0.35">
      <c r="A192" s="722"/>
      <c r="B192" s="165" t="s">
        <v>5</v>
      </c>
      <c r="C192" s="7"/>
      <c r="D192" s="200"/>
      <c r="E192" s="36"/>
      <c r="F192" s="47"/>
      <c r="G192" s="36"/>
      <c r="H192" s="48"/>
      <c r="I192" s="36"/>
      <c r="J192" s="199"/>
      <c r="K192" s="35"/>
      <c r="L192" s="170"/>
      <c r="M192" s="35"/>
      <c r="N192" s="70"/>
      <c r="O192" s="6"/>
      <c r="P192" s="761"/>
      <c r="Q192" s="120" t="s">
        <v>5</v>
      </c>
      <c r="R192" s="184">
        <f t="shared" si="9"/>
        <v>0</v>
      </c>
    </row>
    <row r="193" spans="1:18" ht="15" customHeight="1" thickBot="1" x14ac:dyDescent="0.35">
      <c r="A193" s="722"/>
      <c r="B193" s="166" t="s">
        <v>32</v>
      </c>
      <c r="C193" s="53"/>
      <c r="D193" s="22"/>
      <c r="E193" s="14"/>
      <c r="F193" s="211"/>
      <c r="G193" s="14"/>
      <c r="H193" s="15"/>
      <c r="I193" s="14"/>
      <c r="J193" s="211"/>
      <c r="K193" s="14"/>
      <c r="L193" s="171"/>
      <c r="M193" s="14"/>
      <c r="N193" s="71"/>
      <c r="O193" s="6"/>
      <c r="P193" s="761"/>
      <c r="Q193" s="121" t="s">
        <v>32</v>
      </c>
      <c r="R193" s="108">
        <f t="shared" si="9"/>
        <v>20000000</v>
      </c>
    </row>
    <row r="194" spans="1:18" ht="15" customHeight="1" x14ac:dyDescent="0.3">
      <c r="A194" s="723" t="s">
        <v>16</v>
      </c>
      <c r="B194" s="152" t="s">
        <v>36</v>
      </c>
      <c r="C194" s="41"/>
      <c r="D194" s="19"/>
      <c r="E194" s="8"/>
      <c r="F194" s="198"/>
      <c r="G194" s="8"/>
      <c r="H194" s="19"/>
      <c r="I194" s="8"/>
      <c r="J194" s="19"/>
      <c r="K194" s="8"/>
      <c r="L194" s="167"/>
      <c r="M194" s="8"/>
      <c r="N194" s="66"/>
      <c r="O194" s="6"/>
      <c r="P194" s="762" t="str">
        <f>A194</f>
        <v>후유장해</v>
      </c>
      <c r="Q194" s="122" t="s">
        <v>36</v>
      </c>
      <c r="R194" s="182">
        <f t="shared" si="9"/>
        <v>0</v>
      </c>
    </row>
    <row r="195" spans="1:18" ht="15" customHeight="1" x14ac:dyDescent="0.3">
      <c r="A195" s="724"/>
      <c r="B195" s="153" t="s">
        <v>29</v>
      </c>
      <c r="C195" s="28"/>
      <c r="D195" s="20"/>
      <c r="E195" s="9"/>
      <c r="F195" s="204"/>
      <c r="G195" s="9"/>
      <c r="H195" s="20"/>
      <c r="I195" s="9"/>
      <c r="J195" s="20"/>
      <c r="K195" s="9"/>
      <c r="L195" s="172"/>
      <c r="M195" s="9"/>
      <c r="N195" s="67"/>
      <c r="O195" s="6"/>
      <c r="P195" s="763"/>
      <c r="Q195" s="123" t="s">
        <v>29</v>
      </c>
      <c r="R195" s="183">
        <f t="shared" si="9"/>
        <v>0</v>
      </c>
    </row>
    <row r="196" spans="1:18" ht="15" customHeight="1" x14ac:dyDescent="0.3">
      <c r="A196" s="724"/>
      <c r="B196" s="153" t="s">
        <v>25</v>
      </c>
      <c r="C196" s="28"/>
      <c r="D196" s="20"/>
      <c r="E196" s="9"/>
      <c r="F196" s="218"/>
      <c r="G196" s="9"/>
      <c r="H196" s="20"/>
      <c r="I196" s="9"/>
      <c r="J196" s="20"/>
      <c r="K196" s="9"/>
      <c r="L196" s="172"/>
      <c r="M196" s="9"/>
      <c r="N196" s="67"/>
      <c r="O196" s="6"/>
      <c r="P196" s="763"/>
      <c r="Q196" s="123" t="s">
        <v>25</v>
      </c>
      <c r="R196" s="183">
        <f t="shared" si="9"/>
        <v>160000000</v>
      </c>
    </row>
    <row r="197" spans="1:18" ht="15" customHeight="1" thickBot="1" x14ac:dyDescent="0.35">
      <c r="A197" s="725"/>
      <c r="B197" s="154" t="s">
        <v>24</v>
      </c>
      <c r="C197" s="42"/>
      <c r="D197" s="18"/>
      <c r="E197" s="7"/>
      <c r="F197" s="200"/>
      <c r="G197" s="9"/>
      <c r="H197" s="18"/>
      <c r="I197" s="7"/>
      <c r="J197" s="18"/>
      <c r="K197" s="7"/>
      <c r="L197" s="168"/>
      <c r="M197" s="7"/>
      <c r="N197" s="68"/>
      <c r="O197" s="6"/>
      <c r="P197" s="764"/>
      <c r="Q197" s="124" t="s">
        <v>24</v>
      </c>
      <c r="R197" s="184">
        <f t="shared" si="9"/>
        <v>80000000</v>
      </c>
    </row>
    <row r="198" spans="1:18" ht="15" customHeight="1" x14ac:dyDescent="0.3">
      <c r="A198" s="726" t="s">
        <v>47</v>
      </c>
      <c r="B198" s="155" t="s">
        <v>48</v>
      </c>
      <c r="C198" s="41"/>
      <c r="D198" s="19"/>
      <c r="E198" s="10"/>
      <c r="F198" s="19"/>
      <c r="G198" s="8"/>
      <c r="H198" s="19"/>
      <c r="I198" s="8"/>
      <c r="J198" s="19"/>
      <c r="K198" s="8"/>
      <c r="L198" s="173"/>
      <c r="M198" s="10"/>
      <c r="N198" s="69"/>
      <c r="O198" s="6"/>
      <c r="P198" s="765" t="s">
        <v>47</v>
      </c>
      <c r="Q198" s="125" t="s">
        <v>48</v>
      </c>
      <c r="R198" s="182">
        <f t="shared" si="9"/>
        <v>0</v>
      </c>
    </row>
    <row r="199" spans="1:18" ht="15" customHeight="1" x14ac:dyDescent="0.3">
      <c r="A199" s="727"/>
      <c r="B199" s="156" t="s">
        <v>44</v>
      </c>
      <c r="C199" s="28"/>
      <c r="D199" s="20"/>
      <c r="E199" s="9"/>
      <c r="F199" s="20"/>
      <c r="G199" s="9"/>
      <c r="H199" s="12"/>
      <c r="I199" s="9"/>
      <c r="J199" s="20"/>
      <c r="K199" s="9"/>
      <c r="L199" s="174"/>
      <c r="M199" s="9"/>
      <c r="N199" s="67"/>
      <c r="O199" s="6"/>
      <c r="P199" s="766"/>
      <c r="Q199" s="126" t="s">
        <v>44</v>
      </c>
      <c r="R199" s="183">
        <f t="shared" si="9"/>
        <v>0</v>
      </c>
    </row>
    <row r="200" spans="1:18" ht="15" customHeight="1" thickBot="1" x14ac:dyDescent="0.35">
      <c r="A200" s="728"/>
      <c r="B200" s="157" t="s">
        <v>7</v>
      </c>
      <c r="C200" s="43"/>
      <c r="D200" s="21"/>
      <c r="E200" s="7"/>
      <c r="F200" s="18"/>
      <c r="G200" s="7"/>
      <c r="H200" s="24"/>
      <c r="I200" s="7"/>
      <c r="J200" s="217"/>
      <c r="K200" s="7"/>
      <c r="L200" s="168"/>
      <c r="M200" s="7"/>
      <c r="N200" s="68"/>
      <c r="O200" s="6"/>
      <c r="P200" s="767"/>
      <c r="Q200" s="127" t="s">
        <v>54</v>
      </c>
      <c r="R200" s="184">
        <f t="shared" si="9"/>
        <v>100000000</v>
      </c>
    </row>
    <row r="201" spans="1:18" ht="15" customHeight="1" x14ac:dyDescent="0.3">
      <c r="A201" s="746" t="s">
        <v>39</v>
      </c>
      <c r="B201" s="158" t="s">
        <v>44</v>
      </c>
      <c r="C201" s="41"/>
      <c r="D201" s="19"/>
      <c r="E201" s="8"/>
      <c r="F201" s="19"/>
      <c r="G201" s="8"/>
      <c r="H201" s="19"/>
      <c r="I201" s="8"/>
      <c r="J201" s="215"/>
      <c r="K201" s="8"/>
      <c r="L201" s="167"/>
      <c r="M201" s="8"/>
      <c r="N201" s="66"/>
      <c r="O201" s="6"/>
      <c r="P201" s="779" t="s">
        <v>39</v>
      </c>
      <c r="Q201" s="128" t="s">
        <v>44</v>
      </c>
      <c r="R201" s="182">
        <f t="shared" si="9"/>
        <v>300000</v>
      </c>
    </row>
    <row r="202" spans="1:18" ht="15" customHeight="1" x14ac:dyDescent="0.3">
      <c r="A202" s="747"/>
      <c r="B202" s="158" t="s">
        <v>54</v>
      </c>
      <c r="C202" s="28"/>
      <c r="D202" s="20"/>
      <c r="E202" s="9"/>
      <c r="F202" s="21"/>
      <c r="G202" s="9"/>
      <c r="H202" s="20"/>
      <c r="I202" s="9"/>
      <c r="J202" s="216"/>
      <c r="K202" s="9"/>
      <c r="L202" s="172"/>
      <c r="M202" s="9"/>
      <c r="N202" s="67"/>
      <c r="O202" s="6"/>
      <c r="P202" s="780"/>
      <c r="Q202" s="129" t="s">
        <v>54</v>
      </c>
      <c r="R202" s="183">
        <f t="shared" si="9"/>
        <v>0</v>
      </c>
    </row>
    <row r="203" spans="1:18" ht="15" customHeight="1" x14ac:dyDescent="0.3">
      <c r="A203" s="747"/>
      <c r="B203" s="158" t="s">
        <v>68</v>
      </c>
      <c r="C203" s="28"/>
      <c r="D203" s="20"/>
      <c r="E203" s="9"/>
      <c r="F203" s="21"/>
      <c r="G203" s="9"/>
      <c r="H203" s="13"/>
      <c r="I203" s="10"/>
      <c r="J203" s="219"/>
      <c r="K203" s="10"/>
      <c r="L203" s="175"/>
      <c r="M203" s="23"/>
      <c r="N203" s="69"/>
      <c r="O203" s="6"/>
      <c r="P203" s="780"/>
      <c r="Q203" s="129" t="s">
        <v>68</v>
      </c>
      <c r="R203" s="183">
        <f t="shared" si="9"/>
        <v>6000000</v>
      </c>
    </row>
    <row r="204" spans="1:18" ht="15" customHeight="1" thickBot="1" x14ac:dyDescent="0.35">
      <c r="A204" s="747"/>
      <c r="B204" s="159" t="s">
        <v>61</v>
      </c>
      <c r="C204" s="44"/>
      <c r="D204" s="34"/>
      <c r="E204" s="35"/>
      <c r="F204" s="34"/>
      <c r="G204" s="35"/>
      <c r="H204" s="37"/>
      <c r="I204" s="36"/>
      <c r="J204" s="63"/>
      <c r="K204" s="36"/>
      <c r="L204" s="176"/>
      <c r="M204" s="35"/>
      <c r="N204" s="72"/>
      <c r="O204" s="6"/>
      <c r="P204" s="780"/>
      <c r="Q204" s="130" t="s">
        <v>61</v>
      </c>
      <c r="R204" s="184">
        <f t="shared" si="9"/>
        <v>20000000</v>
      </c>
    </row>
    <row r="205" spans="1:18" ht="15" customHeight="1" x14ac:dyDescent="0.3">
      <c r="A205" s="748" t="s">
        <v>40</v>
      </c>
      <c r="B205" s="160" t="s">
        <v>45</v>
      </c>
      <c r="C205" s="8"/>
      <c r="D205" s="19"/>
      <c r="E205" s="8"/>
      <c r="F205" s="19"/>
      <c r="G205" s="8"/>
      <c r="H205" s="19"/>
      <c r="I205" s="8"/>
      <c r="J205" s="215"/>
      <c r="K205" s="8"/>
      <c r="L205" s="167"/>
      <c r="M205" s="8"/>
      <c r="N205" s="66"/>
      <c r="O205" s="6"/>
      <c r="P205" s="782" t="s">
        <v>40</v>
      </c>
      <c r="Q205" s="131" t="s">
        <v>45</v>
      </c>
      <c r="R205" s="182">
        <f t="shared" si="9"/>
        <v>500000</v>
      </c>
    </row>
    <row r="206" spans="1:18" ht="15" customHeight="1" thickBot="1" x14ac:dyDescent="0.35">
      <c r="A206" s="781"/>
      <c r="B206" s="161" t="s">
        <v>42</v>
      </c>
      <c r="C206" s="45"/>
      <c r="D206" s="18"/>
      <c r="E206" s="39"/>
      <c r="F206" s="38"/>
      <c r="G206" s="39"/>
      <c r="H206" s="38"/>
      <c r="I206" s="39"/>
      <c r="J206" s="220"/>
      <c r="K206" s="39"/>
      <c r="L206" s="177"/>
      <c r="M206" s="39"/>
      <c r="N206" s="73"/>
      <c r="O206" s="6"/>
      <c r="P206" s="783"/>
      <c r="Q206" s="132" t="s">
        <v>42</v>
      </c>
      <c r="R206" s="184">
        <f t="shared" si="9"/>
        <v>0</v>
      </c>
    </row>
    <row r="207" spans="1:18" ht="15" customHeight="1" x14ac:dyDescent="0.3">
      <c r="A207" s="784" t="s">
        <v>6</v>
      </c>
      <c r="B207" s="162" t="s">
        <v>44</v>
      </c>
      <c r="C207" s="41"/>
      <c r="D207" s="19"/>
      <c r="E207" s="41"/>
      <c r="F207" s="19"/>
      <c r="G207" s="41"/>
      <c r="H207" s="19"/>
      <c r="I207" s="41"/>
      <c r="J207" s="215"/>
      <c r="K207" s="8"/>
      <c r="L207" s="167"/>
      <c r="M207" s="8"/>
      <c r="N207" s="66"/>
      <c r="O207" s="6"/>
      <c r="P207" s="786" t="s">
        <v>6</v>
      </c>
      <c r="Q207" s="133" t="s">
        <v>44</v>
      </c>
      <c r="R207" s="182">
        <f t="shared" si="9"/>
        <v>200000</v>
      </c>
    </row>
    <row r="208" spans="1:18" ht="15" customHeight="1" thickBot="1" x14ac:dyDescent="0.35">
      <c r="A208" s="785"/>
      <c r="B208" s="163" t="s">
        <v>7</v>
      </c>
      <c r="C208" s="42"/>
      <c r="D208" s="18"/>
      <c r="E208" s="42"/>
      <c r="F208" s="18"/>
      <c r="G208" s="42"/>
      <c r="H208" s="18"/>
      <c r="I208" s="42"/>
      <c r="J208" s="217"/>
      <c r="K208" s="7"/>
      <c r="L208" s="168"/>
      <c r="M208" s="7"/>
      <c r="N208" s="68"/>
      <c r="O208" s="6"/>
      <c r="P208" s="787"/>
      <c r="Q208" s="134" t="s">
        <v>7</v>
      </c>
      <c r="R208" s="184">
        <f t="shared" si="9"/>
        <v>20000</v>
      </c>
    </row>
    <row r="209" spans="1:18" ht="15" customHeight="1" x14ac:dyDescent="0.3">
      <c r="A209" s="732" t="s">
        <v>52</v>
      </c>
      <c r="B209" s="144" t="s">
        <v>41</v>
      </c>
      <c r="C209" s="28"/>
      <c r="D209" s="19"/>
      <c r="E209" s="8"/>
      <c r="F209" s="19"/>
      <c r="G209" s="8"/>
      <c r="H209" s="19"/>
      <c r="I209" s="8"/>
      <c r="J209" s="215"/>
      <c r="K209" s="8"/>
      <c r="L209" s="178"/>
      <c r="M209" s="8"/>
      <c r="N209" s="66"/>
      <c r="O209" s="6"/>
      <c r="P209" s="774" t="s">
        <v>52</v>
      </c>
      <c r="Q209" s="114" t="s">
        <v>41</v>
      </c>
      <c r="R209" s="182">
        <f t="shared" si="9"/>
        <v>20000000</v>
      </c>
    </row>
    <row r="210" spans="1:18" ht="15" customHeight="1" x14ac:dyDescent="0.3">
      <c r="A210" s="733"/>
      <c r="B210" s="144" t="s">
        <v>11</v>
      </c>
      <c r="C210" s="28"/>
      <c r="D210" s="20"/>
      <c r="E210" s="9"/>
      <c r="F210" s="20"/>
      <c r="G210" s="9"/>
      <c r="H210" s="20"/>
      <c r="I210" s="9"/>
      <c r="J210" s="216"/>
      <c r="K210" s="9"/>
      <c r="L210" s="179"/>
      <c r="M210" s="9"/>
      <c r="N210" s="67"/>
      <c r="O210" s="6"/>
      <c r="P210" s="775"/>
      <c r="Q210" s="114" t="s">
        <v>11</v>
      </c>
      <c r="R210" s="183">
        <f t="shared" si="9"/>
        <v>50000000</v>
      </c>
    </row>
    <row r="211" spans="1:18" ht="15" customHeight="1" thickBot="1" x14ac:dyDescent="0.35">
      <c r="A211" s="734"/>
      <c r="B211" s="164" t="s">
        <v>27</v>
      </c>
      <c r="C211" s="28"/>
      <c r="D211" s="20"/>
      <c r="E211" s="10"/>
      <c r="F211" s="21"/>
      <c r="G211" s="10"/>
      <c r="H211" s="21"/>
      <c r="I211" s="10"/>
      <c r="J211" s="219"/>
      <c r="K211" s="10"/>
      <c r="L211" s="175"/>
      <c r="M211" s="10"/>
      <c r="N211" s="69"/>
      <c r="O211" s="6"/>
      <c r="P211" s="776"/>
      <c r="Q211" s="135" t="s">
        <v>27</v>
      </c>
      <c r="R211" s="184">
        <f t="shared" si="9"/>
        <v>200000000</v>
      </c>
    </row>
    <row r="212" spans="1:18" ht="15" customHeight="1" thickBot="1" x14ac:dyDescent="0.35">
      <c r="A212" s="735" t="s">
        <v>30</v>
      </c>
      <c r="B212" s="736"/>
      <c r="C212" s="14"/>
      <c r="D212" s="22"/>
      <c r="E212" s="14"/>
      <c r="F212" s="22"/>
      <c r="G212" s="14"/>
      <c r="H212" s="22"/>
      <c r="I212" s="14"/>
      <c r="J212" s="221"/>
      <c r="K212" s="14"/>
      <c r="L212" s="180"/>
      <c r="M212" s="14"/>
      <c r="N212" s="74"/>
      <c r="O212" s="6"/>
      <c r="P212" s="777" t="s">
        <v>30</v>
      </c>
      <c r="Q212" s="778"/>
      <c r="R212" s="107">
        <f t="shared" si="9"/>
        <v>0</v>
      </c>
    </row>
    <row r="213" spans="1:18" ht="15" customHeight="1" x14ac:dyDescent="0.3">
      <c r="A213" s="737" t="s">
        <v>38</v>
      </c>
      <c r="B213" s="738"/>
      <c r="C213" s="46"/>
      <c r="D213" s="11"/>
      <c r="E213" s="29"/>
      <c r="F213" s="201"/>
      <c r="G213" s="203"/>
      <c r="H213" s="20"/>
      <c r="I213" s="31"/>
      <c r="J213" s="215"/>
      <c r="K213" s="189"/>
      <c r="L213" s="222"/>
      <c r="M213" s="31"/>
      <c r="N213" s="191"/>
      <c r="O213" s="6"/>
      <c r="P213" s="743" t="s">
        <v>38</v>
      </c>
      <c r="Q213" s="597"/>
      <c r="R213" s="598"/>
    </row>
    <row r="214" spans="1:18" ht="15" customHeight="1" x14ac:dyDescent="0.3">
      <c r="A214" s="739"/>
      <c r="B214" s="740"/>
      <c r="C214" s="29"/>
      <c r="D214" s="12"/>
      <c r="E214" s="210"/>
      <c r="F214" s="201"/>
      <c r="G214" s="32"/>
      <c r="H214" s="201"/>
      <c r="I214" s="32"/>
      <c r="J214" s="216"/>
      <c r="K214" s="214"/>
      <c r="L214" s="223"/>
      <c r="M214" s="32"/>
      <c r="N214" s="190"/>
      <c r="O214" s="6"/>
      <c r="P214" s="744"/>
      <c r="Q214" s="599"/>
      <c r="R214" s="600"/>
    </row>
    <row r="215" spans="1:18" ht="15" customHeight="1" x14ac:dyDescent="0.3">
      <c r="A215" s="739"/>
      <c r="B215" s="740"/>
      <c r="C215" s="29"/>
      <c r="D215" s="12"/>
      <c r="E215" s="32"/>
      <c r="F215" s="12"/>
      <c r="G215" s="32"/>
      <c r="H215" s="201"/>
      <c r="I215" s="32"/>
      <c r="J215" s="216"/>
      <c r="K215" s="32"/>
      <c r="L215" s="179"/>
      <c r="M215" s="32"/>
      <c r="N215" s="76"/>
      <c r="O215" s="6"/>
      <c r="P215" s="744"/>
      <c r="Q215" s="599"/>
      <c r="R215" s="600"/>
    </row>
    <row r="216" spans="1:18" ht="15" customHeight="1" thickBot="1" x14ac:dyDescent="0.35">
      <c r="A216" s="741"/>
      <c r="B216" s="742"/>
      <c r="C216" s="30"/>
      <c r="D216" s="24"/>
      <c r="E216" s="33"/>
      <c r="F216" s="24"/>
      <c r="G216" s="33"/>
      <c r="H216" s="200"/>
      <c r="I216" s="33"/>
      <c r="J216" s="24"/>
      <c r="K216" s="33"/>
      <c r="L216" s="181"/>
      <c r="M216" s="33"/>
      <c r="N216" s="77"/>
      <c r="O216" s="6"/>
      <c r="P216" s="745"/>
      <c r="Q216" s="601"/>
      <c r="R216" s="602"/>
    </row>
    <row r="217" spans="1:18" ht="15" customHeight="1" x14ac:dyDescent="0.3">
      <c r="A217" s="652" t="str">
        <f>A166</f>
        <v>이민호님 보장분석(전)</v>
      </c>
      <c r="B217" s="653"/>
      <c r="C217" s="688"/>
      <c r="D217" s="695"/>
      <c r="E217" s="688"/>
      <c r="F217" s="695"/>
      <c r="G217" s="688"/>
      <c r="H217" s="695"/>
      <c r="I217" s="688"/>
      <c r="J217" s="695"/>
      <c r="K217" s="688"/>
      <c r="L217" s="695"/>
      <c r="M217" s="688"/>
      <c r="N217" s="695"/>
      <c r="O217" s="138"/>
      <c r="P217" s="650" t="s">
        <v>15</v>
      </c>
      <c r="Q217" s="651"/>
      <c r="R217" s="137">
        <f ca="1">R166</f>
        <v>46140</v>
      </c>
    </row>
    <row r="218" spans="1:18" ht="15" customHeight="1" x14ac:dyDescent="0.3">
      <c r="A218" s="647" t="s">
        <v>49</v>
      </c>
      <c r="B218" s="648"/>
      <c r="C218" s="754"/>
      <c r="D218" s="754"/>
      <c r="E218" s="754"/>
      <c r="F218" s="754"/>
      <c r="G218" s="754"/>
      <c r="H218" s="754"/>
      <c r="I218" s="754"/>
      <c r="J218" s="754"/>
      <c r="K218" s="754"/>
      <c r="L218" s="754"/>
      <c r="M218" s="754"/>
      <c r="N218" s="755"/>
      <c r="O218" s="25"/>
      <c r="P218" s="654"/>
      <c r="Q218" s="655"/>
      <c r="R218" s="656"/>
    </row>
    <row r="219" spans="1:18" ht="15" customHeight="1" x14ac:dyDescent="0.3">
      <c r="A219" s="637" t="s">
        <v>28</v>
      </c>
      <c r="B219" s="638"/>
      <c r="C219" s="790"/>
      <c r="D219" s="791"/>
      <c r="E219" s="790"/>
      <c r="F219" s="791"/>
      <c r="G219" s="790"/>
      <c r="H219" s="791"/>
      <c r="I219" s="790"/>
      <c r="J219" s="791"/>
      <c r="K219" s="790"/>
      <c r="L219" s="791"/>
      <c r="M219" s="788"/>
      <c r="N219" s="789"/>
      <c r="O219" s="25"/>
      <c r="P219" s="657"/>
      <c r="Q219" s="658"/>
      <c r="R219" s="659"/>
    </row>
    <row r="220" spans="1:18" ht="15" customHeight="1" x14ac:dyDescent="0.3">
      <c r="A220" s="647" t="s">
        <v>17</v>
      </c>
      <c r="B220" s="648"/>
      <c r="C220" s="756"/>
      <c r="D220" s="756"/>
      <c r="E220" s="756"/>
      <c r="F220" s="754"/>
      <c r="G220" s="756"/>
      <c r="H220" s="754"/>
      <c r="I220" s="756"/>
      <c r="J220" s="754"/>
      <c r="K220" s="756"/>
      <c r="L220" s="754"/>
      <c r="M220" s="756"/>
      <c r="N220" s="755"/>
      <c r="O220" s="25"/>
      <c r="P220" s="657"/>
      <c r="Q220" s="658"/>
      <c r="R220" s="659"/>
    </row>
    <row r="221" spans="1:18" ht="15" customHeight="1" x14ac:dyDescent="0.3">
      <c r="A221" s="647" t="s">
        <v>23</v>
      </c>
      <c r="B221" s="648"/>
      <c r="C221" s="61"/>
      <c r="D221" s="62">
        <f ca="1">IF(DATEDIF(C220,$R$1,"m")&lt;C221*12,DATEDIF(C220,$R$1,"m"),C221*12)</f>
        <v>0</v>
      </c>
      <c r="E221" s="61"/>
      <c r="F221" s="62">
        <f ca="1">IF(DATEDIF(E220,$R$1,"m")&lt;E221*12,DATEDIF(E220,$R$1,"m"),E221*12)</f>
        <v>0</v>
      </c>
      <c r="G221" s="61"/>
      <c r="H221" s="62">
        <f ca="1">IF(DATEDIF(G220,$R$1,"m")&lt;G221*12,DATEDIF(G220,$R$1,"m"),G221*12)</f>
        <v>0</v>
      </c>
      <c r="I221" s="61"/>
      <c r="J221" s="62">
        <f ca="1">IF(DATEDIF(I220,$R$1,"m")&lt;I221*12,DATEDIF(I220,$R$1,"m"),I221*12)</f>
        <v>0</v>
      </c>
      <c r="K221" s="61"/>
      <c r="L221" s="62">
        <f ca="1">IF(DATEDIF(K220,$R$1,"m")&lt;K221*12,DATEDIF(K220,$R$1,"m"),K221*12)</f>
        <v>0</v>
      </c>
      <c r="M221" s="61"/>
      <c r="N221" s="65">
        <f ca="1">IF(DATEDIF(M220,$R$1,"m")&lt;M221*12,DATEDIF(M220,$R$1,"m"),M221*12)</f>
        <v>0</v>
      </c>
      <c r="O221" s="25"/>
      <c r="P221" s="657"/>
      <c r="Q221" s="658"/>
      <c r="R221" s="659"/>
    </row>
    <row r="222" spans="1:18" ht="15" customHeight="1" x14ac:dyDescent="0.3">
      <c r="A222" s="647" t="s">
        <v>2</v>
      </c>
      <c r="B222" s="648"/>
      <c r="C222" s="696"/>
      <c r="D222" s="696"/>
      <c r="E222" s="696"/>
      <c r="F222" s="696"/>
      <c r="G222" s="696"/>
      <c r="H222" s="696"/>
      <c r="I222" s="696"/>
      <c r="J222" s="696"/>
      <c r="K222" s="696"/>
      <c r="L222" s="696"/>
      <c r="M222" s="696"/>
      <c r="N222" s="717"/>
      <c r="O222" s="25"/>
      <c r="P222" s="660"/>
      <c r="Q222" s="661"/>
      <c r="R222" s="662"/>
    </row>
    <row r="223" spans="1:18" ht="15" customHeight="1" x14ac:dyDescent="0.3">
      <c r="A223" s="632" t="s">
        <v>37</v>
      </c>
      <c r="B223" s="633"/>
      <c r="C223" s="757"/>
      <c r="D223" s="758"/>
      <c r="E223" s="757"/>
      <c r="F223" s="758"/>
      <c r="G223" s="757"/>
      <c r="H223" s="758"/>
      <c r="I223" s="757"/>
      <c r="J223" s="758"/>
      <c r="K223" s="757"/>
      <c r="L223" s="758"/>
      <c r="M223" s="757"/>
      <c r="N223" s="759"/>
      <c r="O223" s="25"/>
      <c r="P223" s="643"/>
      <c r="Q223" s="644"/>
      <c r="R223" s="27" t="s">
        <v>91</v>
      </c>
    </row>
    <row r="224" spans="1:18" ht="15" customHeight="1" x14ac:dyDescent="0.3">
      <c r="A224" s="639" t="s">
        <v>12</v>
      </c>
      <c r="B224" s="640"/>
      <c r="C224" s="705"/>
      <c r="D224" s="705"/>
      <c r="E224" s="705"/>
      <c r="F224" s="705"/>
      <c r="G224" s="705"/>
      <c r="H224" s="705"/>
      <c r="I224" s="705"/>
      <c r="J224" s="705"/>
      <c r="K224" s="705"/>
      <c r="L224" s="705"/>
      <c r="M224" s="705"/>
      <c r="N224" s="720"/>
      <c r="O224" s="26"/>
      <c r="P224" s="635" t="s">
        <v>34</v>
      </c>
      <c r="Q224" s="636"/>
      <c r="R224" s="60">
        <f>R173+C224+E224+G224+I224+K224+M224</f>
        <v>804455</v>
      </c>
    </row>
    <row r="225" spans="1:18" ht="15" customHeight="1" x14ac:dyDescent="0.3">
      <c r="A225" s="637" t="s">
        <v>3</v>
      </c>
      <c r="B225" s="638"/>
      <c r="C225" s="709">
        <f>C224*C221*12</f>
        <v>0</v>
      </c>
      <c r="D225" s="711"/>
      <c r="E225" s="709">
        <f>E224*E221*12</f>
        <v>0</v>
      </c>
      <c r="F225" s="711"/>
      <c r="G225" s="709">
        <f>G224*G221*12</f>
        <v>0</v>
      </c>
      <c r="H225" s="711"/>
      <c r="I225" s="709">
        <f>I224*I221*12</f>
        <v>0</v>
      </c>
      <c r="J225" s="711"/>
      <c r="K225" s="709">
        <f>K224*K221*12</f>
        <v>0</v>
      </c>
      <c r="L225" s="711"/>
      <c r="M225" s="709">
        <f>M224*M221*12</f>
        <v>0</v>
      </c>
      <c r="N225" s="710"/>
      <c r="O225" s="26"/>
      <c r="P225" s="635" t="s">
        <v>33</v>
      </c>
      <c r="Q225" s="636"/>
      <c r="R225" s="51">
        <f t="shared" ref="R225:R263" si="10">R174+C225+E225+G225+I225+K225+M225</f>
        <v>220048680</v>
      </c>
    </row>
    <row r="226" spans="1:18" ht="15" customHeight="1" x14ac:dyDescent="0.3">
      <c r="A226" s="637" t="s">
        <v>4</v>
      </c>
      <c r="B226" s="638"/>
      <c r="C226" s="709">
        <f ca="1">C224*D221</f>
        <v>0</v>
      </c>
      <c r="D226" s="711"/>
      <c r="E226" s="709">
        <f ca="1">E224*F221</f>
        <v>0</v>
      </c>
      <c r="F226" s="711"/>
      <c r="G226" s="709">
        <f ca="1">G224*H221</f>
        <v>0</v>
      </c>
      <c r="H226" s="711"/>
      <c r="I226" s="709">
        <f ca="1">I224*J221</f>
        <v>0</v>
      </c>
      <c r="J226" s="711"/>
      <c r="K226" s="709">
        <f ca="1">K224*L221</f>
        <v>0</v>
      </c>
      <c r="L226" s="711"/>
      <c r="M226" s="709">
        <f ca="1">M224*N221</f>
        <v>0</v>
      </c>
      <c r="N226" s="710"/>
      <c r="O226" s="26"/>
      <c r="P226" s="635" t="s">
        <v>31</v>
      </c>
      <c r="Q226" s="636"/>
      <c r="R226" s="51">
        <f t="shared" ca="1" si="10"/>
        <v>11575232</v>
      </c>
    </row>
    <row r="227" spans="1:18" ht="15" customHeight="1" thickBot="1" x14ac:dyDescent="0.35">
      <c r="A227" s="632" t="s">
        <v>18</v>
      </c>
      <c r="B227" s="633"/>
      <c r="C227" s="709">
        <f ca="1">C225-C226</f>
        <v>0</v>
      </c>
      <c r="D227" s="711"/>
      <c r="E227" s="709">
        <f ca="1">E225-E226</f>
        <v>0</v>
      </c>
      <c r="F227" s="711"/>
      <c r="G227" s="709">
        <f ca="1">G225-G226</f>
        <v>0</v>
      </c>
      <c r="H227" s="711"/>
      <c r="I227" s="709">
        <f ca="1">I225-I226</f>
        <v>0</v>
      </c>
      <c r="J227" s="711"/>
      <c r="K227" s="709">
        <f ca="1">K225-K226</f>
        <v>0</v>
      </c>
      <c r="L227" s="711"/>
      <c r="M227" s="709">
        <f ca="1">M225-M226</f>
        <v>0</v>
      </c>
      <c r="N227" s="710"/>
      <c r="O227" s="26"/>
      <c r="P227" s="619" t="s">
        <v>35</v>
      </c>
      <c r="Q227" s="620"/>
      <c r="R227" s="52">
        <f t="shared" ca="1" si="10"/>
        <v>208473448</v>
      </c>
    </row>
    <row r="228" spans="1:18" ht="15" customHeight="1" x14ac:dyDescent="0.3">
      <c r="A228" s="768" t="s">
        <v>1</v>
      </c>
      <c r="B228" s="139" t="s">
        <v>58</v>
      </c>
      <c r="C228" s="41"/>
      <c r="D228" s="19"/>
      <c r="E228" s="8"/>
      <c r="F228" s="19"/>
      <c r="G228" s="8"/>
      <c r="H228" s="19"/>
      <c r="I228" s="8"/>
      <c r="J228" s="19"/>
      <c r="K228" s="8"/>
      <c r="L228" s="167"/>
      <c r="M228" s="8"/>
      <c r="N228" s="66"/>
      <c r="O228" s="6"/>
      <c r="P228" s="769" t="s">
        <v>0</v>
      </c>
      <c r="Q228" s="139" t="s">
        <v>66</v>
      </c>
      <c r="R228" s="182">
        <f t="shared" si="10"/>
        <v>0</v>
      </c>
    </row>
    <row r="229" spans="1:18" ht="15" customHeight="1" x14ac:dyDescent="0.3">
      <c r="A229" s="730"/>
      <c r="B229" s="140" t="s">
        <v>59</v>
      </c>
      <c r="C229" s="28"/>
      <c r="D229" s="20"/>
      <c r="E229" s="9"/>
      <c r="F229" s="20"/>
      <c r="G229" s="9"/>
      <c r="H229" s="20"/>
      <c r="I229" s="9"/>
      <c r="J229" s="20"/>
      <c r="K229" s="9"/>
      <c r="L229" s="172"/>
      <c r="M229" s="9"/>
      <c r="N229" s="67"/>
      <c r="O229" s="6"/>
      <c r="P229" s="770"/>
      <c r="Q229" s="140" t="s">
        <v>69</v>
      </c>
      <c r="R229" s="183">
        <f t="shared" si="10"/>
        <v>0</v>
      </c>
    </row>
    <row r="230" spans="1:18" ht="15" customHeight="1" x14ac:dyDescent="0.3">
      <c r="A230" s="730"/>
      <c r="B230" s="140" t="s">
        <v>88</v>
      </c>
      <c r="C230" s="28"/>
      <c r="D230" s="20"/>
      <c r="E230" s="28"/>
      <c r="F230" s="20"/>
      <c r="G230" s="9"/>
      <c r="H230" s="20"/>
      <c r="I230" s="9"/>
      <c r="J230" s="20"/>
      <c r="K230" s="9"/>
      <c r="L230" s="172"/>
      <c r="M230" s="9"/>
      <c r="N230" s="67"/>
      <c r="O230" s="6"/>
      <c r="P230" s="770"/>
      <c r="Q230" s="140" t="s">
        <v>64</v>
      </c>
      <c r="R230" s="183">
        <f t="shared" si="10"/>
        <v>0</v>
      </c>
    </row>
    <row r="231" spans="1:18" ht="15" customHeight="1" x14ac:dyDescent="0.3">
      <c r="A231" s="730"/>
      <c r="B231" s="140" t="s">
        <v>94</v>
      </c>
      <c r="C231" s="28"/>
      <c r="D231" s="20"/>
      <c r="E231" s="28"/>
      <c r="F231" s="20"/>
      <c r="G231" s="9"/>
      <c r="H231" s="20"/>
      <c r="I231" s="9"/>
      <c r="J231" s="20"/>
      <c r="K231" s="9"/>
      <c r="L231" s="172"/>
      <c r="M231" s="9"/>
      <c r="N231" s="67"/>
      <c r="O231" s="6"/>
      <c r="P231" s="770"/>
      <c r="Q231" s="140" t="s">
        <v>60</v>
      </c>
      <c r="R231" s="183">
        <f t="shared" si="10"/>
        <v>0</v>
      </c>
    </row>
    <row r="232" spans="1:18" ht="15" customHeight="1" thickBot="1" x14ac:dyDescent="0.35">
      <c r="A232" s="731"/>
      <c r="B232" s="141" t="s">
        <v>89</v>
      </c>
      <c r="C232" s="42"/>
      <c r="D232" s="18"/>
      <c r="E232" s="42"/>
      <c r="F232" s="18"/>
      <c r="G232" s="7"/>
      <c r="H232" s="18"/>
      <c r="I232" s="7"/>
      <c r="J232" s="18"/>
      <c r="K232" s="7"/>
      <c r="L232" s="168"/>
      <c r="M232" s="7"/>
      <c r="N232" s="68"/>
      <c r="O232" s="6"/>
      <c r="P232" s="771"/>
      <c r="Q232" s="141" t="s">
        <v>89</v>
      </c>
      <c r="R232" s="184">
        <f t="shared" si="10"/>
        <v>0</v>
      </c>
    </row>
    <row r="233" spans="1:18" ht="15" customHeight="1" x14ac:dyDescent="0.3">
      <c r="A233" s="626" t="s">
        <v>50</v>
      </c>
      <c r="B233" s="142" t="s">
        <v>55</v>
      </c>
      <c r="C233" s="8"/>
      <c r="D233" s="19"/>
      <c r="E233" s="8"/>
      <c r="F233" s="19"/>
      <c r="G233" s="8"/>
      <c r="H233" s="198"/>
      <c r="I233" s="8"/>
      <c r="J233" s="19"/>
      <c r="K233" s="8"/>
      <c r="L233" s="167"/>
      <c r="M233" s="8"/>
      <c r="N233" s="66"/>
      <c r="O233" s="6"/>
      <c r="P233" s="772" t="str">
        <f>A233</f>
        <v>암</v>
      </c>
      <c r="Q233" s="112" t="s">
        <v>55</v>
      </c>
      <c r="R233" s="182">
        <f t="shared" si="10"/>
        <v>60000000</v>
      </c>
    </row>
    <row r="234" spans="1:18" ht="15" customHeight="1" x14ac:dyDescent="0.3">
      <c r="A234" s="627"/>
      <c r="B234" s="143" t="s">
        <v>46</v>
      </c>
      <c r="C234" s="43"/>
      <c r="D234" s="21"/>
      <c r="E234" s="9"/>
      <c r="F234" s="21"/>
      <c r="G234" s="9"/>
      <c r="H234" s="204"/>
      <c r="I234" s="9"/>
      <c r="J234" s="21"/>
      <c r="K234" s="10"/>
      <c r="L234" s="169"/>
      <c r="M234" s="10"/>
      <c r="N234" s="69"/>
      <c r="O234" s="6"/>
      <c r="P234" s="773"/>
      <c r="Q234" s="113" t="s">
        <v>46</v>
      </c>
      <c r="R234" s="183">
        <f t="shared" si="10"/>
        <v>0</v>
      </c>
    </row>
    <row r="235" spans="1:18" ht="15" customHeight="1" x14ac:dyDescent="0.3">
      <c r="A235" s="627"/>
      <c r="B235" s="143" t="s">
        <v>9</v>
      </c>
      <c r="C235" s="43"/>
      <c r="D235" s="21"/>
      <c r="E235" s="10"/>
      <c r="F235" s="21"/>
      <c r="G235" s="9"/>
      <c r="H235" s="13"/>
      <c r="I235" s="10"/>
      <c r="J235" s="21"/>
      <c r="K235" s="10"/>
      <c r="L235" s="169"/>
      <c r="M235" s="10"/>
      <c r="N235" s="69"/>
      <c r="O235" s="6"/>
      <c r="P235" s="773"/>
      <c r="Q235" s="113" t="s">
        <v>9</v>
      </c>
      <c r="R235" s="183">
        <f t="shared" si="10"/>
        <v>47500000</v>
      </c>
    </row>
    <row r="236" spans="1:18" ht="15" customHeight="1" x14ac:dyDescent="0.3">
      <c r="A236" s="627"/>
      <c r="B236" s="143" t="s">
        <v>10</v>
      </c>
      <c r="C236" s="43"/>
      <c r="D236" s="21"/>
      <c r="E236" s="9"/>
      <c r="F236" s="21"/>
      <c r="G236" s="10"/>
      <c r="H236" s="13"/>
      <c r="I236" s="43"/>
      <c r="J236" s="21"/>
      <c r="K236" s="10"/>
      <c r="L236" s="169"/>
      <c r="M236" s="10"/>
      <c r="N236" s="69"/>
      <c r="O236" s="6"/>
      <c r="P236" s="773"/>
      <c r="Q236" s="113" t="s">
        <v>10</v>
      </c>
      <c r="R236" s="183">
        <f t="shared" si="10"/>
        <v>0</v>
      </c>
    </row>
    <row r="237" spans="1:18" ht="15" customHeight="1" thickBot="1" x14ac:dyDescent="0.35">
      <c r="A237" s="627"/>
      <c r="B237" s="144" t="s">
        <v>20</v>
      </c>
      <c r="C237" s="42"/>
      <c r="D237" s="18"/>
      <c r="E237" s="7"/>
      <c r="F237" s="21"/>
      <c r="G237" s="7"/>
      <c r="H237" s="13"/>
      <c r="I237" s="7"/>
      <c r="J237" s="21"/>
      <c r="K237" s="10"/>
      <c r="L237" s="169"/>
      <c r="M237" s="10"/>
      <c r="N237" s="69"/>
      <c r="O237" s="6"/>
      <c r="P237" s="773"/>
      <c r="Q237" s="114" t="s">
        <v>20</v>
      </c>
      <c r="R237" s="184">
        <f t="shared" si="10"/>
        <v>0</v>
      </c>
    </row>
    <row r="238" spans="1:18" ht="15" customHeight="1" x14ac:dyDescent="0.3">
      <c r="A238" s="721" t="s">
        <v>19</v>
      </c>
      <c r="B238" s="145" t="s">
        <v>51</v>
      </c>
      <c r="C238" s="9"/>
      <c r="D238" s="19"/>
      <c r="E238" s="9"/>
      <c r="F238" s="19"/>
      <c r="G238" s="9"/>
      <c r="H238" s="11"/>
      <c r="I238" s="8"/>
      <c r="J238" s="19"/>
      <c r="K238" s="8"/>
      <c r="L238" s="167"/>
      <c r="M238" s="8"/>
      <c r="N238" s="66"/>
      <c r="O238" s="6"/>
      <c r="P238" s="760" t="str">
        <f>A238</f>
        <v>2대
질병</v>
      </c>
      <c r="Q238" s="115" t="s">
        <v>51</v>
      </c>
      <c r="R238" s="182">
        <f t="shared" si="10"/>
        <v>10000000</v>
      </c>
    </row>
    <row r="239" spans="1:18" ht="15" customHeight="1" x14ac:dyDescent="0.3">
      <c r="A239" s="722"/>
      <c r="B239" s="146" t="s">
        <v>43</v>
      </c>
      <c r="C239" s="9"/>
      <c r="D239" s="204"/>
      <c r="E239" s="10"/>
      <c r="F239" s="204"/>
      <c r="G239" s="9"/>
      <c r="H239" s="13"/>
      <c r="I239" s="10"/>
      <c r="J239" s="204"/>
      <c r="K239" s="9"/>
      <c r="L239" s="169"/>
      <c r="M239" s="10"/>
      <c r="N239" s="69"/>
      <c r="O239" s="6"/>
      <c r="P239" s="761"/>
      <c r="Q239" s="116" t="s">
        <v>43</v>
      </c>
      <c r="R239" s="183">
        <f t="shared" si="10"/>
        <v>0</v>
      </c>
    </row>
    <row r="240" spans="1:18" ht="15" customHeight="1" thickBot="1" x14ac:dyDescent="0.35">
      <c r="A240" s="722"/>
      <c r="B240" s="147" t="s">
        <v>53</v>
      </c>
      <c r="C240" s="36"/>
      <c r="D240" s="199"/>
      <c r="E240" s="36"/>
      <c r="F240" s="47"/>
      <c r="G240" s="36"/>
      <c r="H240" s="48"/>
      <c r="I240" s="36"/>
      <c r="J240" s="199"/>
      <c r="K240" s="36"/>
      <c r="L240" s="170"/>
      <c r="M240" s="36"/>
      <c r="N240" s="70"/>
      <c r="O240" s="6"/>
      <c r="P240" s="761"/>
      <c r="Q240" s="117" t="s">
        <v>53</v>
      </c>
      <c r="R240" s="184">
        <f t="shared" si="10"/>
        <v>0</v>
      </c>
    </row>
    <row r="241" spans="1:18" ht="15" customHeight="1" x14ac:dyDescent="0.3">
      <c r="A241" s="722"/>
      <c r="B241" s="148" t="s">
        <v>65</v>
      </c>
      <c r="C241" s="8"/>
      <c r="D241" s="19"/>
      <c r="E241" s="8"/>
      <c r="F241" s="19"/>
      <c r="G241" s="8"/>
      <c r="H241" s="11"/>
      <c r="I241" s="8"/>
      <c r="J241" s="19"/>
      <c r="K241" s="8"/>
      <c r="L241" s="167"/>
      <c r="M241" s="8"/>
      <c r="N241" s="66"/>
      <c r="O241" s="6"/>
      <c r="P241" s="761"/>
      <c r="Q241" s="118" t="s">
        <v>65</v>
      </c>
      <c r="R241" s="182">
        <f t="shared" si="10"/>
        <v>0</v>
      </c>
    </row>
    <row r="242" spans="1:18" ht="15" customHeight="1" x14ac:dyDescent="0.3">
      <c r="A242" s="722"/>
      <c r="B242" s="149" t="s">
        <v>8</v>
      </c>
      <c r="C242" s="9"/>
      <c r="D242" s="21"/>
      <c r="E242" s="9"/>
      <c r="F242" s="204"/>
      <c r="G242" s="9"/>
      <c r="H242" s="13"/>
      <c r="I242" s="9"/>
      <c r="J242" s="20"/>
      <c r="K242" s="9"/>
      <c r="L242" s="169"/>
      <c r="M242" s="10"/>
      <c r="N242" s="69"/>
      <c r="O242" s="6"/>
      <c r="P242" s="761"/>
      <c r="Q242" s="119" t="s">
        <v>8</v>
      </c>
      <c r="R242" s="183">
        <f t="shared" si="10"/>
        <v>10000000</v>
      </c>
    </row>
    <row r="243" spans="1:18" ht="15" customHeight="1" thickBot="1" x14ac:dyDescent="0.35">
      <c r="A243" s="722"/>
      <c r="B243" s="165" t="s">
        <v>5</v>
      </c>
      <c r="C243" s="7"/>
      <c r="D243" s="204"/>
      <c r="E243" s="36"/>
      <c r="F243" s="47"/>
      <c r="G243" s="36"/>
      <c r="H243" s="48"/>
      <c r="I243" s="36"/>
      <c r="J243" s="199"/>
      <c r="K243" s="35"/>
      <c r="L243" s="170"/>
      <c r="M243" s="35"/>
      <c r="N243" s="70"/>
      <c r="O243" s="6"/>
      <c r="P243" s="761"/>
      <c r="Q243" s="120" t="s">
        <v>5</v>
      </c>
      <c r="R243" s="184">
        <f>R192+C243+E243+G243+I243+K243+M243</f>
        <v>0</v>
      </c>
    </row>
    <row r="244" spans="1:18" ht="15" customHeight="1" thickBot="1" x14ac:dyDescent="0.35">
      <c r="A244" s="722"/>
      <c r="B244" s="166" t="s">
        <v>32</v>
      </c>
      <c r="C244" s="53"/>
      <c r="D244" s="211"/>
      <c r="E244" s="14"/>
      <c r="F244" s="211"/>
      <c r="G244" s="14"/>
      <c r="H244" s="15"/>
      <c r="I244" s="14"/>
      <c r="J244" s="211"/>
      <c r="K244" s="14"/>
      <c r="L244" s="171"/>
      <c r="M244" s="14"/>
      <c r="N244" s="71"/>
      <c r="O244" s="6"/>
      <c r="P244" s="761"/>
      <c r="Q244" s="121" t="s">
        <v>32</v>
      </c>
      <c r="R244" s="108">
        <f t="shared" si="10"/>
        <v>20000000</v>
      </c>
    </row>
    <row r="245" spans="1:18" ht="15" customHeight="1" x14ac:dyDescent="0.3">
      <c r="A245" s="723" t="s">
        <v>16</v>
      </c>
      <c r="B245" s="152" t="s">
        <v>36</v>
      </c>
      <c r="C245" s="41"/>
      <c r="D245" s="19"/>
      <c r="E245" s="8"/>
      <c r="F245" s="198"/>
      <c r="G245" s="8"/>
      <c r="H245" s="19"/>
      <c r="I245" s="8"/>
      <c r="J245" s="19"/>
      <c r="K245" s="8"/>
      <c r="L245" s="167"/>
      <c r="M245" s="8"/>
      <c r="N245" s="66"/>
      <c r="O245" s="6"/>
      <c r="P245" s="762" t="str">
        <f>A245</f>
        <v>후유장해</v>
      </c>
      <c r="Q245" s="122" t="s">
        <v>36</v>
      </c>
      <c r="R245" s="182">
        <f t="shared" si="10"/>
        <v>0</v>
      </c>
    </row>
    <row r="246" spans="1:18" ht="15" customHeight="1" x14ac:dyDescent="0.3">
      <c r="A246" s="724"/>
      <c r="B246" s="153" t="s">
        <v>29</v>
      </c>
      <c r="C246" s="28"/>
      <c r="D246" s="20"/>
      <c r="E246" s="9"/>
      <c r="F246" s="204"/>
      <c r="G246" s="9"/>
      <c r="H246" s="20"/>
      <c r="I246" s="9"/>
      <c r="J246" s="20"/>
      <c r="K246" s="9"/>
      <c r="L246" s="172"/>
      <c r="M246" s="9"/>
      <c r="N246" s="67"/>
      <c r="O246" s="6"/>
      <c r="P246" s="763"/>
      <c r="Q246" s="123" t="s">
        <v>29</v>
      </c>
      <c r="R246" s="183">
        <f t="shared" si="10"/>
        <v>0</v>
      </c>
    </row>
    <row r="247" spans="1:18" ht="15" customHeight="1" x14ac:dyDescent="0.3">
      <c r="A247" s="724"/>
      <c r="B247" s="153" t="s">
        <v>25</v>
      </c>
      <c r="C247" s="28"/>
      <c r="D247" s="20"/>
      <c r="E247" s="9"/>
      <c r="F247" s="218"/>
      <c r="G247" s="9"/>
      <c r="H247" s="20"/>
      <c r="I247" s="9"/>
      <c r="J247" s="20"/>
      <c r="K247" s="9"/>
      <c r="L247" s="172"/>
      <c r="M247" s="9"/>
      <c r="N247" s="67"/>
      <c r="O247" s="6"/>
      <c r="P247" s="763"/>
      <c r="Q247" s="123" t="s">
        <v>25</v>
      </c>
      <c r="R247" s="183">
        <f t="shared" si="10"/>
        <v>160000000</v>
      </c>
    </row>
    <row r="248" spans="1:18" ht="15" customHeight="1" thickBot="1" x14ac:dyDescent="0.35">
      <c r="A248" s="725"/>
      <c r="B248" s="154" t="s">
        <v>24</v>
      </c>
      <c r="C248" s="42"/>
      <c r="D248" s="18"/>
      <c r="E248" s="7"/>
      <c r="F248" s="200"/>
      <c r="G248" s="9"/>
      <c r="H248" s="18"/>
      <c r="I248" s="7"/>
      <c r="J248" s="18"/>
      <c r="K248" s="7"/>
      <c r="L248" s="168"/>
      <c r="M248" s="7"/>
      <c r="N248" s="68"/>
      <c r="O248" s="6"/>
      <c r="P248" s="764"/>
      <c r="Q248" s="124" t="s">
        <v>24</v>
      </c>
      <c r="R248" s="184">
        <f t="shared" si="10"/>
        <v>80000000</v>
      </c>
    </row>
    <row r="249" spans="1:18" ht="15" customHeight="1" x14ac:dyDescent="0.3">
      <c r="A249" s="726" t="s">
        <v>47</v>
      </c>
      <c r="B249" s="155" t="s">
        <v>48</v>
      </c>
      <c r="C249" s="41"/>
      <c r="D249" s="19"/>
      <c r="E249" s="10"/>
      <c r="F249" s="19"/>
      <c r="G249" s="8"/>
      <c r="H249" s="19"/>
      <c r="I249" s="8"/>
      <c r="J249" s="19"/>
      <c r="K249" s="8"/>
      <c r="L249" s="173"/>
      <c r="M249" s="10"/>
      <c r="N249" s="69"/>
      <c r="O249" s="6"/>
      <c r="P249" s="765" t="s">
        <v>47</v>
      </c>
      <c r="Q249" s="125" t="s">
        <v>48</v>
      </c>
      <c r="R249" s="182">
        <f t="shared" si="10"/>
        <v>0</v>
      </c>
    </row>
    <row r="250" spans="1:18" ht="15" customHeight="1" x14ac:dyDescent="0.3">
      <c r="A250" s="727"/>
      <c r="B250" s="156" t="s">
        <v>44</v>
      </c>
      <c r="C250" s="28"/>
      <c r="D250" s="20"/>
      <c r="E250" s="9"/>
      <c r="F250" s="20"/>
      <c r="G250" s="9"/>
      <c r="H250" s="12"/>
      <c r="I250" s="9"/>
      <c r="J250" s="20"/>
      <c r="K250" s="9"/>
      <c r="L250" s="174"/>
      <c r="M250" s="9"/>
      <c r="N250" s="67"/>
      <c r="O250" s="6"/>
      <c r="P250" s="766"/>
      <c r="Q250" s="126" t="s">
        <v>44</v>
      </c>
      <c r="R250" s="183">
        <f t="shared" si="10"/>
        <v>0</v>
      </c>
    </row>
    <row r="251" spans="1:18" ht="15" customHeight="1" thickBot="1" x14ac:dyDescent="0.35">
      <c r="A251" s="728"/>
      <c r="B251" s="157" t="s">
        <v>7</v>
      </c>
      <c r="C251" s="43"/>
      <c r="D251" s="21"/>
      <c r="E251" s="7"/>
      <c r="F251" s="18"/>
      <c r="G251" s="7"/>
      <c r="H251" s="24"/>
      <c r="I251" s="7"/>
      <c r="J251" s="217"/>
      <c r="K251" s="7"/>
      <c r="L251" s="168"/>
      <c r="M251" s="7"/>
      <c r="N251" s="68"/>
      <c r="O251" s="6"/>
      <c r="P251" s="767"/>
      <c r="Q251" s="127" t="s">
        <v>54</v>
      </c>
      <c r="R251" s="184">
        <f t="shared" si="10"/>
        <v>100000000</v>
      </c>
    </row>
    <row r="252" spans="1:18" ht="15" customHeight="1" x14ac:dyDescent="0.3">
      <c r="A252" s="746" t="s">
        <v>39</v>
      </c>
      <c r="B252" s="158" t="s">
        <v>44</v>
      </c>
      <c r="C252" s="41"/>
      <c r="D252" s="19"/>
      <c r="E252" s="8"/>
      <c r="F252" s="19"/>
      <c r="G252" s="8"/>
      <c r="H252" s="19"/>
      <c r="I252" s="8"/>
      <c r="J252" s="215"/>
      <c r="K252" s="8"/>
      <c r="L252" s="167"/>
      <c r="M252" s="8"/>
      <c r="N252" s="66"/>
      <c r="O252" s="6"/>
      <c r="P252" s="779" t="s">
        <v>39</v>
      </c>
      <c r="Q252" s="128" t="s">
        <v>44</v>
      </c>
      <c r="R252" s="182">
        <f t="shared" si="10"/>
        <v>300000</v>
      </c>
    </row>
    <row r="253" spans="1:18" ht="15" customHeight="1" x14ac:dyDescent="0.3">
      <c r="A253" s="747"/>
      <c r="B253" s="158" t="s">
        <v>54</v>
      </c>
      <c r="C253" s="28"/>
      <c r="D253" s="20"/>
      <c r="E253" s="9"/>
      <c r="F253" s="21"/>
      <c r="G253" s="9"/>
      <c r="H253" s="20"/>
      <c r="I253" s="9"/>
      <c r="J253" s="216"/>
      <c r="K253" s="9"/>
      <c r="L253" s="209"/>
      <c r="M253" s="9"/>
      <c r="N253" s="67"/>
      <c r="O253" s="6"/>
      <c r="P253" s="780"/>
      <c r="Q253" s="129" t="s">
        <v>54</v>
      </c>
      <c r="R253" s="183">
        <f t="shared" si="10"/>
        <v>0</v>
      </c>
    </row>
    <row r="254" spans="1:18" ht="15" customHeight="1" x14ac:dyDescent="0.3">
      <c r="A254" s="747"/>
      <c r="B254" s="158" t="s">
        <v>68</v>
      </c>
      <c r="C254" s="28"/>
      <c r="D254" s="204"/>
      <c r="E254" s="9"/>
      <c r="F254" s="21"/>
      <c r="G254" s="9"/>
      <c r="H254" s="13"/>
      <c r="I254" s="10"/>
      <c r="J254" s="219"/>
      <c r="K254" s="10"/>
      <c r="L254" s="175"/>
      <c r="M254" s="23"/>
      <c r="N254" s="69"/>
      <c r="O254" s="6"/>
      <c r="P254" s="780"/>
      <c r="Q254" s="129" t="s">
        <v>68</v>
      </c>
      <c r="R254" s="183">
        <f t="shared" si="10"/>
        <v>6000000</v>
      </c>
    </row>
    <row r="255" spans="1:18" ht="15" customHeight="1" thickBot="1" x14ac:dyDescent="0.35">
      <c r="A255" s="747"/>
      <c r="B255" s="159" t="s">
        <v>61</v>
      </c>
      <c r="C255" s="44"/>
      <c r="D255" s="204"/>
      <c r="E255" s="35"/>
      <c r="F255" s="34"/>
      <c r="G255" s="35"/>
      <c r="H255" s="37"/>
      <c r="I255" s="36"/>
      <c r="J255" s="63"/>
      <c r="K255" s="36"/>
      <c r="L255" s="176"/>
      <c r="M255" s="35"/>
      <c r="N255" s="72"/>
      <c r="O255" s="6"/>
      <c r="P255" s="780"/>
      <c r="Q255" s="130" t="s">
        <v>61</v>
      </c>
      <c r="R255" s="184">
        <f t="shared" si="10"/>
        <v>20000000</v>
      </c>
    </row>
    <row r="256" spans="1:18" ht="15" customHeight="1" x14ac:dyDescent="0.3">
      <c r="A256" s="748" t="s">
        <v>40</v>
      </c>
      <c r="B256" s="160" t="s">
        <v>45</v>
      </c>
      <c r="C256" s="8"/>
      <c r="D256" s="19"/>
      <c r="E256" s="8"/>
      <c r="F256" s="19"/>
      <c r="G256" s="8"/>
      <c r="H256" s="19"/>
      <c r="I256" s="8"/>
      <c r="J256" s="215"/>
      <c r="K256" s="8"/>
      <c r="L256" s="167"/>
      <c r="M256" s="8"/>
      <c r="N256" s="66"/>
      <c r="O256" s="6"/>
      <c r="P256" s="782" t="s">
        <v>40</v>
      </c>
      <c r="Q256" s="131" t="s">
        <v>45</v>
      </c>
      <c r="R256" s="182">
        <f t="shared" si="10"/>
        <v>500000</v>
      </c>
    </row>
    <row r="257" spans="1:18" ht="15" customHeight="1" thickBot="1" x14ac:dyDescent="0.35">
      <c r="A257" s="781"/>
      <c r="B257" s="161" t="s">
        <v>42</v>
      </c>
      <c r="C257" s="45"/>
      <c r="D257" s="18"/>
      <c r="E257" s="39"/>
      <c r="F257" s="38"/>
      <c r="G257" s="39"/>
      <c r="H257" s="38"/>
      <c r="I257" s="39"/>
      <c r="J257" s="220"/>
      <c r="K257" s="39"/>
      <c r="L257" s="177"/>
      <c r="M257" s="39"/>
      <c r="N257" s="73"/>
      <c r="O257" s="6"/>
      <c r="P257" s="783"/>
      <c r="Q257" s="132" t="s">
        <v>42</v>
      </c>
      <c r="R257" s="184">
        <f t="shared" si="10"/>
        <v>0</v>
      </c>
    </row>
    <row r="258" spans="1:18" ht="15" customHeight="1" x14ac:dyDescent="0.3">
      <c r="A258" s="784" t="s">
        <v>6</v>
      </c>
      <c r="B258" s="162" t="s">
        <v>44</v>
      </c>
      <c r="C258" s="41"/>
      <c r="D258" s="19"/>
      <c r="E258" s="41"/>
      <c r="F258" s="19"/>
      <c r="G258" s="41"/>
      <c r="H258" s="19"/>
      <c r="I258" s="41"/>
      <c r="J258" s="215"/>
      <c r="K258" s="8"/>
      <c r="L258" s="167"/>
      <c r="M258" s="8"/>
      <c r="N258" s="66"/>
      <c r="O258" s="6"/>
      <c r="P258" s="786" t="s">
        <v>6</v>
      </c>
      <c r="Q258" s="133" t="s">
        <v>44</v>
      </c>
      <c r="R258" s="182">
        <f t="shared" si="10"/>
        <v>200000</v>
      </c>
    </row>
    <row r="259" spans="1:18" ht="15" customHeight="1" thickBot="1" x14ac:dyDescent="0.35">
      <c r="A259" s="785"/>
      <c r="B259" s="163" t="s">
        <v>7</v>
      </c>
      <c r="C259" s="42"/>
      <c r="D259" s="18"/>
      <c r="E259" s="42"/>
      <c r="F259" s="18"/>
      <c r="G259" s="42"/>
      <c r="H259" s="18"/>
      <c r="I259" s="42"/>
      <c r="J259" s="217"/>
      <c r="K259" s="7"/>
      <c r="L259" s="168"/>
      <c r="M259" s="7"/>
      <c r="N259" s="68"/>
      <c r="O259" s="6"/>
      <c r="P259" s="787"/>
      <c r="Q259" s="134" t="s">
        <v>7</v>
      </c>
      <c r="R259" s="184">
        <f t="shared" si="10"/>
        <v>20000</v>
      </c>
    </row>
    <row r="260" spans="1:18" ht="15" customHeight="1" x14ac:dyDescent="0.3">
      <c r="A260" s="732" t="s">
        <v>52</v>
      </c>
      <c r="B260" s="144" t="s">
        <v>41</v>
      </c>
      <c r="C260" s="28"/>
      <c r="D260" s="19"/>
      <c r="E260" s="8"/>
      <c r="F260" s="19"/>
      <c r="G260" s="8"/>
      <c r="H260" s="19"/>
      <c r="I260" s="8"/>
      <c r="J260" s="215"/>
      <c r="K260" s="8"/>
      <c r="L260" s="178"/>
      <c r="M260" s="8"/>
      <c r="N260" s="66"/>
      <c r="O260" s="6"/>
      <c r="P260" s="774" t="s">
        <v>52</v>
      </c>
      <c r="Q260" s="114" t="s">
        <v>41</v>
      </c>
      <c r="R260" s="182">
        <f t="shared" si="10"/>
        <v>20000000</v>
      </c>
    </row>
    <row r="261" spans="1:18" ht="15" customHeight="1" x14ac:dyDescent="0.3">
      <c r="A261" s="733"/>
      <c r="B261" s="144" t="s">
        <v>11</v>
      </c>
      <c r="C261" s="28"/>
      <c r="D261" s="20"/>
      <c r="E261" s="9"/>
      <c r="F261" s="20"/>
      <c r="G261" s="9"/>
      <c r="H261" s="20"/>
      <c r="I261" s="9"/>
      <c r="J261" s="216"/>
      <c r="K261" s="9"/>
      <c r="L261" s="179"/>
      <c r="M261" s="9"/>
      <c r="N261" s="67"/>
      <c r="O261" s="6"/>
      <c r="P261" s="775"/>
      <c r="Q261" s="114" t="s">
        <v>11</v>
      </c>
      <c r="R261" s="183">
        <f t="shared" si="10"/>
        <v>50000000</v>
      </c>
    </row>
    <row r="262" spans="1:18" ht="15" customHeight="1" thickBot="1" x14ac:dyDescent="0.35">
      <c r="A262" s="734"/>
      <c r="B262" s="164" t="s">
        <v>27</v>
      </c>
      <c r="C262" s="28"/>
      <c r="D262" s="20"/>
      <c r="E262" s="10"/>
      <c r="F262" s="21"/>
      <c r="G262" s="10"/>
      <c r="H262" s="21"/>
      <c r="I262" s="10"/>
      <c r="J262" s="219"/>
      <c r="K262" s="10"/>
      <c r="L262" s="175"/>
      <c r="M262" s="10"/>
      <c r="N262" s="69"/>
      <c r="O262" s="6"/>
      <c r="P262" s="776"/>
      <c r="Q262" s="135" t="s">
        <v>27</v>
      </c>
      <c r="R262" s="184">
        <f t="shared" si="10"/>
        <v>200000000</v>
      </c>
    </row>
    <row r="263" spans="1:18" ht="15" customHeight="1" thickBot="1" x14ac:dyDescent="0.35">
      <c r="A263" s="735" t="s">
        <v>30</v>
      </c>
      <c r="B263" s="736"/>
      <c r="C263" s="14"/>
      <c r="D263" s="22"/>
      <c r="E263" s="14"/>
      <c r="F263" s="22"/>
      <c r="G263" s="14"/>
      <c r="H263" s="22"/>
      <c r="I263" s="14"/>
      <c r="J263" s="221"/>
      <c r="K263" s="14"/>
      <c r="L263" s="180"/>
      <c r="M263" s="14"/>
      <c r="N263" s="74"/>
      <c r="O263" s="6"/>
      <c r="P263" s="777" t="s">
        <v>30</v>
      </c>
      <c r="Q263" s="778"/>
      <c r="R263" s="107">
        <f t="shared" si="10"/>
        <v>0</v>
      </c>
    </row>
    <row r="264" spans="1:18" ht="15" customHeight="1" x14ac:dyDescent="0.3">
      <c r="A264" s="737" t="s">
        <v>38</v>
      </c>
      <c r="B264" s="738"/>
      <c r="C264" s="46"/>
      <c r="D264" s="11"/>
      <c r="E264" s="29"/>
      <c r="F264" s="20"/>
      <c r="G264" s="203"/>
      <c r="H264" s="20"/>
      <c r="I264" s="31"/>
      <c r="J264" s="215"/>
      <c r="K264" s="189"/>
      <c r="L264" s="208"/>
      <c r="M264" s="31"/>
      <c r="N264" s="191"/>
      <c r="O264" s="6"/>
      <c r="P264" s="743" t="s">
        <v>38</v>
      </c>
      <c r="Q264" s="597"/>
      <c r="R264" s="598"/>
    </row>
    <row r="265" spans="1:18" ht="15" customHeight="1" x14ac:dyDescent="0.3">
      <c r="A265" s="739"/>
      <c r="B265" s="740"/>
      <c r="C265" s="29"/>
      <c r="D265" s="12"/>
      <c r="E265" s="210"/>
      <c r="F265" s="201"/>
      <c r="G265" s="32"/>
      <c r="H265" s="201"/>
      <c r="I265" s="32"/>
      <c r="J265" s="216"/>
      <c r="K265" s="214"/>
      <c r="L265" s="209"/>
      <c r="M265" s="32"/>
      <c r="N265" s="190"/>
      <c r="O265" s="6"/>
      <c r="P265" s="744"/>
      <c r="Q265" s="599"/>
      <c r="R265" s="600"/>
    </row>
    <row r="266" spans="1:18" ht="15" customHeight="1" x14ac:dyDescent="0.3">
      <c r="A266" s="739"/>
      <c r="B266" s="740"/>
      <c r="C266" s="29"/>
      <c r="D266" s="12"/>
      <c r="E266" s="32"/>
      <c r="F266" s="12"/>
      <c r="G266" s="32"/>
      <c r="H266" s="201"/>
      <c r="I266" s="32"/>
      <c r="J266" s="216"/>
      <c r="K266" s="32"/>
      <c r="L266" s="179"/>
      <c r="M266" s="32"/>
      <c r="N266" s="76"/>
      <c r="O266" s="6"/>
      <c r="P266" s="744"/>
      <c r="Q266" s="599"/>
      <c r="R266" s="600"/>
    </row>
    <row r="267" spans="1:18" ht="15" customHeight="1" thickBot="1" x14ac:dyDescent="0.35">
      <c r="A267" s="741"/>
      <c r="B267" s="742"/>
      <c r="C267" s="30"/>
      <c r="D267" s="24"/>
      <c r="E267" s="33"/>
      <c r="F267" s="24"/>
      <c r="G267" s="33"/>
      <c r="H267" s="200"/>
      <c r="I267" s="33"/>
      <c r="J267" s="24"/>
      <c r="K267" s="33"/>
      <c r="L267" s="181"/>
      <c r="M267" s="33"/>
      <c r="N267" s="77"/>
      <c r="O267" s="6"/>
      <c r="P267" s="745"/>
      <c r="Q267" s="601"/>
      <c r="R267" s="602"/>
    </row>
  </sheetData>
  <protectedRanges>
    <protectedRange sqref="K5 P2 B54 M17:N22 M62 K62 E65:N65 P59 R58 B111 F74:F80 I74:I80 H88:N88 I86:N87 I89:N89 D104:E110 H90:N97 K74:N80 H81:N85 G93 F94:G97 D69:E83 A58:B58 E59:N59 K64:N64 D100:E101 E102:E103 E61:N61 I62 F69:N73 F81:G92 I5 D113:E114 D111:D112 F100:N114 E98:N99 E84:E97 D88 D84:D85 C84:C89 M119 K119 E122:N122 P116 R115 B162 F131:F133 I131:I133 H140:N140 I138:N139 I141:N141 D156:E161 H142:N149 K131:N133 H134:N137 G145 F146:G149 D126:E135 A115:B115 E116:N116 K121:N121 D152:E153 E154:E155 E118:N118 I119 F126:N130 F134:G144 D164:E165 D162:D163 E150:N151 M120:N120 E136:E149 D140 D136:D137 C136:C141 D43:D44 K18:K22 J31:K31 K29:K30 K32 J33:N40 J26:N28 L29:N32 K23:N25 K41:N41 F152:N165 M170 K170 E173:N173 P167 R166 B213 F182:F184 I182:I184 H191:N191 I189:N190 I192:N192 D207:E212 H193:N200 K182:N184 H185:N188 G196 F197:G200 D177:E186 A166:B166 E167:N167 K172:N172 D203:E204 E205:E206 E169:N169 I170 F177:N181 F185:G195 D215:E216 D213:D214 E201:N202 M171:N171 E187:E200 D191 D187:D188 C187:C192 F203:N216 M221 K221 E224:N224 P218 R217 B264 F233:F235 I233:I235 H242:N242 I240:N241 I243:N243 D258:E263 H244:N251 K233:N235 H236:N239 G247 F248:G251 D228:E237 A217:B217 E218:N218 K223:N223 E256:E257 E220:N220 M219:N219 I221 F228:N232 F236:G246 D266:E267 D264:D265 E252:N253 M222:N222 E238:E251 D238:D239 C238:C243 F254:N267 D254:E255 D242:D244 J44 L44 N44 G5 E5 J18 D47:D57 L42:N42 C37:C38 C12:D15 G62 I57:N57 I54:I56 F31 F33:F35 F27:F28 H31 H33:H40 H26:H28 G26:G40 E12:N16 F44 H44 F43:N43 E17:F18 G55 H18 G45:N45 E26:F26 F56:H57 E45:E57 F54:G54 I26:I40 E27:E43 F38:F40 F46:I53 J46:J50 J52:J53 L46:N56 K46:K54 K56 D16:D27" name="범위1"/>
    <protectedRange sqref="D90:D99 D142:D151 J41:J42 D193:D202 D245:D253 D28:D34 D36:D42 H54:H55 F41:F42 H41:H42 F45 J54:J56 F36:F37" name="범위1_2_1"/>
    <protectedRange sqref="D45:D46 D102:D103 D154:D155 D205:D206 D256:D257" name="범위1_2_2"/>
    <protectedRange sqref="E63:F63" name="범위1_5"/>
    <protectedRange sqref="G63:N63 C120:L120 C171:L171 C222:L222" name="범위1_6"/>
    <protectedRange sqref="I64:J64 I121:J121 I172:J172 I223:J223" name="범위1_7"/>
    <protectedRange sqref="G74:H80 H86:H87 H89 J74:J80 D86:D87 D89 G131:H133 H138:H139 H141 J131:J133 D138:D139 D141 J29:J30 J32 L17:L22 G182:H184 H189:H190 H192 J182:J184 D189:D190 D192 G233:H235 H240:H241 H243 J233:J235 D240:D241 I18 F29:F30 F32 H29:H30 H32 G17:J17 E19:J25 G18" name="범위1_2_3"/>
    <protectedRange sqref="C5 C62 C65:D65 E62 C63:D63 C119 C122:D122 E119 G119 C170 C173:D173 E170 G170 C166:N166 C221 C224:D224 E221 G221 C115:N115 C217:N217 C58:N58 M5 M8:N8 M6:N6 C1:N1" name="범위1_8"/>
    <protectedRange sqref="C59:D61 E60:N60 C116:D116 C167:D169 C218:D220 E219:L219 E168:N168 C118:D118 C117:N117 K4:L4" name="범위1_6_1"/>
    <protectedRange sqref="C64:H64 C121:H121 C172:H172 C223:H223 M7:N7" name="범위1_7_1"/>
    <protectedRange sqref="C47:C57 E111:E112 C69:C83 C90:C101 C156:C165 E162:E163 C126:C135 C142:C153 I41:I42 C207:C216 E213:E214 C177:C186 C193:C204 C258:C267 E264:E265 C228:C237 C244:C255 I44 K44 M44 K42 D35 C39:C44 C35:C36 C104:C114 G41:G42 G44 E44 K17 C16:C33" name="범위1_9"/>
    <protectedRange sqref="C45:C46 C102:C103 C154:C155 C205:C206 C256:C257" name="범위1_5_1"/>
    <protectedRange sqref="R1" name="범위1_2"/>
    <protectedRange sqref="A1:B1" name="범위1_3"/>
    <protectedRange sqref="M4:N4 C4:J4 C2:N3" name="범위1_1"/>
    <protectedRange sqref="C6:L8" name="범위1_4"/>
  </protectedRanges>
  <mergeCells count="505">
    <mergeCell ref="A260:A262"/>
    <mergeCell ref="P260:P262"/>
    <mergeCell ref="A263:B263"/>
    <mergeCell ref="P263:Q263"/>
    <mergeCell ref="A264:B267"/>
    <mergeCell ref="P264:P267"/>
    <mergeCell ref="Q264:R267"/>
    <mergeCell ref="A252:A255"/>
    <mergeCell ref="P252:P255"/>
    <mergeCell ref="A256:A257"/>
    <mergeCell ref="P256:P257"/>
    <mergeCell ref="A258:A259"/>
    <mergeCell ref="P258:P259"/>
    <mergeCell ref="A238:A244"/>
    <mergeCell ref="P238:P244"/>
    <mergeCell ref="A245:A248"/>
    <mergeCell ref="P245:P248"/>
    <mergeCell ref="A249:A251"/>
    <mergeCell ref="P249:P251"/>
    <mergeCell ref="M227:N227"/>
    <mergeCell ref="P227:Q227"/>
    <mergeCell ref="A228:A232"/>
    <mergeCell ref="P228:P232"/>
    <mergeCell ref="A233:A237"/>
    <mergeCell ref="P233:P237"/>
    <mergeCell ref="A227:B227"/>
    <mergeCell ref="C227:D227"/>
    <mergeCell ref="E227:F227"/>
    <mergeCell ref="G227:H227"/>
    <mergeCell ref="I227:J227"/>
    <mergeCell ref="K227:L227"/>
    <mergeCell ref="M225:N225"/>
    <mergeCell ref="P225:Q225"/>
    <mergeCell ref="A226:B226"/>
    <mergeCell ref="C226:D226"/>
    <mergeCell ref="E226:F226"/>
    <mergeCell ref="G226:H226"/>
    <mergeCell ref="I226:J226"/>
    <mergeCell ref="K226:L226"/>
    <mergeCell ref="M226:N226"/>
    <mergeCell ref="P226:Q226"/>
    <mergeCell ref="A225:B225"/>
    <mergeCell ref="C225:D225"/>
    <mergeCell ref="E225:F225"/>
    <mergeCell ref="G225:H225"/>
    <mergeCell ref="I225:J225"/>
    <mergeCell ref="K225:L225"/>
    <mergeCell ref="P223:Q223"/>
    <mergeCell ref="A224:B224"/>
    <mergeCell ref="C224:D224"/>
    <mergeCell ref="E224:F224"/>
    <mergeCell ref="G224:H224"/>
    <mergeCell ref="I224:J224"/>
    <mergeCell ref="K224:L224"/>
    <mergeCell ref="M224:N224"/>
    <mergeCell ref="P224:Q224"/>
    <mergeCell ref="K222:L222"/>
    <mergeCell ref="M222:N222"/>
    <mergeCell ref="A223:B223"/>
    <mergeCell ref="C223:D223"/>
    <mergeCell ref="E223:F223"/>
    <mergeCell ref="G223:H223"/>
    <mergeCell ref="I223:J223"/>
    <mergeCell ref="K223:L223"/>
    <mergeCell ref="M223:N223"/>
    <mergeCell ref="C220:D220"/>
    <mergeCell ref="E220:F220"/>
    <mergeCell ref="G220:H220"/>
    <mergeCell ref="I220:J220"/>
    <mergeCell ref="K220:L220"/>
    <mergeCell ref="M220:N220"/>
    <mergeCell ref="A219:B219"/>
    <mergeCell ref="C219:D219"/>
    <mergeCell ref="E219:F219"/>
    <mergeCell ref="G219:H219"/>
    <mergeCell ref="I219:J219"/>
    <mergeCell ref="K219:L219"/>
    <mergeCell ref="M217:N217"/>
    <mergeCell ref="P217:Q217"/>
    <mergeCell ref="A218:B218"/>
    <mergeCell ref="C218:D218"/>
    <mergeCell ref="E218:F218"/>
    <mergeCell ref="G218:H218"/>
    <mergeCell ref="I218:J218"/>
    <mergeCell ref="K218:L218"/>
    <mergeCell ref="M218:N218"/>
    <mergeCell ref="P218:R222"/>
    <mergeCell ref="A217:B217"/>
    <mergeCell ref="C217:D217"/>
    <mergeCell ref="E217:F217"/>
    <mergeCell ref="G217:H217"/>
    <mergeCell ref="I217:J217"/>
    <mergeCell ref="K217:L217"/>
    <mergeCell ref="A221:B221"/>
    <mergeCell ref="A222:B222"/>
    <mergeCell ref="C222:D222"/>
    <mergeCell ref="E222:F222"/>
    <mergeCell ref="G222:H222"/>
    <mergeCell ref="I222:J222"/>
    <mergeCell ref="M219:N219"/>
    <mergeCell ref="A220:B220"/>
    <mergeCell ref="A209:A211"/>
    <mergeCell ref="P209:P211"/>
    <mergeCell ref="A212:B212"/>
    <mergeCell ref="P212:Q212"/>
    <mergeCell ref="A213:B216"/>
    <mergeCell ref="P213:P216"/>
    <mergeCell ref="Q213:R216"/>
    <mergeCell ref="A201:A204"/>
    <mergeCell ref="P201:P204"/>
    <mergeCell ref="A205:A206"/>
    <mergeCell ref="P205:P206"/>
    <mergeCell ref="A207:A208"/>
    <mergeCell ref="P207:P208"/>
    <mergeCell ref="A187:A193"/>
    <mergeCell ref="P187:P193"/>
    <mergeCell ref="A194:A197"/>
    <mergeCell ref="P194:P197"/>
    <mergeCell ref="A198:A200"/>
    <mergeCell ref="P198:P200"/>
    <mergeCell ref="M176:N176"/>
    <mergeCell ref="P176:Q176"/>
    <mergeCell ref="A177:A181"/>
    <mergeCell ref="P177:P181"/>
    <mergeCell ref="A182:A186"/>
    <mergeCell ref="P182:P186"/>
    <mergeCell ref="A176:B176"/>
    <mergeCell ref="C176:D176"/>
    <mergeCell ref="E176:F176"/>
    <mergeCell ref="G176:H176"/>
    <mergeCell ref="I176:J176"/>
    <mergeCell ref="K176:L176"/>
    <mergeCell ref="M174:N174"/>
    <mergeCell ref="P174:Q174"/>
    <mergeCell ref="A175:B175"/>
    <mergeCell ref="C175:D175"/>
    <mergeCell ref="E175:F175"/>
    <mergeCell ref="G175:H175"/>
    <mergeCell ref="I175:J175"/>
    <mergeCell ref="K175:L175"/>
    <mergeCell ref="M175:N175"/>
    <mergeCell ref="P175:Q175"/>
    <mergeCell ref="A174:B174"/>
    <mergeCell ref="C174:D174"/>
    <mergeCell ref="E174:F174"/>
    <mergeCell ref="G174:H174"/>
    <mergeCell ref="I174:J174"/>
    <mergeCell ref="K174:L174"/>
    <mergeCell ref="P172:Q172"/>
    <mergeCell ref="A173:B173"/>
    <mergeCell ref="C173:D173"/>
    <mergeCell ref="E173:F173"/>
    <mergeCell ref="G173:H173"/>
    <mergeCell ref="I173:J173"/>
    <mergeCell ref="K173:L173"/>
    <mergeCell ref="M173:N173"/>
    <mergeCell ref="P173:Q173"/>
    <mergeCell ref="K171:L171"/>
    <mergeCell ref="M171:N171"/>
    <mergeCell ref="A172:B172"/>
    <mergeCell ref="C172:D172"/>
    <mergeCell ref="E172:F172"/>
    <mergeCell ref="G172:H172"/>
    <mergeCell ref="I172:J172"/>
    <mergeCell ref="K172:L172"/>
    <mergeCell ref="M172:N172"/>
    <mergeCell ref="C169:D169"/>
    <mergeCell ref="E169:F169"/>
    <mergeCell ref="G169:H169"/>
    <mergeCell ref="I169:J169"/>
    <mergeCell ref="K169:L169"/>
    <mergeCell ref="M169:N169"/>
    <mergeCell ref="A168:B168"/>
    <mergeCell ref="C168:D168"/>
    <mergeCell ref="E168:F168"/>
    <mergeCell ref="G168:H168"/>
    <mergeCell ref="I168:J168"/>
    <mergeCell ref="K168:L168"/>
    <mergeCell ref="M166:N166"/>
    <mergeCell ref="P166:Q166"/>
    <mergeCell ref="A167:B167"/>
    <mergeCell ref="C167:D167"/>
    <mergeCell ref="E167:F167"/>
    <mergeCell ref="G167:H167"/>
    <mergeCell ref="I167:J167"/>
    <mergeCell ref="K167:L167"/>
    <mergeCell ref="M167:N167"/>
    <mergeCell ref="P167:R171"/>
    <mergeCell ref="A166:B166"/>
    <mergeCell ref="C166:D166"/>
    <mergeCell ref="E166:F166"/>
    <mergeCell ref="G166:H166"/>
    <mergeCell ref="I166:J166"/>
    <mergeCell ref="K166:L166"/>
    <mergeCell ref="A170:B170"/>
    <mergeCell ref="A171:B171"/>
    <mergeCell ref="C171:D171"/>
    <mergeCell ref="E171:F171"/>
    <mergeCell ref="G171:H171"/>
    <mergeCell ref="I171:J171"/>
    <mergeCell ref="M168:N168"/>
    <mergeCell ref="A169:B169"/>
    <mergeCell ref="A158:A160"/>
    <mergeCell ref="P158:P160"/>
    <mergeCell ref="A161:B161"/>
    <mergeCell ref="P161:Q161"/>
    <mergeCell ref="A162:B165"/>
    <mergeCell ref="P162:P165"/>
    <mergeCell ref="Q162:R165"/>
    <mergeCell ref="A150:A153"/>
    <mergeCell ref="P150:P153"/>
    <mergeCell ref="A154:A155"/>
    <mergeCell ref="P154:P155"/>
    <mergeCell ref="A156:A157"/>
    <mergeCell ref="P156:P157"/>
    <mergeCell ref="A136:A142"/>
    <mergeCell ref="P136:P142"/>
    <mergeCell ref="A143:A146"/>
    <mergeCell ref="P143:P146"/>
    <mergeCell ref="A147:A149"/>
    <mergeCell ref="P147:P149"/>
    <mergeCell ref="M125:N125"/>
    <mergeCell ref="P125:Q125"/>
    <mergeCell ref="A126:A130"/>
    <mergeCell ref="P126:P130"/>
    <mergeCell ref="A131:A135"/>
    <mergeCell ref="P131:P135"/>
    <mergeCell ref="A125:B125"/>
    <mergeCell ref="C125:D125"/>
    <mergeCell ref="E125:F125"/>
    <mergeCell ref="G125:H125"/>
    <mergeCell ref="I125:J125"/>
    <mergeCell ref="K125:L125"/>
    <mergeCell ref="M123:N123"/>
    <mergeCell ref="P123:Q123"/>
    <mergeCell ref="A124:B124"/>
    <mergeCell ref="C124:D124"/>
    <mergeCell ref="E124:F124"/>
    <mergeCell ref="G124:H124"/>
    <mergeCell ref="I124:J124"/>
    <mergeCell ref="K124:L124"/>
    <mergeCell ref="M124:N124"/>
    <mergeCell ref="P124:Q124"/>
    <mergeCell ref="A123:B123"/>
    <mergeCell ref="C123:D123"/>
    <mergeCell ref="E123:F123"/>
    <mergeCell ref="G123:H123"/>
    <mergeCell ref="I123:J123"/>
    <mergeCell ref="K123:L123"/>
    <mergeCell ref="P121:Q121"/>
    <mergeCell ref="A122:B122"/>
    <mergeCell ref="C122:D122"/>
    <mergeCell ref="E122:F122"/>
    <mergeCell ref="G122:H122"/>
    <mergeCell ref="I122:J122"/>
    <mergeCell ref="K122:L122"/>
    <mergeCell ref="M122:N122"/>
    <mergeCell ref="P122:Q122"/>
    <mergeCell ref="K120:L120"/>
    <mergeCell ref="M120:N120"/>
    <mergeCell ref="A121:B121"/>
    <mergeCell ref="C121:D121"/>
    <mergeCell ref="E121:F121"/>
    <mergeCell ref="G121:H121"/>
    <mergeCell ref="I121:J121"/>
    <mergeCell ref="K121:L121"/>
    <mergeCell ref="M121:N121"/>
    <mergeCell ref="C118:D118"/>
    <mergeCell ref="E118:F118"/>
    <mergeCell ref="G118:H118"/>
    <mergeCell ref="I118:J118"/>
    <mergeCell ref="K118:L118"/>
    <mergeCell ref="M118:N118"/>
    <mergeCell ref="A117:B117"/>
    <mergeCell ref="C117:D117"/>
    <mergeCell ref="E117:F117"/>
    <mergeCell ref="G117:H117"/>
    <mergeCell ref="I117:J117"/>
    <mergeCell ref="K117:L117"/>
    <mergeCell ref="M115:N115"/>
    <mergeCell ref="P115:Q115"/>
    <mergeCell ref="A116:B116"/>
    <mergeCell ref="C116:D116"/>
    <mergeCell ref="E116:F116"/>
    <mergeCell ref="G116:H116"/>
    <mergeCell ref="I116:J116"/>
    <mergeCell ref="K116:L116"/>
    <mergeCell ref="M116:N116"/>
    <mergeCell ref="P116:R120"/>
    <mergeCell ref="A115:B115"/>
    <mergeCell ref="C115:D115"/>
    <mergeCell ref="E115:F115"/>
    <mergeCell ref="G115:H115"/>
    <mergeCell ref="I115:J115"/>
    <mergeCell ref="K115:L115"/>
    <mergeCell ref="A119:B119"/>
    <mergeCell ref="A120:B120"/>
    <mergeCell ref="C120:D120"/>
    <mergeCell ref="E120:F120"/>
    <mergeCell ref="G120:H120"/>
    <mergeCell ref="I120:J120"/>
    <mergeCell ref="M117:N117"/>
    <mergeCell ref="A118:B118"/>
    <mergeCell ref="A107:A109"/>
    <mergeCell ref="P107:P109"/>
    <mergeCell ref="A110:B110"/>
    <mergeCell ref="P110:Q110"/>
    <mergeCell ref="A111:B114"/>
    <mergeCell ref="P111:P114"/>
    <mergeCell ref="Q111:R114"/>
    <mergeCell ref="A98:A101"/>
    <mergeCell ref="P98:P101"/>
    <mergeCell ref="A102:A103"/>
    <mergeCell ref="P102:P103"/>
    <mergeCell ref="A104:A106"/>
    <mergeCell ref="P104:P106"/>
    <mergeCell ref="A84:A90"/>
    <mergeCell ref="P84:P90"/>
    <mergeCell ref="A91:A94"/>
    <mergeCell ref="P91:P94"/>
    <mergeCell ref="A95:A97"/>
    <mergeCell ref="P95:P97"/>
    <mergeCell ref="M68:N68"/>
    <mergeCell ref="P68:Q68"/>
    <mergeCell ref="A69:A73"/>
    <mergeCell ref="P69:P73"/>
    <mergeCell ref="A74:A83"/>
    <mergeCell ref="P74:P83"/>
    <mergeCell ref="A68:B68"/>
    <mergeCell ref="C68:D68"/>
    <mergeCell ref="E68:F68"/>
    <mergeCell ref="G68:H68"/>
    <mergeCell ref="I68:J68"/>
    <mergeCell ref="K68:L68"/>
    <mergeCell ref="M66:N66"/>
    <mergeCell ref="P66:Q66"/>
    <mergeCell ref="A67:B67"/>
    <mergeCell ref="C67:D67"/>
    <mergeCell ref="E67:F67"/>
    <mergeCell ref="G67:H67"/>
    <mergeCell ref="I67:J67"/>
    <mergeCell ref="K67:L67"/>
    <mergeCell ref="M67:N67"/>
    <mergeCell ref="P67:Q67"/>
    <mergeCell ref="A66:B66"/>
    <mergeCell ref="C66:D66"/>
    <mergeCell ref="E66:F66"/>
    <mergeCell ref="G66:H66"/>
    <mergeCell ref="I66:J66"/>
    <mergeCell ref="K66:L66"/>
    <mergeCell ref="P64:Q64"/>
    <mergeCell ref="A65:B65"/>
    <mergeCell ref="C65:D65"/>
    <mergeCell ref="E65:F65"/>
    <mergeCell ref="G65:H65"/>
    <mergeCell ref="I65:J65"/>
    <mergeCell ref="K65:L65"/>
    <mergeCell ref="M65:N65"/>
    <mergeCell ref="P65:Q65"/>
    <mergeCell ref="K63:L63"/>
    <mergeCell ref="M63:N63"/>
    <mergeCell ref="A64:B64"/>
    <mergeCell ref="C64:D64"/>
    <mergeCell ref="E64:F64"/>
    <mergeCell ref="G64:H64"/>
    <mergeCell ref="I64:J64"/>
    <mergeCell ref="K64:L64"/>
    <mergeCell ref="M64:N64"/>
    <mergeCell ref="C61:D61"/>
    <mergeCell ref="E61:F61"/>
    <mergeCell ref="G61:H61"/>
    <mergeCell ref="I61:J61"/>
    <mergeCell ref="K61:L61"/>
    <mergeCell ref="M61:N61"/>
    <mergeCell ref="A60:B60"/>
    <mergeCell ref="C60:D60"/>
    <mergeCell ref="E60:F60"/>
    <mergeCell ref="G60:H60"/>
    <mergeCell ref="I60:J60"/>
    <mergeCell ref="K60:L60"/>
    <mergeCell ref="M58:N58"/>
    <mergeCell ref="P58:Q58"/>
    <mergeCell ref="A59:B59"/>
    <mergeCell ref="C59:D59"/>
    <mergeCell ref="E59:F59"/>
    <mergeCell ref="G59:H59"/>
    <mergeCell ref="I59:J59"/>
    <mergeCell ref="K59:L59"/>
    <mergeCell ref="M59:N59"/>
    <mergeCell ref="P59:R63"/>
    <mergeCell ref="A58:B58"/>
    <mergeCell ref="C58:D58"/>
    <mergeCell ref="E58:F58"/>
    <mergeCell ref="G58:H58"/>
    <mergeCell ref="I58:J58"/>
    <mergeCell ref="K58:L58"/>
    <mergeCell ref="A62:B62"/>
    <mergeCell ref="A63:B63"/>
    <mergeCell ref="C63:D63"/>
    <mergeCell ref="E63:F63"/>
    <mergeCell ref="G63:H63"/>
    <mergeCell ref="I63:J63"/>
    <mergeCell ref="M60:N60"/>
    <mergeCell ref="A61:B61"/>
    <mergeCell ref="A50:A52"/>
    <mergeCell ref="P50:P52"/>
    <mergeCell ref="A53:B53"/>
    <mergeCell ref="P53:Q53"/>
    <mergeCell ref="A54:B57"/>
    <mergeCell ref="P54:P57"/>
    <mergeCell ref="Q54:R57"/>
    <mergeCell ref="A41:A44"/>
    <mergeCell ref="P41:P44"/>
    <mergeCell ref="A45:A46"/>
    <mergeCell ref="P45:P46"/>
    <mergeCell ref="A47:A49"/>
    <mergeCell ref="P47:P49"/>
    <mergeCell ref="A27:A33"/>
    <mergeCell ref="P27:P33"/>
    <mergeCell ref="A34:A37"/>
    <mergeCell ref="P34:P37"/>
    <mergeCell ref="A38:A40"/>
    <mergeCell ref="P38:P40"/>
    <mergeCell ref="M11:N11"/>
    <mergeCell ref="P11:Q11"/>
    <mergeCell ref="A12:A16"/>
    <mergeCell ref="P12:P16"/>
    <mergeCell ref="A17:A26"/>
    <mergeCell ref="P17:P26"/>
    <mergeCell ref="A11:B11"/>
    <mergeCell ref="C11:D11"/>
    <mergeCell ref="E11:F11"/>
    <mergeCell ref="G11:H11"/>
    <mergeCell ref="I11:J11"/>
    <mergeCell ref="K11:L11"/>
    <mergeCell ref="M9:N9"/>
    <mergeCell ref="P9:Q9"/>
    <mergeCell ref="A10:B10"/>
    <mergeCell ref="C10:D10"/>
    <mergeCell ref="E10:F10"/>
    <mergeCell ref="G10:H10"/>
    <mergeCell ref="I10:J10"/>
    <mergeCell ref="K10:L10"/>
    <mergeCell ref="M10:N10"/>
    <mergeCell ref="P10:Q10"/>
    <mergeCell ref="A9:B9"/>
    <mergeCell ref="C9:D9"/>
    <mergeCell ref="E9:F9"/>
    <mergeCell ref="G9:H9"/>
    <mergeCell ref="I9:J9"/>
    <mergeCell ref="K9:L9"/>
    <mergeCell ref="P7:Q7"/>
    <mergeCell ref="A8:B8"/>
    <mergeCell ref="C8:D8"/>
    <mergeCell ref="E8:F8"/>
    <mergeCell ref="G8:H8"/>
    <mergeCell ref="I8:J8"/>
    <mergeCell ref="K8:L8"/>
    <mergeCell ref="M8:N8"/>
    <mergeCell ref="P8:Q8"/>
    <mergeCell ref="K6:L6"/>
    <mergeCell ref="M6:N6"/>
    <mergeCell ref="A7:B7"/>
    <mergeCell ref="C7:D7"/>
    <mergeCell ref="E7:F7"/>
    <mergeCell ref="G7:H7"/>
    <mergeCell ref="I7:J7"/>
    <mergeCell ref="K7:L7"/>
    <mergeCell ref="M7:N7"/>
    <mergeCell ref="C4:D4"/>
    <mergeCell ref="E4:F4"/>
    <mergeCell ref="G4:H4"/>
    <mergeCell ref="I4:J4"/>
    <mergeCell ref="K4:L4"/>
    <mergeCell ref="M4:N4"/>
    <mergeCell ref="A3:B3"/>
    <mergeCell ref="C3:D3"/>
    <mergeCell ref="E3:F3"/>
    <mergeCell ref="G3:H3"/>
    <mergeCell ref="I3:J3"/>
    <mergeCell ref="K3:L3"/>
    <mergeCell ref="M1:N1"/>
    <mergeCell ref="P1:Q1"/>
    <mergeCell ref="A2:B2"/>
    <mergeCell ref="C2:D2"/>
    <mergeCell ref="E2:F2"/>
    <mergeCell ref="G2:H2"/>
    <mergeCell ref="I2:J2"/>
    <mergeCell ref="K2:L2"/>
    <mergeCell ref="M2:N2"/>
    <mergeCell ref="P2:R6"/>
    <mergeCell ref="A1:B1"/>
    <mergeCell ref="C1:D1"/>
    <mergeCell ref="E1:F1"/>
    <mergeCell ref="G1:H1"/>
    <mergeCell ref="I1:J1"/>
    <mergeCell ref="K1:L1"/>
    <mergeCell ref="A5:B5"/>
    <mergeCell ref="A6:B6"/>
    <mergeCell ref="C6:D6"/>
    <mergeCell ref="E6:F6"/>
    <mergeCell ref="G6:H6"/>
    <mergeCell ref="I6:J6"/>
    <mergeCell ref="M3:N3"/>
    <mergeCell ref="A4:B4"/>
  </mergeCells>
  <phoneticPr fontId="26" type="noConversion"/>
  <printOptions horizontalCentered="1" verticalCentered="1"/>
  <pageMargins left="0" right="0" top="0" bottom="0" header="0" footer="0"/>
  <pageSetup paperSize="9" scale="69" orientation="landscape" r:id="rId1"/>
  <rowBreaks count="3" manualBreakCount="3">
    <brk id="57" max="17" man="1"/>
    <brk id="153" max="1048575" man="1"/>
    <brk id="204" max="104857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5050"/>
  </sheetPr>
  <dimension ref="A1:S102"/>
  <sheetViews>
    <sheetView view="pageBreakPreview" zoomScaleNormal="100" zoomScaleSheetLayoutView="100" workbookViewId="0">
      <pane ySplit="11" topLeftCell="A12" activePane="bottomLeft" state="frozen"/>
      <selection pane="bottomLeft" activeCell="A2" sqref="A2:B2"/>
    </sheetView>
  </sheetViews>
  <sheetFormatPr defaultColWidth="8.625" defaultRowHeight="16.5" x14ac:dyDescent="0.3"/>
  <cols>
    <col min="1" max="1" width="7.75" style="5" customWidth="1"/>
    <col min="2" max="2" width="13.625" style="3" customWidth="1"/>
    <col min="3" max="3" width="15.125" style="3" customWidth="1"/>
    <col min="4" max="4" width="5.25" style="16" customWidth="1"/>
    <col min="5" max="5" width="15.125" style="3" customWidth="1"/>
    <col min="6" max="6" width="5.25" style="16" customWidth="1"/>
    <col min="7" max="7" width="15.125" style="3" customWidth="1"/>
    <col min="8" max="8" width="5.25" style="16" customWidth="1"/>
    <col min="9" max="9" width="15.125" style="4" customWidth="1"/>
    <col min="10" max="10" width="5.25" style="16" customWidth="1"/>
    <col min="11" max="11" width="15.125" style="185" customWidth="1"/>
    <col min="12" max="12" width="5.25" style="16" customWidth="1"/>
    <col min="13" max="13" width="15.125" style="4" customWidth="1"/>
    <col min="14" max="14" width="5.25" style="78" customWidth="1"/>
    <col min="15" max="15" width="3.625" style="4" customWidth="1"/>
    <col min="16" max="16" width="6.625" style="5" customWidth="1"/>
    <col min="17" max="17" width="13.625" style="3" customWidth="1"/>
    <col min="18" max="18" width="11.625" style="17" customWidth="1"/>
  </cols>
  <sheetData>
    <row r="1" spans="1:18" s="1" customFormat="1" ht="19.5" customHeight="1" x14ac:dyDescent="0.3">
      <c r="A1" s="652" t="s">
        <v>73</v>
      </c>
      <c r="B1" s="653"/>
      <c r="C1" s="688" t="s">
        <v>13</v>
      </c>
      <c r="D1" s="695"/>
      <c r="E1" s="688" t="s">
        <v>13</v>
      </c>
      <c r="F1" s="695"/>
      <c r="G1" s="688" t="s">
        <v>67</v>
      </c>
      <c r="H1" s="695"/>
      <c r="I1" s="688" t="s">
        <v>67</v>
      </c>
      <c r="J1" s="695"/>
      <c r="K1" s="688"/>
      <c r="L1" s="695"/>
      <c r="M1" s="688"/>
      <c r="N1" s="695"/>
      <c r="O1" s="136"/>
      <c r="P1" s="650" t="s">
        <v>15</v>
      </c>
      <c r="Q1" s="651"/>
      <c r="R1" s="137">
        <f ca="1">TODAY()</f>
        <v>46140</v>
      </c>
    </row>
    <row r="2" spans="1:18" ht="15" customHeight="1" x14ac:dyDescent="0.3">
      <c r="A2" s="647" t="s">
        <v>49</v>
      </c>
      <c r="B2" s="648"/>
      <c r="C2" s="754" t="s">
        <v>92</v>
      </c>
      <c r="D2" s="754"/>
      <c r="E2" s="754" t="s">
        <v>21</v>
      </c>
      <c r="F2" s="754"/>
      <c r="G2" s="754" t="s">
        <v>71</v>
      </c>
      <c r="H2" s="754"/>
      <c r="I2" s="754" t="s">
        <v>72</v>
      </c>
      <c r="J2" s="754"/>
      <c r="K2" s="754"/>
      <c r="L2" s="754"/>
      <c r="M2" s="754"/>
      <c r="N2" s="755"/>
      <c r="O2" s="25"/>
      <c r="P2" s="654"/>
      <c r="Q2" s="680"/>
      <c r="R2" s="681"/>
    </row>
    <row r="3" spans="1:18" ht="15" customHeight="1" x14ac:dyDescent="0.3">
      <c r="A3" s="637" t="s">
        <v>28</v>
      </c>
      <c r="B3" s="638"/>
      <c r="C3" s="756" t="s">
        <v>90</v>
      </c>
      <c r="D3" s="756"/>
      <c r="E3" s="756" t="s">
        <v>90</v>
      </c>
      <c r="F3" s="756"/>
      <c r="G3" s="756" t="s">
        <v>93</v>
      </c>
      <c r="H3" s="756"/>
      <c r="I3" s="756" t="s">
        <v>93</v>
      </c>
      <c r="J3" s="756"/>
      <c r="K3" s="756"/>
      <c r="L3" s="756"/>
      <c r="M3" s="756"/>
      <c r="N3" s="792"/>
      <c r="O3" s="25"/>
      <c r="P3" s="682"/>
      <c r="Q3" s="683"/>
      <c r="R3" s="684"/>
    </row>
    <row r="4" spans="1:18" ht="15" customHeight="1" x14ac:dyDescent="0.3">
      <c r="A4" s="647" t="s">
        <v>17</v>
      </c>
      <c r="B4" s="648"/>
      <c r="C4" s="756">
        <v>44726</v>
      </c>
      <c r="D4" s="756"/>
      <c r="E4" s="756">
        <v>44726</v>
      </c>
      <c r="F4" s="756"/>
      <c r="G4" s="756">
        <v>42983</v>
      </c>
      <c r="H4" s="754"/>
      <c r="I4" s="756">
        <v>42320</v>
      </c>
      <c r="J4" s="754"/>
      <c r="K4" s="756"/>
      <c r="L4" s="754"/>
      <c r="M4" s="756"/>
      <c r="N4" s="755"/>
      <c r="O4" s="25"/>
      <c r="P4" s="682"/>
      <c r="Q4" s="683"/>
      <c r="R4" s="684"/>
    </row>
    <row r="5" spans="1:18" ht="15" customHeight="1" x14ac:dyDescent="0.3">
      <c r="A5" s="647" t="s">
        <v>23</v>
      </c>
      <c r="B5" s="648"/>
      <c r="C5" s="61">
        <v>30</v>
      </c>
      <c r="D5" s="62">
        <f ca="1">IF(DATEDIF(C4,$R$1,"m")&lt;C5*12,DATEDIF(C4,$R$1,"m"),C5*12)</f>
        <v>46</v>
      </c>
      <c r="E5" s="61">
        <v>1</v>
      </c>
      <c r="F5" s="62">
        <f ca="1">IF(DATEDIF(E4,$R$1,"m")&lt;E5*12,DATEDIF(E4,$R$1,"m"),E5*12)</f>
        <v>12</v>
      </c>
      <c r="G5" s="61">
        <v>10</v>
      </c>
      <c r="H5" s="62">
        <f ca="1">IF(DATEDIF(G4,$R$1,"m")&lt;G5*12,DATEDIF(G4,$R$1,"m"),G5*12)</f>
        <v>103</v>
      </c>
      <c r="I5" s="61">
        <v>10</v>
      </c>
      <c r="J5" s="64">
        <f ca="1">IF(DATEDIF(I4,$R$1,"m")&lt;I5*12,DATEDIF(I4,$R$1,"m"),I5*12)</f>
        <v>120</v>
      </c>
      <c r="K5" s="61"/>
      <c r="L5" s="62">
        <f ca="1">IF(DATEDIF(K4,$R$1,"m")&lt;K5*12,DATEDIF(K4,$R$1,"m"),K5*12)</f>
        <v>0</v>
      </c>
      <c r="M5" s="61"/>
      <c r="N5" s="65">
        <f ca="1">IF(DATEDIF(M4,$R$1,"m")&lt;M5*12,DATEDIF(M4,$R$1,"m"),M5*12)</f>
        <v>0</v>
      </c>
      <c r="O5" s="25"/>
      <c r="P5" s="682"/>
      <c r="Q5" s="683"/>
      <c r="R5" s="684"/>
    </row>
    <row r="6" spans="1:18" ht="15" customHeight="1" x14ac:dyDescent="0.3">
      <c r="A6" s="647" t="s">
        <v>2</v>
      </c>
      <c r="B6" s="648"/>
      <c r="C6" s="696" t="s">
        <v>22</v>
      </c>
      <c r="D6" s="696"/>
      <c r="E6" s="696" t="s">
        <v>85</v>
      </c>
      <c r="F6" s="696"/>
      <c r="G6" s="696" t="s">
        <v>63</v>
      </c>
      <c r="H6" s="696"/>
      <c r="I6" s="696" t="s">
        <v>57</v>
      </c>
      <c r="J6" s="696"/>
      <c r="K6" s="696"/>
      <c r="L6" s="696"/>
      <c r="M6" s="696"/>
      <c r="N6" s="717"/>
      <c r="O6" s="25"/>
      <c r="P6" s="685"/>
      <c r="Q6" s="686"/>
      <c r="R6" s="687"/>
    </row>
    <row r="7" spans="1:18" ht="15" customHeight="1" x14ac:dyDescent="0.3">
      <c r="A7" s="632" t="s">
        <v>37</v>
      </c>
      <c r="B7" s="633"/>
      <c r="C7" s="757" t="s">
        <v>74</v>
      </c>
      <c r="D7" s="758"/>
      <c r="E7" s="757" t="s">
        <v>56</v>
      </c>
      <c r="F7" s="758"/>
      <c r="G7" s="757" t="s">
        <v>77</v>
      </c>
      <c r="H7" s="758"/>
      <c r="I7" s="757" t="s">
        <v>77</v>
      </c>
      <c r="J7" s="758"/>
      <c r="K7" s="757"/>
      <c r="L7" s="758"/>
      <c r="M7" s="757"/>
      <c r="N7" s="759"/>
      <c r="O7" s="25"/>
      <c r="P7" s="643"/>
      <c r="Q7" s="644"/>
      <c r="R7" s="27" t="s">
        <v>91</v>
      </c>
    </row>
    <row r="8" spans="1:18" ht="15" customHeight="1" x14ac:dyDescent="0.3">
      <c r="A8" s="639" t="s">
        <v>12</v>
      </c>
      <c r="B8" s="640"/>
      <c r="C8" s="705">
        <v>83298</v>
      </c>
      <c r="D8" s="705"/>
      <c r="E8" s="705">
        <v>9112</v>
      </c>
      <c r="F8" s="705"/>
      <c r="G8" s="705">
        <v>17620</v>
      </c>
      <c r="H8" s="705"/>
      <c r="I8" s="705">
        <v>12560</v>
      </c>
      <c r="J8" s="705"/>
      <c r="K8" s="705"/>
      <c r="L8" s="705"/>
      <c r="M8" s="705"/>
      <c r="N8" s="720"/>
      <c r="O8" s="26"/>
      <c r="P8" s="635" t="s">
        <v>34</v>
      </c>
      <c r="Q8" s="636"/>
      <c r="R8" s="79">
        <f>SUM(B8:N8)</f>
        <v>122590</v>
      </c>
    </row>
    <row r="9" spans="1:18" ht="15" customHeight="1" x14ac:dyDescent="0.3">
      <c r="A9" s="637" t="s">
        <v>3</v>
      </c>
      <c r="B9" s="638"/>
      <c r="C9" s="709">
        <f>C8*C5*12</f>
        <v>29987280</v>
      </c>
      <c r="D9" s="711"/>
      <c r="E9" s="709">
        <f>E8*E5*12</f>
        <v>109344</v>
      </c>
      <c r="F9" s="711"/>
      <c r="G9" s="709">
        <f>G8*G5*12</f>
        <v>2114400</v>
      </c>
      <c r="H9" s="711"/>
      <c r="I9" s="709">
        <f>I8*I5*12</f>
        <v>1507200</v>
      </c>
      <c r="J9" s="711"/>
      <c r="K9" s="709">
        <f>K8*K5*12</f>
        <v>0</v>
      </c>
      <c r="L9" s="711"/>
      <c r="M9" s="709">
        <f>M8*M5*12</f>
        <v>0</v>
      </c>
      <c r="N9" s="710"/>
      <c r="O9" s="26"/>
      <c r="P9" s="635" t="s">
        <v>33</v>
      </c>
      <c r="Q9" s="636"/>
      <c r="R9" s="80">
        <f t="shared" ref="R9:R11" si="0">SUM(B9:N9)</f>
        <v>33718224</v>
      </c>
    </row>
    <row r="10" spans="1:18" ht="15" customHeight="1" x14ac:dyDescent="0.3">
      <c r="A10" s="637" t="s">
        <v>4</v>
      </c>
      <c r="B10" s="638"/>
      <c r="C10" s="709">
        <f ca="1">C8*D5</f>
        <v>3831708</v>
      </c>
      <c r="D10" s="711"/>
      <c r="E10" s="709">
        <f ca="1">E8*F5</f>
        <v>109344</v>
      </c>
      <c r="F10" s="711"/>
      <c r="G10" s="709">
        <f ca="1">G8*H5</f>
        <v>1814860</v>
      </c>
      <c r="H10" s="711"/>
      <c r="I10" s="709">
        <f ca="1">I8*J5</f>
        <v>1507200</v>
      </c>
      <c r="J10" s="711"/>
      <c r="K10" s="709">
        <f ca="1">K8*L5</f>
        <v>0</v>
      </c>
      <c r="L10" s="711"/>
      <c r="M10" s="709">
        <f ca="1">M8*N5</f>
        <v>0</v>
      </c>
      <c r="N10" s="710"/>
      <c r="O10" s="26"/>
      <c r="P10" s="635" t="s">
        <v>31</v>
      </c>
      <c r="Q10" s="636"/>
      <c r="R10" s="80">
        <f t="shared" ca="1" si="0"/>
        <v>7263112</v>
      </c>
    </row>
    <row r="11" spans="1:18" ht="15" customHeight="1" x14ac:dyDescent="0.3">
      <c r="A11" s="632" t="s">
        <v>18</v>
      </c>
      <c r="B11" s="633"/>
      <c r="C11" s="709">
        <f ca="1">C9-C10</f>
        <v>26155572</v>
      </c>
      <c r="D11" s="711"/>
      <c r="E11" s="709">
        <f ca="1">E9-E10</f>
        <v>0</v>
      </c>
      <c r="F11" s="711"/>
      <c r="G11" s="709">
        <f ca="1">G9-G10</f>
        <v>299540</v>
      </c>
      <c r="H11" s="711"/>
      <c r="I11" s="709">
        <f ca="1">I9-I10</f>
        <v>0</v>
      </c>
      <c r="J11" s="711"/>
      <c r="K11" s="709">
        <f ca="1">K9-K10</f>
        <v>0</v>
      </c>
      <c r="L11" s="711"/>
      <c r="M11" s="709">
        <f ca="1">M9-M10</f>
        <v>0</v>
      </c>
      <c r="N11" s="710"/>
      <c r="O11" s="26"/>
      <c r="P11" s="619" t="s">
        <v>35</v>
      </c>
      <c r="Q11" s="620"/>
      <c r="R11" s="80">
        <f t="shared" ca="1" si="0"/>
        <v>26455112</v>
      </c>
    </row>
    <row r="12" spans="1:18" ht="15" customHeight="1" x14ac:dyDescent="0.3">
      <c r="A12" s="768" t="s">
        <v>1</v>
      </c>
      <c r="B12" s="139" t="s">
        <v>66</v>
      </c>
      <c r="C12" s="41"/>
      <c r="D12" s="212"/>
      <c r="E12" s="8">
        <v>50000000</v>
      </c>
      <c r="F12" s="212" t="s">
        <v>14</v>
      </c>
      <c r="G12" s="8"/>
      <c r="H12" s="19"/>
      <c r="I12" s="8"/>
      <c r="J12" s="19"/>
      <c r="K12" s="8"/>
      <c r="L12" s="167"/>
      <c r="M12" s="8"/>
      <c r="N12" s="191"/>
      <c r="O12" s="6"/>
      <c r="P12" s="769" t="s">
        <v>26</v>
      </c>
      <c r="Q12" s="54" t="s">
        <v>58</v>
      </c>
      <c r="R12" s="81">
        <f>C12+E12+G12+I12+K12+M12</f>
        <v>50000000</v>
      </c>
    </row>
    <row r="13" spans="1:18" ht="15" customHeight="1" x14ac:dyDescent="0.3">
      <c r="A13" s="730"/>
      <c r="B13" s="140" t="s">
        <v>69</v>
      </c>
      <c r="C13" s="28"/>
      <c r="D13" s="187"/>
      <c r="E13" s="9">
        <v>200000</v>
      </c>
      <c r="F13" s="187" t="s">
        <v>14</v>
      </c>
      <c r="G13" s="9"/>
      <c r="H13" s="20"/>
      <c r="I13" s="9"/>
      <c r="J13" s="20"/>
      <c r="K13" s="9"/>
      <c r="L13" s="172"/>
      <c r="M13" s="9"/>
      <c r="N13" s="190"/>
      <c r="O13" s="6"/>
      <c r="P13" s="770"/>
      <c r="Q13" s="55" t="s">
        <v>59</v>
      </c>
      <c r="R13" s="82">
        <f t="shared" ref="R13:R35" si="1">C13+E13+G13+I13+K13+M13</f>
        <v>200000</v>
      </c>
    </row>
    <row r="14" spans="1:18" ht="15" customHeight="1" x14ac:dyDescent="0.3">
      <c r="A14" s="730"/>
      <c r="B14" s="140" t="s">
        <v>64</v>
      </c>
      <c r="C14" s="28"/>
      <c r="D14" s="187"/>
      <c r="E14" s="28">
        <v>50000000</v>
      </c>
      <c r="F14" s="187" t="s">
        <v>14</v>
      </c>
      <c r="G14" s="9"/>
      <c r="H14" s="20"/>
      <c r="I14" s="9"/>
      <c r="J14" s="20"/>
      <c r="K14" s="9"/>
      <c r="L14" s="172"/>
      <c r="M14" s="9"/>
      <c r="N14" s="190"/>
      <c r="O14" s="6"/>
      <c r="P14" s="770"/>
      <c r="Q14" s="55" t="s">
        <v>88</v>
      </c>
      <c r="R14" s="82">
        <f t="shared" si="1"/>
        <v>50000000</v>
      </c>
    </row>
    <row r="15" spans="1:18" ht="15" customHeight="1" x14ac:dyDescent="0.3">
      <c r="A15" s="730"/>
      <c r="B15" s="140" t="s">
        <v>60</v>
      </c>
      <c r="C15" s="28"/>
      <c r="D15" s="187"/>
      <c r="E15" s="28">
        <v>200000</v>
      </c>
      <c r="F15" s="187" t="s">
        <v>14</v>
      </c>
      <c r="G15" s="9"/>
      <c r="H15" s="20"/>
      <c r="I15" s="9"/>
      <c r="J15" s="20"/>
      <c r="K15" s="9"/>
      <c r="L15" s="172"/>
      <c r="M15" s="9"/>
      <c r="N15" s="190"/>
      <c r="O15" s="6"/>
      <c r="P15" s="770"/>
      <c r="Q15" s="55" t="s">
        <v>94</v>
      </c>
      <c r="R15" s="82">
        <f t="shared" si="1"/>
        <v>200000</v>
      </c>
    </row>
    <row r="16" spans="1:18" ht="15" customHeight="1" x14ac:dyDescent="0.3">
      <c r="A16" s="731"/>
      <c r="B16" s="141" t="s">
        <v>89</v>
      </c>
      <c r="C16" s="42"/>
      <c r="D16" s="18"/>
      <c r="E16" s="42">
        <v>3500000</v>
      </c>
      <c r="F16" s="213" t="s">
        <v>14</v>
      </c>
      <c r="G16" s="7"/>
      <c r="H16" s="18"/>
      <c r="I16" s="7"/>
      <c r="J16" s="18"/>
      <c r="K16" s="7"/>
      <c r="L16" s="168"/>
      <c r="M16" s="7"/>
      <c r="N16" s="192"/>
      <c r="O16" s="6"/>
      <c r="P16" s="771"/>
      <c r="Q16" s="56" t="s">
        <v>89</v>
      </c>
      <c r="R16" s="83">
        <f t="shared" si="1"/>
        <v>3500000</v>
      </c>
    </row>
    <row r="17" spans="1:18" ht="15" customHeight="1" x14ac:dyDescent="0.3">
      <c r="A17" s="626" t="s">
        <v>50</v>
      </c>
      <c r="B17" s="142" t="s">
        <v>55</v>
      </c>
      <c r="C17" s="8">
        <v>50000000</v>
      </c>
      <c r="D17" s="19" t="s">
        <v>22</v>
      </c>
      <c r="E17" s="8"/>
      <c r="F17" s="198"/>
      <c r="G17" s="8"/>
      <c r="H17" s="19"/>
      <c r="I17" s="8"/>
      <c r="J17" s="19"/>
      <c r="K17" s="8"/>
      <c r="L17" s="208"/>
      <c r="M17" s="8"/>
      <c r="N17" s="206"/>
      <c r="O17" s="6"/>
      <c r="P17" s="772" t="str">
        <f>A17</f>
        <v>암</v>
      </c>
      <c r="Q17" s="87" t="s">
        <v>55</v>
      </c>
      <c r="R17" s="81">
        <f>C17+E17+G17+I17+K17+M17</f>
        <v>50000000</v>
      </c>
    </row>
    <row r="18" spans="1:18" ht="15" customHeight="1" x14ac:dyDescent="0.3">
      <c r="A18" s="627"/>
      <c r="B18" s="143" t="s">
        <v>46</v>
      </c>
      <c r="C18" s="43">
        <v>20000000</v>
      </c>
      <c r="D18" s="21" t="s">
        <v>22</v>
      </c>
      <c r="E18" s="9"/>
      <c r="F18" s="204"/>
      <c r="G18" s="9"/>
      <c r="H18" s="21"/>
      <c r="I18" s="9"/>
      <c r="J18" s="21"/>
      <c r="K18" s="10"/>
      <c r="L18" s="224"/>
      <c r="M18" s="10"/>
      <c r="N18" s="205"/>
      <c r="O18" s="6"/>
      <c r="P18" s="773"/>
      <c r="Q18" s="88" t="s">
        <v>46</v>
      </c>
      <c r="R18" s="82">
        <f t="shared" si="1"/>
        <v>20000000</v>
      </c>
    </row>
    <row r="19" spans="1:18" ht="15" customHeight="1" x14ac:dyDescent="0.3">
      <c r="A19" s="627"/>
      <c r="B19" s="143" t="s">
        <v>9</v>
      </c>
      <c r="C19" s="43"/>
      <c r="D19" s="21"/>
      <c r="E19" s="10"/>
      <c r="F19" s="21"/>
      <c r="G19" s="9"/>
      <c r="H19" s="21"/>
      <c r="I19" s="10"/>
      <c r="J19" s="21"/>
      <c r="K19" s="10"/>
      <c r="L19" s="169"/>
      <c r="M19" s="10"/>
      <c r="N19" s="193"/>
      <c r="O19" s="6"/>
      <c r="P19" s="773"/>
      <c r="Q19" s="88" t="s">
        <v>9</v>
      </c>
      <c r="R19" s="82">
        <f t="shared" si="1"/>
        <v>0</v>
      </c>
    </row>
    <row r="20" spans="1:18" ht="15" customHeight="1" x14ac:dyDescent="0.3">
      <c r="A20" s="627"/>
      <c r="B20" s="143" t="s">
        <v>10</v>
      </c>
      <c r="C20" s="43"/>
      <c r="D20" s="21"/>
      <c r="E20" s="9"/>
      <c r="F20" s="21"/>
      <c r="G20" s="9"/>
      <c r="H20" s="21"/>
      <c r="I20" s="43"/>
      <c r="J20" s="21"/>
      <c r="K20" s="10"/>
      <c r="L20" s="169"/>
      <c r="M20" s="10"/>
      <c r="N20" s="193"/>
      <c r="O20" s="6"/>
      <c r="P20" s="773"/>
      <c r="Q20" s="88" t="s">
        <v>10</v>
      </c>
      <c r="R20" s="82">
        <f t="shared" si="1"/>
        <v>0</v>
      </c>
    </row>
    <row r="21" spans="1:18" ht="15" customHeight="1" x14ac:dyDescent="0.3">
      <c r="A21" s="627"/>
      <c r="B21" s="144" t="s">
        <v>20</v>
      </c>
      <c r="C21" s="42"/>
      <c r="D21" s="18"/>
      <c r="E21" s="7"/>
      <c r="F21" s="21"/>
      <c r="G21" s="7"/>
      <c r="H21" s="21"/>
      <c r="I21" s="7"/>
      <c r="J21" s="21"/>
      <c r="K21" s="10"/>
      <c r="L21" s="169"/>
      <c r="M21" s="10"/>
      <c r="N21" s="193"/>
      <c r="O21" s="6"/>
      <c r="P21" s="773"/>
      <c r="Q21" s="89" t="s">
        <v>20</v>
      </c>
      <c r="R21" s="83">
        <f t="shared" si="1"/>
        <v>0</v>
      </c>
    </row>
    <row r="22" spans="1:18" ht="15" customHeight="1" x14ac:dyDescent="0.3">
      <c r="A22" s="721" t="s">
        <v>19</v>
      </c>
      <c r="B22" s="145" t="s">
        <v>51</v>
      </c>
      <c r="C22" s="28">
        <v>20000000</v>
      </c>
      <c r="D22" s="19" t="s">
        <v>22</v>
      </c>
      <c r="E22" s="9"/>
      <c r="F22" s="19"/>
      <c r="G22" s="9"/>
      <c r="H22" s="19"/>
      <c r="I22" s="8"/>
      <c r="J22" s="19"/>
      <c r="K22" s="8"/>
      <c r="L22" s="167"/>
      <c r="M22" s="8"/>
      <c r="N22" s="191"/>
      <c r="O22" s="6"/>
      <c r="P22" s="760" t="str">
        <f>A22</f>
        <v>2대
질병</v>
      </c>
      <c r="Q22" s="90" t="s">
        <v>51</v>
      </c>
      <c r="R22" s="81">
        <f>C22+E22+G22+I22+K22+M22</f>
        <v>20000000</v>
      </c>
    </row>
    <row r="23" spans="1:18" ht="15" customHeight="1" x14ac:dyDescent="0.3">
      <c r="A23" s="722"/>
      <c r="B23" s="146" t="s">
        <v>43</v>
      </c>
      <c r="C23" s="43"/>
      <c r="D23" s="21"/>
      <c r="E23" s="10"/>
      <c r="F23" s="21"/>
      <c r="G23" s="9"/>
      <c r="H23" s="21"/>
      <c r="I23" s="10"/>
      <c r="J23" s="21"/>
      <c r="K23" s="9"/>
      <c r="L23" s="169"/>
      <c r="M23" s="10"/>
      <c r="N23" s="193"/>
      <c r="O23" s="6"/>
      <c r="P23" s="761"/>
      <c r="Q23" s="91" t="s">
        <v>43</v>
      </c>
      <c r="R23" s="82">
        <f t="shared" si="1"/>
        <v>0</v>
      </c>
    </row>
    <row r="24" spans="1:18" ht="15" customHeight="1" x14ac:dyDescent="0.3">
      <c r="A24" s="722"/>
      <c r="B24" s="147" t="s">
        <v>53</v>
      </c>
      <c r="C24" s="49"/>
      <c r="D24" s="47"/>
      <c r="E24" s="36"/>
      <c r="F24" s="47"/>
      <c r="G24" s="36"/>
      <c r="H24" s="199"/>
      <c r="I24" s="36"/>
      <c r="J24" s="47"/>
      <c r="K24" s="36"/>
      <c r="L24" s="170"/>
      <c r="M24" s="36"/>
      <c r="N24" s="194"/>
      <c r="O24" s="6"/>
      <c r="P24" s="761"/>
      <c r="Q24" s="92" t="s">
        <v>53</v>
      </c>
      <c r="R24" s="84">
        <f t="shared" si="1"/>
        <v>0</v>
      </c>
    </row>
    <row r="25" spans="1:18" ht="15" customHeight="1" x14ac:dyDescent="0.3">
      <c r="A25" s="722"/>
      <c r="B25" s="148" t="s">
        <v>65</v>
      </c>
      <c r="C25" s="41">
        <v>10000000</v>
      </c>
      <c r="D25" s="19" t="s">
        <v>22</v>
      </c>
      <c r="E25" s="8"/>
      <c r="F25" s="19"/>
      <c r="G25" s="8"/>
      <c r="H25" s="19"/>
      <c r="I25" s="8"/>
      <c r="J25" s="19"/>
      <c r="K25" s="8"/>
      <c r="L25" s="167"/>
      <c r="M25" s="8"/>
      <c r="N25" s="191"/>
      <c r="O25" s="6"/>
      <c r="P25" s="761"/>
      <c r="Q25" s="93" t="s">
        <v>65</v>
      </c>
      <c r="R25" s="81">
        <f t="shared" si="1"/>
        <v>10000000</v>
      </c>
    </row>
    <row r="26" spans="1:18" ht="15" customHeight="1" x14ac:dyDescent="0.3">
      <c r="A26" s="722"/>
      <c r="B26" s="149" t="s">
        <v>8</v>
      </c>
      <c r="C26" s="28">
        <v>10000000</v>
      </c>
      <c r="D26" s="21" t="s">
        <v>22</v>
      </c>
      <c r="E26" s="9"/>
      <c r="F26" s="21"/>
      <c r="G26" s="9"/>
      <c r="H26" s="21"/>
      <c r="I26" s="9"/>
      <c r="J26" s="21"/>
      <c r="K26" s="9"/>
      <c r="L26" s="169"/>
      <c r="M26" s="10"/>
      <c r="N26" s="193"/>
      <c r="O26" s="6"/>
      <c r="P26" s="761"/>
      <c r="Q26" s="94" t="s">
        <v>8</v>
      </c>
      <c r="R26" s="82">
        <f t="shared" si="1"/>
        <v>10000000</v>
      </c>
    </row>
    <row r="27" spans="1:18" ht="15" customHeight="1" x14ac:dyDescent="0.3">
      <c r="A27" s="722"/>
      <c r="B27" s="150" t="s">
        <v>5</v>
      </c>
      <c r="C27" s="42"/>
      <c r="D27" s="18"/>
      <c r="E27" s="7"/>
      <c r="F27" s="18"/>
      <c r="G27" s="7"/>
      <c r="H27" s="200"/>
      <c r="I27" s="7"/>
      <c r="J27" s="18"/>
      <c r="K27" s="7"/>
      <c r="L27" s="168"/>
      <c r="M27" s="7"/>
      <c r="N27" s="192"/>
      <c r="O27" s="6"/>
      <c r="P27" s="761"/>
      <c r="Q27" s="95" t="s">
        <v>5</v>
      </c>
      <c r="R27" s="83">
        <f t="shared" si="1"/>
        <v>0</v>
      </c>
    </row>
    <row r="28" spans="1:18" ht="15" customHeight="1" x14ac:dyDescent="0.3">
      <c r="A28" s="722"/>
      <c r="B28" s="151" t="s">
        <v>32</v>
      </c>
      <c r="C28" s="50">
        <v>10000000</v>
      </c>
      <c r="D28" s="38" t="s">
        <v>22</v>
      </c>
      <c r="E28" s="39"/>
      <c r="F28" s="38"/>
      <c r="G28" s="39"/>
      <c r="H28" s="38"/>
      <c r="I28" s="39"/>
      <c r="J28" s="38"/>
      <c r="K28" s="39"/>
      <c r="L28" s="225"/>
      <c r="M28" s="39"/>
      <c r="N28" s="195"/>
      <c r="O28" s="6"/>
      <c r="P28" s="761"/>
      <c r="Q28" s="57" t="s">
        <v>32</v>
      </c>
      <c r="R28" s="85">
        <f t="shared" si="1"/>
        <v>10000000</v>
      </c>
    </row>
    <row r="29" spans="1:18" ht="15" customHeight="1" x14ac:dyDescent="0.3">
      <c r="A29" s="723" t="s">
        <v>16</v>
      </c>
      <c r="B29" s="152" t="s">
        <v>36</v>
      </c>
      <c r="C29" s="41">
        <v>20000000</v>
      </c>
      <c r="D29" s="19" t="s">
        <v>22</v>
      </c>
      <c r="E29" s="8"/>
      <c r="F29" s="19"/>
      <c r="G29" s="8"/>
      <c r="H29" s="19"/>
      <c r="I29" s="8"/>
      <c r="J29" s="19"/>
      <c r="K29" s="8"/>
      <c r="L29" s="167"/>
      <c r="M29" s="8"/>
      <c r="N29" s="191"/>
      <c r="O29" s="6"/>
      <c r="P29" s="762" t="str">
        <f>A29</f>
        <v>후유장해</v>
      </c>
      <c r="Q29" s="96" t="s">
        <v>36</v>
      </c>
      <c r="R29" s="81">
        <f>C29+E29+G29+I29+K29+M29</f>
        <v>20000000</v>
      </c>
    </row>
    <row r="30" spans="1:18" ht="15" customHeight="1" x14ac:dyDescent="0.3">
      <c r="A30" s="724"/>
      <c r="B30" s="153" t="s">
        <v>29</v>
      </c>
      <c r="C30" s="28">
        <v>20000000</v>
      </c>
      <c r="D30" s="20" t="s">
        <v>22</v>
      </c>
      <c r="E30" s="9"/>
      <c r="F30" s="21"/>
      <c r="G30" s="9"/>
      <c r="H30" s="20"/>
      <c r="I30" s="9"/>
      <c r="J30" s="20"/>
      <c r="K30" s="9"/>
      <c r="L30" s="172"/>
      <c r="M30" s="9"/>
      <c r="N30" s="190"/>
      <c r="O30" s="6"/>
      <c r="P30" s="763"/>
      <c r="Q30" s="97" t="s">
        <v>29</v>
      </c>
      <c r="R30" s="82">
        <f t="shared" si="1"/>
        <v>20000000</v>
      </c>
    </row>
    <row r="31" spans="1:18" ht="15" customHeight="1" x14ac:dyDescent="0.3">
      <c r="A31" s="724"/>
      <c r="B31" s="153" t="s">
        <v>25</v>
      </c>
      <c r="C31" s="28">
        <v>20000000</v>
      </c>
      <c r="D31" s="20" t="s">
        <v>22</v>
      </c>
      <c r="E31" s="9"/>
      <c r="F31" s="4"/>
      <c r="G31" s="9"/>
      <c r="H31" s="20"/>
      <c r="I31" s="9"/>
      <c r="J31" s="20"/>
      <c r="K31" s="9"/>
      <c r="L31" s="172"/>
      <c r="M31" s="9"/>
      <c r="N31" s="190"/>
      <c r="O31" s="6"/>
      <c r="P31" s="763"/>
      <c r="Q31" s="97" t="s">
        <v>25</v>
      </c>
      <c r="R31" s="82">
        <f t="shared" si="1"/>
        <v>20000000</v>
      </c>
    </row>
    <row r="32" spans="1:18" ht="15" customHeight="1" x14ac:dyDescent="0.3">
      <c r="A32" s="725"/>
      <c r="B32" s="154" t="s">
        <v>24</v>
      </c>
      <c r="C32" s="42">
        <v>20000000</v>
      </c>
      <c r="D32" s="18" t="s">
        <v>22</v>
      </c>
      <c r="E32" s="7"/>
      <c r="F32" s="18"/>
      <c r="G32" s="9"/>
      <c r="H32" s="18"/>
      <c r="I32" s="7"/>
      <c r="J32" s="18"/>
      <c r="K32" s="7"/>
      <c r="L32" s="168"/>
      <c r="M32" s="7"/>
      <c r="N32" s="192"/>
      <c r="O32" s="6"/>
      <c r="P32" s="764"/>
      <c r="Q32" s="98" t="s">
        <v>24</v>
      </c>
      <c r="R32" s="83">
        <f>C32+E32+G32+I32+K32+M32</f>
        <v>20000000</v>
      </c>
    </row>
    <row r="33" spans="1:19" ht="15" customHeight="1" x14ac:dyDescent="0.3">
      <c r="A33" s="726" t="s">
        <v>47</v>
      </c>
      <c r="B33" s="155" t="s">
        <v>48</v>
      </c>
      <c r="C33" s="41"/>
      <c r="D33" s="19"/>
      <c r="E33" s="41"/>
      <c r="F33" s="19"/>
      <c r="G33" s="8"/>
      <c r="H33" s="19"/>
      <c r="I33" s="8"/>
      <c r="J33" s="19"/>
      <c r="K33" s="8"/>
      <c r="L33" s="167"/>
      <c r="M33" s="10"/>
      <c r="N33" s="193"/>
      <c r="O33" s="6"/>
      <c r="P33" s="765" t="s">
        <v>47</v>
      </c>
      <c r="Q33" s="99" t="s">
        <v>48</v>
      </c>
      <c r="R33" s="81">
        <f>C33+E33+G33+I33+K33+M33</f>
        <v>0</v>
      </c>
    </row>
    <row r="34" spans="1:19" ht="15" customHeight="1" x14ac:dyDescent="0.3">
      <c r="A34" s="727"/>
      <c r="B34" s="156" t="s">
        <v>44</v>
      </c>
      <c r="C34" s="28"/>
      <c r="D34" s="20"/>
      <c r="E34" s="9"/>
      <c r="F34" s="20"/>
      <c r="G34" s="9"/>
      <c r="H34" s="20"/>
      <c r="I34" s="9"/>
      <c r="J34" s="20"/>
      <c r="K34" s="9"/>
      <c r="L34" s="172"/>
      <c r="M34" s="9"/>
      <c r="N34" s="190"/>
      <c r="O34" s="6"/>
      <c r="P34" s="766"/>
      <c r="Q34" s="100" t="s">
        <v>44</v>
      </c>
      <c r="R34" s="82">
        <f t="shared" si="1"/>
        <v>0</v>
      </c>
    </row>
    <row r="35" spans="1:19" ht="15" customHeight="1" x14ac:dyDescent="0.3">
      <c r="A35" s="728"/>
      <c r="B35" s="157" t="s">
        <v>7</v>
      </c>
      <c r="C35" s="43">
        <v>30000000</v>
      </c>
      <c r="D35" s="21" t="s">
        <v>22</v>
      </c>
      <c r="E35" s="7"/>
      <c r="F35" s="18"/>
      <c r="G35" s="7"/>
      <c r="H35" s="18"/>
      <c r="I35" s="7"/>
      <c r="J35" s="18"/>
      <c r="K35" s="7"/>
      <c r="L35" s="168"/>
      <c r="M35" s="7"/>
      <c r="N35" s="192"/>
      <c r="O35" s="6"/>
      <c r="P35" s="767"/>
      <c r="Q35" s="101" t="s">
        <v>54</v>
      </c>
      <c r="R35" s="83">
        <f t="shared" si="1"/>
        <v>30000000</v>
      </c>
      <c r="S35" s="2"/>
    </row>
    <row r="36" spans="1:19" ht="15" customHeight="1" x14ac:dyDescent="0.3">
      <c r="A36" s="746" t="s">
        <v>39</v>
      </c>
      <c r="B36" s="158" t="s">
        <v>44</v>
      </c>
      <c r="C36" s="41">
        <v>400000</v>
      </c>
      <c r="D36" s="19" t="s">
        <v>22</v>
      </c>
      <c r="E36" s="41"/>
      <c r="F36" s="19"/>
      <c r="G36" s="41"/>
      <c r="H36" s="19"/>
      <c r="I36" s="10"/>
      <c r="J36" s="21"/>
      <c r="K36" s="10"/>
      <c r="L36" s="169"/>
      <c r="M36" s="8"/>
      <c r="N36" s="191"/>
      <c r="O36" s="6"/>
      <c r="P36" s="779" t="s">
        <v>39</v>
      </c>
      <c r="Q36" s="58" t="s">
        <v>44</v>
      </c>
      <c r="R36" s="81">
        <f>C36+E36+G36+I36+K36+M36</f>
        <v>400000</v>
      </c>
    </row>
    <row r="37" spans="1:19" ht="15" customHeight="1" x14ac:dyDescent="0.3">
      <c r="A37" s="747"/>
      <c r="B37" s="158" t="s">
        <v>54</v>
      </c>
      <c r="C37" s="28">
        <v>10000000</v>
      </c>
      <c r="D37" s="20" t="s">
        <v>22</v>
      </c>
      <c r="E37" s="28"/>
      <c r="F37" s="20"/>
      <c r="G37" s="28"/>
      <c r="H37" s="20"/>
      <c r="I37" s="10"/>
      <c r="J37" s="21"/>
      <c r="K37" s="10"/>
      <c r="L37" s="169"/>
      <c r="M37" s="9"/>
      <c r="N37" s="190"/>
      <c r="O37" s="6"/>
      <c r="P37" s="780"/>
      <c r="Q37" s="58" t="s">
        <v>54</v>
      </c>
      <c r="R37" s="86">
        <f>C37+E37+G37+I37+K37+M37</f>
        <v>10000000</v>
      </c>
    </row>
    <row r="38" spans="1:19" ht="15" customHeight="1" x14ac:dyDescent="0.3">
      <c r="A38" s="747"/>
      <c r="B38" s="158" t="s">
        <v>68</v>
      </c>
      <c r="C38" s="28">
        <v>2000000</v>
      </c>
      <c r="D38" s="63" t="s">
        <v>22</v>
      </c>
      <c r="E38" s="9"/>
      <c r="F38" s="21"/>
      <c r="G38" s="9"/>
      <c r="H38" s="21"/>
      <c r="I38" s="9"/>
      <c r="J38" s="204"/>
      <c r="K38" s="10"/>
      <c r="L38" s="169"/>
      <c r="M38" s="9"/>
      <c r="N38" s="190"/>
      <c r="O38" s="6"/>
      <c r="P38" s="780"/>
      <c r="Q38" s="58" t="s">
        <v>68</v>
      </c>
      <c r="R38" s="82">
        <f t="shared" ref="R38:R47" si="2">C38+E38+G38+I38+K38+M38</f>
        <v>2000000</v>
      </c>
    </row>
    <row r="39" spans="1:19" ht="15" customHeight="1" x14ac:dyDescent="0.3">
      <c r="A39" s="747"/>
      <c r="B39" s="159" t="s">
        <v>61</v>
      </c>
      <c r="C39" s="44"/>
      <c r="D39" s="34"/>
      <c r="F39" s="34"/>
      <c r="G39" s="35"/>
      <c r="H39" s="34"/>
      <c r="I39" s="36"/>
      <c r="J39" s="34"/>
      <c r="K39" s="36"/>
      <c r="L39" s="226"/>
      <c r="M39" s="35"/>
      <c r="N39" s="196"/>
      <c r="O39" s="6"/>
      <c r="P39" s="780"/>
      <c r="Q39" s="59" t="s">
        <v>61</v>
      </c>
      <c r="R39" s="83">
        <f t="shared" si="2"/>
        <v>0</v>
      </c>
    </row>
    <row r="40" spans="1:19" ht="15" customHeight="1" x14ac:dyDescent="0.3">
      <c r="A40" s="748" t="s">
        <v>40</v>
      </c>
      <c r="B40" s="160" t="s">
        <v>45</v>
      </c>
      <c r="C40" s="8"/>
      <c r="D40" s="19"/>
      <c r="E40" s="8"/>
      <c r="F40" s="19"/>
      <c r="G40" s="8"/>
      <c r="H40" s="19"/>
      <c r="I40" s="8"/>
      <c r="J40" s="198"/>
      <c r="K40" s="8"/>
      <c r="L40" s="167"/>
      <c r="M40" s="8"/>
      <c r="N40" s="191"/>
      <c r="O40" s="6"/>
      <c r="P40" s="782" t="s">
        <v>40</v>
      </c>
      <c r="Q40" s="102" t="s">
        <v>45</v>
      </c>
      <c r="R40" s="81">
        <f>C40+E40+G40+I40+K40+M40</f>
        <v>0</v>
      </c>
    </row>
    <row r="41" spans="1:19" ht="15" customHeight="1" x14ac:dyDescent="0.3">
      <c r="A41" s="781"/>
      <c r="B41" s="161" t="s">
        <v>42</v>
      </c>
      <c r="C41" s="45"/>
      <c r="D41" s="18"/>
      <c r="E41" s="39"/>
      <c r="F41" s="38"/>
      <c r="G41" s="39"/>
      <c r="H41" s="38"/>
      <c r="I41" s="39"/>
      <c r="J41" s="38"/>
      <c r="K41" s="39"/>
      <c r="L41" s="225"/>
      <c r="M41" s="39"/>
      <c r="N41" s="195"/>
      <c r="O41" s="6"/>
      <c r="P41" s="783"/>
      <c r="Q41" s="103" t="s">
        <v>42</v>
      </c>
      <c r="R41" s="83">
        <f t="shared" si="2"/>
        <v>0</v>
      </c>
    </row>
    <row r="42" spans="1:19" ht="15" customHeight="1" x14ac:dyDescent="0.3">
      <c r="A42" s="784" t="s">
        <v>6</v>
      </c>
      <c r="B42" s="162" t="s">
        <v>44</v>
      </c>
      <c r="C42" s="41"/>
      <c r="D42" s="19"/>
      <c r="E42" s="41"/>
      <c r="F42" s="19"/>
      <c r="G42" s="41"/>
      <c r="H42" s="19"/>
      <c r="I42" s="41"/>
      <c r="J42" s="19"/>
      <c r="K42" s="8"/>
      <c r="L42" s="167"/>
      <c r="M42" s="8"/>
      <c r="N42" s="191"/>
      <c r="O42" s="6"/>
      <c r="P42" s="786" t="s">
        <v>6</v>
      </c>
      <c r="Q42" s="104" t="s">
        <v>44</v>
      </c>
      <c r="R42" s="81">
        <f>C42+E42+G42+I42+K42+M42</f>
        <v>0</v>
      </c>
    </row>
    <row r="43" spans="1:19" ht="15" customHeight="1" x14ac:dyDescent="0.3">
      <c r="A43" s="785"/>
      <c r="B43" s="163" t="s">
        <v>7</v>
      </c>
      <c r="C43" s="42"/>
      <c r="D43" s="18"/>
      <c r="E43" s="42"/>
      <c r="F43" s="18"/>
      <c r="G43" s="42"/>
      <c r="H43" s="18"/>
      <c r="I43" s="42"/>
      <c r="J43" s="18"/>
      <c r="K43" s="7"/>
      <c r="L43" s="168"/>
      <c r="M43" s="7"/>
      <c r="N43" s="192"/>
      <c r="O43" s="6"/>
      <c r="P43" s="787"/>
      <c r="Q43" s="105" t="s">
        <v>7</v>
      </c>
      <c r="R43" s="83">
        <f t="shared" si="2"/>
        <v>0</v>
      </c>
    </row>
    <row r="44" spans="1:19" ht="15" customHeight="1" x14ac:dyDescent="0.3">
      <c r="A44" s="732" t="s">
        <v>52</v>
      </c>
      <c r="B44" s="144" t="s">
        <v>41</v>
      </c>
      <c r="C44" s="28"/>
      <c r="D44" s="19"/>
      <c r="E44" s="8"/>
      <c r="F44" s="19"/>
      <c r="G44" s="8"/>
      <c r="H44" s="19"/>
      <c r="I44" s="8"/>
      <c r="J44" s="19"/>
      <c r="K44" s="8"/>
      <c r="L44" s="167"/>
      <c r="M44" s="8"/>
      <c r="N44" s="191"/>
      <c r="O44" s="6"/>
      <c r="P44" s="774" t="s">
        <v>52</v>
      </c>
      <c r="Q44" s="89" t="s">
        <v>41</v>
      </c>
      <c r="R44" s="81">
        <f>C44+E44+G44+I44+K44+M44</f>
        <v>0</v>
      </c>
    </row>
    <row r="45" spans="1:19" ht="15" customHeight="1" x14ac:dyDescent="0.3">
      <c r="A45" s="733"/>
      <c r="B45" s="144" t="s">
        <v>11</v>
      </c>
      <c r="C45" s="28"/>
      <c r="D45" s="20"/>
      <c r="E45" s="9"/>
      <c r="F45" s="20"/>
      <c r="G45" s="9"/>
      <c r="H45" s="20"/>
      <c r="I45" s="9"/>
      <c r="J45" s="20"/>
      <c r="K45" s="9"/>
      <c r="L45" s="172"/>
      <c r="M45" s="9"/>
      <c r="N45" s="190"/>
      <c r="O45" s="6"/>
      <c r="P45" s="775"/>
      <c r="Q45" s="89" t="s">
        <v>11</v>
      </c>
      <c r="R45" s="82">
        <f t="shared" si="2"/>
        <v>0</v>
      </c>
    </row>
    <row r="46" spans="1:19" ht="15" customHeight="1" x14ac:dyDescent="0.3">
      <c r="A46" s="734"/>
      <c r="B46" s="164" t="s">
        <v>27</v>
      </c>
      <c r="C46" s="28"/>
      <c r="D46" s="20"/>
      <c r="E46" s="10"/>
      <c r="F46" s="21"/>
      <c r="G46" s="10"/>
      <c r="H46" s="21"/>
      <c r="I46" s="10"/>
      <c r="J46" s="21"/>
      <c r="K46" s="10"/>
      <c r="L46" s="169"/>
      <c r="M46" s="10"/>
      <c r="N46" s="193"/>
      <c r="O46" s="6"/>
      <c r="P46" s="776"/>
      <c r="Q46" s="106" t="s">
        <v>27</v>
      </c>
      <c r="R46" s="83">
        <f t="shared" si="2"/>
        <v>0</v>
      </c>
    </row>
    <row r="47" spans="1:19" ht="15" customHeight="1" x14ac:dyDescent="0.3">
      <c r="A47" s="735" t="s">
        <v>30</v>
      </c>
      <c r="B47" s="736"/>
      <c r="C47" s="14"/>
      <c r="D47" s="22"/>
      <c r="E47" s="14"/>
      <c r="F47" s="22"/>
      <c r="G47" s="14"/>
      <c r="H47" s="22"/>
      <c r="I47" s="14"/>
      <c r="J47" s="22"/>
      <c r="K47" s="14"/>
      <c r="L47" s="171"/>
      <c r="M47" s="14"/>
      <c r="N47" s="197"/>
      <c r="O47" s="6"/>
      <c r="P47" s="777" t="s">
        <v>30</v>
      </c>
      <c r="Q47" s="778"/>
      <c r="R47" s="83">
        <f t="shared" si="2"/>
        <v>0</v>
      </c>
    </row>
    <row r="48" spans="1:19" ht="15" customHeight="1" x14ac:dyDescent="0.3">
      <c r="A48" s="737" t="s">
        <v>38</v>
      </c>
      <c r="B48" s="738"/>
      <c r="C48" s="202"/>
      <c r="D48" s="19"/>
      <c r="E48" s="31"/>
      <c r="F48" s="212"/>
      <c r="G48" s="189" t="s">
        <v>82</v>
      </c>
      <c r="H48" s="19" t="s">
        <v>75</v>
      </c>
      <c r="I48" s="203" t="s">
        <v>79</v>
      </c>
      <c r="J48" s="19" t="s">
        <v>76</v>
      </c>
      <c r="K48" s="31"/>
      <c r="L48" s="208"/>
      <c r="M48" s="189"/>
      <c r="N48" s="206"/>
      <c r="O48" s="6"/>
      <c r="P48" s="743" t="s">
        <v>38</v>
      </c>
      <c r="Q48" s="665"/>
      <c r="R48" s="666"/>
    </row>
    <row r="49" spans="1:18" ht="15" customHeight="1" x14ac:dyDescent="0.3">
      <c r="A49" s="739"/>
      <c r="B49" s="740"/>
      <c r="C49" s="29"/>
      <c r="D49" s="187"/>
      <c r="E49" s="32"/>
      <c r="F49" s="187"/>
      <c r="G49" s="214" t="s">
        <v>83</v>
      </c>
      <c r="H49" s="20" t="s">
        <v>75</v>
      </c>
      <c r="I49" s="188" t="s">
        <v>80</v>
      </c>
      <c r="J49" s="20" t="s">
        <v>76</v>
      </c>
      <c r="K49" s="214"/>
      <c r="L49" s="209"/>
      <c r="M49" s="188"/>
      <c r="N49" s="207"/>
      <c r="O49" s="6"/>
      <c r="P49" s="744"/>
      <c r="Q49" s="667"/>
      <c r="R49" s="668"/>
    </row>
    <row r="50" spans="1:18" ht="15" customHeight="1" x14ac:dyDescent="0.3">
      <c r="A50" s="739"/>
      <c r="B50" s="740"/>
      <c r="C50" s="29"/>
      <c r="D50" s="20"/>
      <c r="E50" s="32"/>
      <c r="F50" s="20"/>
      <c r="G50" s="32" t="s">
        <v>70</v>
      </c>
      <c r="H50" s="20" t="s">
        <v>75</v>
      </c>
      <c r="I50" s="188" t="s">
        <v>86</v>
      </c>
      <c r="J50" s="20" t="s">
        <v>76</v>
      </c>
      <c r="K50" s="32"/>
      <c r="L50" s="172"/>
      <c r="M50" s="32"/>
      <c r="N50" s="190"/>
      <c r="O50" s="6"/>
      <c r="P50" s="744"/>
      <c r="Q50" s="667"/>
      <c r="R50" s="668"/>
    </row>
    <row r="51" spans="1:18" ht="15" customHeight="1" x14ac:dyDescent="0.3">
      <c r="A51" s="741"/>
      <c r="B51" s="742"/>
      <c r="C51" s="186"/>
      <c r="D51" s="18"/>
      <c r="E51" s="33"/>
      <c r="F51" s="18"/>
      <c r="G51" s="33" t="s">
        <v>62</v>
      </c>
      <c r="H51" s="18" t="s">
        <v>75</v>
      </c>
      <c r="I51" s="33" t="s">
        <v>84</v>
      </c>
      <c r="J51" s="18" t="s">
        <v>76</v>
      </c>
      <c r="K51" s="33"/>
      <c r="L51" s="168"/>
      <c r="M51" s="33"/>
      <c r="N51" s="192"/>
      <c r="O51" s="6"/>
      <c r="P51" s="745"/>
      <c r="Q51" s="669"/>
      <c r="R51" s="670"/>
    </row>
    <row r="52" spans="1:18" ht="17.25" customHeight="1" x14ac:dyDescent="0.3">
      <c r="A52" s="652" t="str">
        <f>A1</f>
        <v>이나현님 보장분석(후)</v>
      </c>
      <c r="B52" s="653"/>
      <c r="C52" s="688"/>
      <c r="D52" s="695"/>
      <c r="E52" s="688"/>
      <c r="F52" s="695"/>
      <c r="G52" s="688"/>
      <c r="H52" s="695"/>
      <c r="I52" s="688"/>
      <c r="J52" s="695"/>
      <c r="K52" s="688"/>
      <c r="L52" s="695"/>
      <c r="M52" s="688"/>
      <c r="N52" s="689"/>
      <c r="O52" s="138"/>
      <c r="P52" s="650" t="s">
        <v>15</v>
      </c>
      <c r="Q52" s="651"/>
      <c r="R52" s="137">
        <f ca="1">R1</f>
        <v>46140</v>
      </c>
    </row>
    <row r="53" spans="1:18" ht="15" customHeight="1" x14ac:dyDescent="0.3">
      <c r="A53" s="647" t="s">
        <v>49</v>
      </c>
      <c r="B53" s="648"/>
      <c r="C53" s="754"/>
      <c r="D53" s="754"/>
      <c r="E53" s="754"/>
      <c r="F53" s="754"/>
      <c r="G53" s="754"/>
      <c r="H53" s="754"/>
      <c r="I53" s="754"/>
      <c r="J53" s="754"/>
      <c r="K53" s="754"/>
      <c r="L53" s="754"/>
      <c r="M53" s="754"/>
      <c r="N53" s="755"/>
      <c r="O53" s="25"/>
      <c r="P53" s="654"/>
      <c r="Q53" s="655"/>
      <c r="R53" s="656"/>
    </row>
    <row r="54" spans="1:18" ht="15" customHeight="1" x14ac:dyDescent="0.3">
      <c r="A54" s="637" t="s">
        <v>28</v>
      </c>
      <c r="B54" s="638"/>
      <c r="C54" s="756"/>
      <c r="D54" s="756"/>
      <c r="E54" s="756"/>
      <c r="F54" s="756"/>
      <c r="G54" s="756"/>
      <c r="H54" s="756"/>
      <c r="I54" s="756"/>
      <c r="J54" s="756"/>
      <c r="K54" s="756"/>
      <c r="L54" s="756"/>
      <c r="M54" s="788"/>
      <c r="N54" s="789"/>
      <c r="O54" s="25"/>
      <c r="P54" s="657"/>
      <c r="Q54" s="658"/>
      <c r="R54" s="659"/>
    </row>
    <row r="55" spans="1:18" ht="15" customHeight="1" x14ac:dyDescent="0.3">
      <c r="A55" s="647" t="s">
        <v>17</v>
      </c>
      <c r="B55" s="648"/>
      <c r="C55" s="756"/>
      <c r="D55" s="756"/>
      <c r="E55" s="756"/>
      <c r="F55" s="754"/>
      <c r="G55" s="756"/>
      <c r="H55" s="754"/>
      <c r="I55" s="756"/>
      <c r="J55" s="754"/>
      <c r="K55" s="756"/>
      <c r="L55" s="754"/>
      <c r="M55" s="756"/>
      <c r="N55" s="755"/>
      <c r="O55" s="25"/>
      <c r="P55" s="657"/>
      <c r="Q55" s="658"/>
      <c r="R55" s="659"/>
    </row>
    <row r="56" spans="1:18" ht="15" customHeight="1" x14ac:dyDescent="0.3">
      <c r="A56" s="647" t="s">
        <v>23</v>
      </c>
      <c r="B56" s="648"/>
      <c r="C56" s="61"/>
      <c r="D56" s="62">
        <f ca="1">IF(DATEDIF(C55,$R$1,"m")&lt;C56*12,DATEDIF(C55,$R$1,"m"),C56*12)</f>
        <v>0</v>
      </c>
      <c r="E56" s="61"/>
      <c r="F56" s="62">
        <f ca="1">IF(DATEDIF(E55,$R$1,"m")&lt;E56*12,DATEDIF(E55,$R$1,"m"),E56*12)</f>
        <v>0</v>
      </c>
      <c r="G56" s="61"/>
      <c r="H56" s="62">
        <f ca="1">IF(DATEDIF(G55,$R$1,"m")&lt;G56*12,DATEDIF(G55,$R$1,"m"),G56*12)</f>
        <v>0</v>
      </c>
      <c r="I56" s="61"/>
      <c r="J56" s="62">
        <f ca="1">IF(DATEDIF(I55,$R$1,"m")&lt;I56*12,DATEDIF(I55,$R$1,"m"),I56*12)</f>
        <v>0</v>
      </c>
      <c r="K56" s="61"/>
      <c r="L56" s="62">
        <f ca="1">IF(DATEDIF(K55,$R$1,"m")&lt;K56*12,DATEDIF(K55,$R$1,"m"),K56*12)</f>
        <v>0</v>
      </c>
      <c r="M56" s="61"/>
      <c r="N56" s="65">
        <f ca="1">IF(DATEDIF(M55,$R$1,"m")&lt;M56*12,DATEDIF(M55,$R$1,"m"),M56*12)</f>
        <v>0</v>
      </c>
      <c r="O56" s="25"/>
      <c r="P56" s="657"/>
      <c r="Q56" s="658"/>
      <c r="R56" s="659"/>
    </row>
    <row r="57" spans="1:18" ht="15" customHeight="1" x14ac:dyDescent="0.3">
      <c r="A57" s="647" t="s">
        <v>2</v>
      </c>
      <c r="B57" s="648"/>
      <c r="C57" s="696"/>
      <c r="D57" s="696"/>
      <c r="E57" s="696"/>
      <c r="F57" s="696"/>
      <c r="G57" s="696"/>
      <c r="H57" s="696"/>
      <c r="I57" s="696"/>
      <c r="J57" s="696"/>
      <c r="K57" s="696"/>
      <c r="L57" s="696"/>
      <c r="M57" s="696"/>
      <c r="N57" s="717"/>
      <c r="O57" s="25"/>
      <c r="P57" s="660"/>
      <c r="Q57" s="661"/>
      <c r="R57" s="662"/>
    </row>
    <row r="58" spans="1:18" ht="15" customHeight="1" x14ac:dyDescent="0.3">
      <c r="A58" s="632" t="s">
        <v>37</v>
      </c>
      <c r="B58" s="633"/>
      <c r="C58" s="757"/>
      <c r="D58" s="758"/>
      <c r="E58" s="757"/>
      <c r="F58" s="758"/>
      <c r="G58" s="757"/>
      <c r="H58" s="758"/>
      <c r="I58" s="757"/>
      <c r="J58" s="758"/>
      <c r="K58" s="757"/>
      <c r="L58" s="758"/>
      <c r="M58" s="757"/>
      <c r="N58" s="759"/>
      <c r="O58" s="25"/>
      <c r="P58" s="643"/>
      <c r="Q58" s="644"/>
      <c r="R58" s="27" t="s">
        <v>91</v>
      </c>
    </row>
    <row r="59" spans="1:18" ht="15" customHeight="1" x14ac:dyDescent="0.3">
      <c r="A59" s="639" t="s">
        <v>12</v>
      </c>
      <c r="B59" s="640"/>
      <c r="C59" s="705"/>
      <c r="D59" s="705"/>
      <c r="E59" s="705"/>
      <c r="F59" s="705"/>
      <c r="G59" s="705"/>
      <c r="H59" s="705"/>
      <c r="I59" s="705"/>
      <c r="J59" s="705"/>
      <c r="K59" s="705"/>
      <c r="L59" s="705"/>
      <c r="M59" s="705"/>
      <c r="N59" s="720"/>
      <c r="O59" s="26"/>
      <c r="P59" s="635" t="s">
        <v>34</v>
      </c>
      <c r="Q59" s="636"/>
      <c r="R59" s="60">
        <f>R8+C59+E59+G59+I59+K59+M59</f>
        <v>122590</v>
      </c>
    </row>
    <row r="60" spans="1:18" ht="15" customHeight="1" x14ac:dyDescent="0.3">
      <c r="A60" s="637" t="s">
        <v>3</v>
      </c>
      <c r="B60" s="638"/>
      <c r="C60" s="709">
        <f>C59*C56*12</f>
        <v>0</v>
      </c>
      <c r="D60" s="711"/>
      <c r="E60" s="709">
        <f>E59*E56*12</f>
        <v>0</v>
      </c>
      <c r="F60" s="711"/>
      <c r="G60" s="709">
        <f>G59*G56*12</f>
        <v>0</v>
      </c>
      <c r="H60" s="711"/>
      <c r="I60" s="709">
        <f>I59*I56*12</f>
        <v>0</v>
      </c>
      <c r="J60" s="711"/>
      <c r="K60" s="709">
        <f>K59*K56*12</f>
        <v>0</v>
      </c>
      <c r="L60" s="711"/>
      <c r="M60" s="709">
        <f>M59*M56*12</f>
        <v>0</v>
      </c>
      <c r="N60" s="710"/>
      <c r="O60" s="26"/>
      <c r="P60" s="635" t="s">
        <v>33</v>
      </c>
      <c r="Q60" s="636"/>
      <c r="R60" s="51">
        <f t="shared" ref="R60:R98" si="3">R9+C60+E60+G60+I60+K60+M60</f>
        <v>33718224</v>
      </c>
    </row>
    <row r="61" spans="1:18" ht="15" customHeight="1" x14ac:dyDescent="0.3">
      <c r="A61" s="637" t="s">
        <v>4</v>
      </c>
      <c r="B61" s="638"/>
      <c r="C61" s="709">
        <f ca="1">C59*D56</f>
        <v>0</v>
      </c>
      <c r="D61" s="711"/>
      <c r="E61" s="709">
        <f ca="1">E59*F56</f>
        <v>0</v>
      </c>
      <c r="F61" s="711"/>
      <c r="G61" s="709">
        <f ca="1">G59*H56</f>
        <v>0</v>
      </c>
      <c r="H61" s="711"/>
      <c r="I61" s="709">
        <f ca="1">I59*J56</f>
        <v>0</v>
      </c>
      <c r="J61" s="711"/>
      <c r="K61" s="709">
        <f ca="1">K59*L56</f>
        <v>0</v>
      </c>
      <c r="L61" s="711"/>
      <c r="M61" s="709">
        <f ca="1">M59*N56</f>
        <v>0</v>
      </c>
      <c r="N61" s="710"/>
      <c r="O61" s="26"/>
      <c r="P61" s="635" t="s">
        <v>31</v>
      </c>
      <c r="Q61" s="636"/>
      <c r="R61" s="51">
        <f t="shared" ca="1" si="3"/>
        <v>7263112</v>
      </c>
    </row>
    <row r="62" spans="1:18" ht="15" customHeight="1" x14ac:dyDescent="0.3">
      <c r="A62" s="632" t="s">
        <v>18</v>
      </c>
      <c r="B62" s="633"/>
      <c r="C62" s="709">
        <f ca="1">C60-C61</f>
        <v>0</v>
      </c>
      <c r="D62" s="711"/>
      <c r="E62" s="709">
        <f ca="1">E60-E61</f>
        <v>0</v>
      </c>
      <c r="F62" s="711"/>
      <c r="G62" s="709">
        <f ca="1">G60-G61</f>
        <v>0</v>
      </c>
      <c r="H62" s="711"/>
      <c r="I62" s="709">
        <f ca="1">I60-I61</f>
        <v>0</v>
      </c>
      <c r="J62" s="711"/>
      <c r="K62" s="709">
        <f ca="1">K60-K61</f>
        <v>0</v>
      </c>
      <c r="L62" s="711"/>
      <c r="M62" s="709">
        <f ca="1">M60-M61</f>
        <v>0</v>
      </c>
      <c r="N62" s="710"/>
      <c r="O62" s="26"/>
      <c r="P62" s="619" t="s">
        <v>35</v>
      </c>
      <c r="Q62" s="620"/>
      <c r="R62" s="52">
        <f t="shared" ca="1" si="3"/>
        <v>26455112</v>
      </c>
    </row>
    <row r="63" spans="1:18" ht="15" customHeight="1" x14ac:dyDescent="0.3">
      <c r="A63" s="768" t="s">
        <v>1</v>
      </c>
      <c r="B63" s="139" t="s">
        <v>58</v>
      </c>
      <c r="C63" s="41"/>
      <c r="D63" s="19"/>
      <c r="E63" s="8"/>
      <c r="F63" s="19"/>
      <c r="G63" s="8"/>
      <c r="H63" s="19"/>
      <c r="I63" s="8"/>
      <c r="J63" s="19"/>
      <c r="K63" s="8"/>
      <c r="L63" s="167"/>
      <c r="M63" s="8"/>
      <c r="N63" s="66"/>
      <c r="O63" s="6"/>
      <c r="P63" s="769" t="s">
        <v>26</v>
      </c>
      <c r="Q63" s="109" t="s">
        <v>58</v>
      </c>
      <c r="R63" s="182">
        <f t="shared" si="3"/>
        <v>50000000</v>
      </c>
    </row>
    <row r="64" spans="1:18" ht="15" customHeight="1" x14ac:dyDescent="0.3">
      <c r="A64" s="730"/>
      <c r="B64" s="140" t="s">
        <v>59</v>
      </c>
      <c r="C64" s="28"/>
      <c r="D64" s="20"/>
      <c r="E64" s="9"/>
      <c r="F64" s="20"/>
      <c r="G64" s="9"/>
      <c r="H64" s="20"/>
      <c r="I64" s="9"/>
      <c r="J64" s="20"/>
      <c r="K64" s="9"/>
      <c r="L64" s="172"/>
      <c r="M64" s="9"/>
      <c r="N64" s="67"/>
      <c r="O64" s="6"/>
      <c r="P64" s="770"/>
      <c r="Q64" s="110" t="s">
        <v>59</v>
      </c>
      <c r="R64" s="183">
        <f t="shared" si="3"/>
        <v>200000</v>
      </c>
    </row>
    <row r="65" spans="1:18" ht="15" customHeight="1" x14ac:dyDescent="0.3">
      <c r="A65" s="730"/>
      <c r="B65" s="140" t="s">
        <v>88</v>
      </c>
      <c r="C65" s="28"/>
      <c r="D65" s="20"/>
      <c r="E65" s="28"/>
      <c r="F65" s="20"/>
      <c r="G65" s="9"/>
      <c r="H65" s="20"/>
      <c r="I65" s="9"/>
      <c r="J65" s="20"/>
      <c r="K65" s="9"/>
      <c r="L65" s="172"/>
      <c r="M65" s="9"/>
      <c r="N65" s="67"/>
      <c r="O65" s="6"/>
      <c r="P65" s="770"/>
      <c r="Q65" s="110" t="s">
        <v>88</v>
      </c>
      <c r="R65" s="183">
        <f t="shared" si="3"/>
        <v>50000000</v>
      </c>
    </row>
    <row r="66" spans="1:18" ht="15" customHeight="1" x14ac:dyDescent="0.3">
      <c r="A66" s="730"/>
      <c r="B66" s="140" t="s">
        <v>94</v>
      </c>
      <c r="C66" s="28"/>
      <c r="D66" s="20"/>
      <c r="E66" s="28"/>
      <c r="F66" s="20"/>
      <c r="G66" s="9"/>
      <c r="H66" s="20"/>
      <c r="I66" s="9"/>
      <c r="J66" s="20"/>
      <c r="K66" s="9"/>
      <c r="L66" s="172"/>
      <c r="M66" s="9"/>
      <c r="N66" s="67"/>
      <c r="O66" s="6"/>
      <c r="P66" s="770"/>
      <c r="Q66" s="110" t="s">
        <v>94</v>
      </c>
      <c r="R66" s="183">
        <f t="shared" si="3"/>
        <v>200000</v>
      </c>
    </row>
    <row r="67" spans="1:18" ht="15" customHeight="1" x14ac:dyDescent="0.3">
      <c r="A67" s="731"/>
      <c r="B67" s="141" t="s">
        <v>89</v>
      </c>
      <c r="C67" s="42"/>
      <c r="D67" s="18"/>
      <c r="E67" s="42"/>
      <c r="F67" s="18"/>
      <c r="G67" s="7"/>
      <c r="H67" s="18"/>
      <c r="I67" s="7"/>
      <c r="J67" s="18"/>
      <c r="K67" s="7"/>
      <c r="L67" s="168"/>
      <c r="M67" s="7"/>
      <c r="N67" s="68"/>
      <c r="O67" s="6"/>
      <c r="P67" s="771"/>
      <c r="Q67" s="111" t="s">
        <v>89</v>
      </c>
      <c r="R67" s="184">
        <f t="shared" si="3"/>
        <v>3500000</v>
      </c>
    </row>
    <row r="68" spans="1:18" ht="15" customHeight="1" x14ac:dyDescent="0.3">
      <c r="A68" s="626" t="s">
        <v>50</v>
      </c>
      <c r="B68" s="142" t="s">
        <v>55</v>
      </c>
      <c r="C68" s="8"/>
      <c r="D68" s="19"/>
      <c r="E68" s="8"/>
      <c r="F68" s="19"/>
      <c r="G68" s="8"/>
      <c r="H68" s="11"/>
      <c r="I68" s="8"/>
      <c r="J68" s="19"/>
      <c r="K68" s="8"/>
      <c r="L68" s="167"/>
      <c r="M68" s="8"/>
      <c r="N68" s="66"/>
      <c r="O68" s="6"/>
      <c r="P68" s="772" t="str">
        <f>A68</f>
        <v>암</v>
      </c>
      <c r="Q68" s="112" t="s">
        <v>55</v>
      </c>
      <c r="R68" s="182">
        <f t="shared" si="3"/>
        <v>50000000</v>
      </c>
    </row>
    <row r="69" spans="1:18" ht="15" customHeight="1" x14ac:dyDescent="0.3">
      <c r="A69" s="627"/>
      <c r="B69" s="143" t="s">
        <v>46</v>
      </c>
      <c r="C69" s="43"/>
      <c r="D69" s="21"/>
      <c r="E69" s="9"/>
      <c r="F69" s="21"/>
      <c r="G69" s="9"/>
      <c r="H69" s="13"/>
      <c r="I69" s="9"/>
      <c r="J69" s="21"/>
      <c r="K69" s="10"/>
      <c r="L69" s="169"/>
      <c r="M69" s="10"/>
      <c r="N69" s="69"/>
      <c r="O69" s="6"/>
      <c r="P69" s="773"/>
      <c r="Q69" s="113" t="s">
        <v>46</v>
      </c>
      <c r="R69" s="183">
        <f t="shared" si="3"/>
        <v>20000000</v>
      </c>
    </row>
    <row r="70" spans="1:18" ht="15" customHeight="1" x14ac:dyDescent="0.3">
      <c r="A70" s="627"/>
      <c r="B70" s="143" t="s">
        <v>9</v>
      </c>
      <c r="C70" s="43"/>
      <c r="D70" s="21"/>
      <c r="E70" s="10"/>
      <c r="F70" s="21"/>
      <c r="G70" s="9"/>
      <c r="H70" s="13"/>
      <c r="I70" s="10"/>
      <c r="J70" s="21"/>
      <c r="K70" s="10"/>
      <c r="L70" s="169"/>
      <c r="M70" s="10"/>
      <c r="N70" s="69"/>
      <c r="O70" s="6"/>
      <c r="P70" s="773"/>
      <c r="Q70" s="113" t="s">
        <v>9</v>
      </c>
      <c r="R70" s="183">
        <f t="shared" si="3"/>
        <v>0</v>
      </c>
    </row>
    <row r="71" spans="1:18" ht="15" customHeight="1" x14ac:dyDescent="0.3">
      <c r="A71" s="627"/>
      <c r="B71" s="143" t="s">
        <v>10</v>
      </c>
      <c r="C71" s="43"/>
      <c r="D71" s="21"/>
      <c r="E71" s="9"/>
      <c r="F71" s="21"/>
      <c r="G71" s="10"/>
      <c r="H71" s="13"/>
      <c r="I71" s="43"/>
      <c r="J71" s="21"/>
      <c r="K71" s="10"/>
      <c r="L71" s="169"/>
      <c r="M71" s="10"/>
      <c r="N71" s="69"/>
      <c r="O71" s="6"/>
      <c r="P71" s="773"/>
      <c r="Q71" s="113" t="s">
        <v>10</v>
      </c>
      <c r="R71" s="183">
        <f t="shared" si="3"/>
        <v>0</v>
      </c>
    </row>
    <row r="72" spans="1:18" ht="15" customHeight="1" x14ac:dyDescent="0.3">
      <c r="A72" s="627"/>
      <c r="B72" s="144" t="s">
        <v>20</v>
      </c>
      <c r="C72" s="42"/>
      <c r="D72" s="18"/>
      <c r="E72" s="7"/>
      <c r="F72" s="21"/>
      <c r="G72" s="7"/>
      <c r="H72" s="13"/>
      <c r="I72" s="7"/>
      <c r="J72" s="21"/>
      <c r="K72" s="10"/>
      <c r="L72" s="169"/>
      <c r="M72" s="10"/>
      <c r="N72" s="69"/>
      <c r="O72" s="6"/>
      <c r="P72" s="773"/>
      <c r="Q72" s="114" t="s">
        <v>20</v>
      </c>
      <c r="R72" s="184">
        <f t="shared" si="3"/>
        <v>0</v>
      </c>
    </row>
    <row r="73" spans="1:18" ht="15" customHeight="1" x14ac:dyDescent="0.3">
      <c r="A73" s="721" t="s">
        <v>19</v>
      </c>
      <c r="B73" s="145" t="s">
        <v>51</v>
      </c>
      <c r="C73" s="9"/>
      <c r="D73" s="19"/>
      <c r="E73" s="9"/>
      <c r="F73" s="19"/>
      <c r="G73" s="9"/>
      <c r="H73" s="11"/>
      <c r="I73" s="8"/>
      <c r="J73" s="19"/>
      <c r="K73" s="8"/>
      <c r="L73" s="167"/>
      <c r="M73" s="8"/>
      <c r="N73" s="66"/>
      <c r="O73" s="6"/>
      <c r="P73" s="760" t="str">
        <f>A73</f>
        <v>2대
질병</v>
      </c>
      <c r="Q73" s="115" t="s">
        <v>51</v>
      </c>
      <c r="R73" s="182">
        <f t="shared" si="3"/>
        <v>20000000</v>
      </c>
    </row>
    <row r="74" spans="1:18" ht="15" customHeight="1" x14ac:dyDescent="0.3">
      <c r="A74" s="722"/>
      <c r="B74" s="146" t="s">
        <v>43</v>
      </c>
      <c r="C74" s="9"/>
      <c r="D74" s="21"/>
      <c r="E74" s="10"/>
      <c r="F74" s="21"/>
      <c r="G74" s="9"/>
      <c r="H74" s="13"/>
      <c r="I74" s="10"/>
      <c r="J74" s="204"/>
      <c r="K74" s="9"/>
      <c r="L74" s="169"/>
      <c r="M74" s="10"/>
      <c r="N74" s="69"/>
      <c r="O74" s="6"/>
      <c r="P74" s="761"/>
      <c r="Q74" s="116" t="s">
        <v>43</v>
      </c>
      <c r="R74" s="183">
        <f t="shared" si="3"/>
        <v>0</v>
      </c>
    </row>
    <row r="75" spans="1:18" ht="15" customHeight="1" x14ac:dyDescent="0.3">
      <c r="A75" s="722"/>
      <c r="B75" s="147" t="s">
        <v>53</v>
      </c>
      <c r="C75" s="36"/>
      <c r="D75" s="199"/>
      <c r="E75" s="36"/>
      <c r="F75" s="47"/>
      <c r="G75" s="36"/>
      <c r="H75" s="48"/>
      <c r="I75" s="36"/>
      <c r="J75" s="199"/>
      <c r="K75" s="36"/>
      <c r="L75" s="170"/>
      <c r="M75" s="36"/>
      <c r="N75" s="70"/>
      <c r="O75" s="6"/>
      <c r="P75" s="761"/>
      <c r="Q75" s="117" t="s">
        <v>53</v>
      </c>
      <c r="R75" s="184">
        <f t="shared" si="3"/>
        <v>0</v>
      </c>
    </row>
    <row r="76" spans="1:18" ht="15" customHeight="1" x14ac:dyDescent="0.3">
      <c r="A76" s="722"/>
      <c r="B76" s="148" t="s">
        <v>65</v>
      </c>
      <c r="C76" s="8"/>
      <c r="D76" s="19"/>
      <c r="E76" s="8"/>
      <c r="F76" s="19"/>
      <c r="G76" s="8"/>
      <c r="H76" s="11"/>
      <c r="I76" s="8"/>
      <c r="J76" s="19"/>
      <c r="K76" s="8"/>
      <c r="L76" s="167"/>
      <c r="M76" s="8"/>
      <c r="N76" s="66"/>
      <c r="O76" s="6"/>
      <c r="P76" s="761"/>
      <c r="Q76" s="118" t="s">
        <v>65</v>
      </c>
      <c r="R76" s="182">
        <f t="shared" si="3"/>
        <v>10000000</v>
      </c>
    </row>
    <row r="77" spans="1:18" ht="15" customHeight="1" x14ac:dyDescent="0.3">
      <c r="A77" s="722"/>
      <c r="B77" s="149" t="s">
        <v>8</v>
      </c>
      <c r="C77" s="9"/>
      <c r="D77" s="21"/>
      <c r="E77" s="9"/>
      <c r="F77" s="21"/>
      <c r="G77" s="9"/>
      <c r="H77" s="13"/>
      <c r="I77" s="9"/>
      <c r="J77" s="20"/>
      <c r="K77" s="9"/>
      <c r="L77" s="169"/>
      <c r="M77" s="10"/>
      <c r="N77" s="69"/>
      <c r="O77" s="6"/>
      <c r="P77" s="761"/>
      <c r="Q77" s="119" t="s">
        <v>8</v>
      </c>
      <c r="R77" s="183">
        <f t="shared" si="3"/>
        <v>10000000</v>
      </c>
    </row>
    <row r="78" spans="1:18" ht="15" customHeight="1" x14ac:dyDescent="0.3">
      <c r="A78" s="722"/>
      <c r="B78" s="165" t="s">
        <v>5</v>
      </c>
      <c r="C78" s="7"/>
      <c r="D78" s="200"/>
      <c r="E78" s="36"/>
      <c r="F78" s="47"/>
      <c r="G78" s="36"/>
      <c r="H78" s="48"/>
      <c r="I78" s="36"/>
      <c r="J78" s="199"/>
      <c r="K78" s="35"/>
      <c r="L78" s="170"/>
      <c r="M78" s="35"/>
      <c r="N78" s="70"/>
      <c r="O78" s="6"/>
      <c r="P78" s="761"/>
      <c r="Q78" s="120" t="s">
        <v>5</v>
      </c>
      <c r="R78" s="184">
        <f t="shared" si="3"/>
        <v>0</v>
      </c>
    </row>
    <row r="79" spans="1:18" ht="15" customHeight="1" x14ac:dyDescent="0.3">
      <c r="A79" s="722"/>
      <c r="B79" s="166" t="s">
        <v>32</v>
      </c>
      <c r="C79" s="53"/>
      <c r="D79" s="22"/>
      <c r="E79" s="14"/>
      <c r="F79" s="22"/>
      <c r="G79" s="14"/>
      <c r="H79" s="15"/>
      <c r="I79" s="14"/>
      <c r="J79" s="211"/>
      <c r="K79" s="14"/>
      <c r="L79" s="171"/>
      <c r="M79" s="14"/>
      <c r="N79" s="71"/>
      <c r="O79" s="6"/>
      <c r="P79" s="761"/>
      <c r="Q79" s="121" t="s">
        <v>32</v>
      </c>
      <c r="R79" s="108">
        <f t="shared" si="3"/>
        <v>10000000</v>
      </c>
    </row>
    <row r="80" spans="1:18" ht="15" customHeight="1" x14ac:dyDescent="0.3">
      <c r="A80" s="723" t="s">
        <v>16</v>
      </c>
      <c r="B80" s="152" t="s">
        <v>36</v>
      </c>
      <c r="C80" s="41"/>
      <c r="D80" s="19"/>
      <c r="E80" s="8"/>
      <c r="F80" s="19"/>
      <c r="G80" s="8"/>
      <c r="H80" s="19"/>
      <c r="I80" s="8"/>
      <c r="J80" s="19"/>
      <c r="K80" s="8"/>
      <c r="L80" s="167"/>
      <c r="M80" s="8"/>
      <c r="N80" s="66"/>
      <c r="O80" s="6"/>
      <c r="P80" s="762" t="str">
        <f>A80</f>
        <v>후유장해</v>
      </c>
      <c r="Q80" s="122" t="s">
        <v>36</v>
      </c>
      <c r="R80" s="182">
        <f t="shared" si="3"/>
        <v>20000000</v>
      </c>
    </row>
    <row r="81" spans="1:18" ht="15" customHeight="1" x14ac:dyDescent="0.3">
      <c r="A81" s="724"/>
      <c r="B81" s="153" t="s">
        <v>29</v>
      </c>
      <c r="C81" s="28"/>
      <c r="D81" s="20"/>
      <c r="E81" s="9"/>
      <c r="F81" s="21"/>
      <c r="G81" s="9"/>
      <c r="H81" s="20"/>
      <c r="I81" s="9"/>
      <c r="J81" s="20"/>
      <c r="K81" s="9"/>
      <c r="L81" s="172"/>
      <c r="M81" s="9"/>
      <c r="N81" s="67"/>
      <c r="O81" s="6"/>
      <c r="P81" s="763"/>
      <c r="Q81" s="123" t="s">
        <v>29</v>
      </c>
      <c r="R81" s="183">
        <f t="shared" si="3"/>
        <v>20000000</v>
      </c>
    </row>
    <row r="82" spans="1:18" ht="15" customHeight="1" x14ac:dyDescent="0.3">
      <c r="A82" s="724"/>
      <c r="B82" s="153" t="s">
        <v>25</v>
      </c>
      <c r="C82" s="28"/>
      <c r="D82" s="20"/>
      <c r="E82" s="9"/>
      <c r="G82" s="9"/>
      <c r="H82" s="20"/>
      <c r="I82" s="9"/>
      <c r="J82" s="20"/>
      <c r="K82" s="9"/>
      <c r="L82" s="172"/>
      <c r="M82" s="9"/>
      <c r="N82" s="67"/>
      <c r="O82" s="6"/>
      <c r="P82" s="763"/>
      <c r="Q82" s="123" t="s">
        <v>25</v>
      </c>
      <c r="R82" s="183">
        <f t="shared" si="3"/>
        <v>20000000</v>
      </c>
    </row>
    <row r="83" spans="1:18" ht="15" customHeight="1" x14ac:dyDescent="0.3">
      <c r="A83" s="725"/>
      <c r="B83" s="154" t="s">
        <v>24</v>
      </c>
      <c r="C83" s="42"/>
      <c r="D83" s="18"/>
      <c r="E83" s="7"/>
      <c r="F83" s="18"/>
      <c r="G83" s="9"/>
      <c r="H83" s="18"/>
      <c r="I83" s="7"/>
      <c r="J83" s="18"/>
      <c r="K83" s="7"/>
      <c r="L83" s="168"/>
      <c r="M83" s="7"/>
      <c r="N83" s="68"/>
      <c r="O83" s="6"/>
      <c r="P83" s="764"/>
      <c r="Q83" s="124" t="s">
        <v>24</v>
      </c>
      <c r="R83" s="184">
        <f t="shared" si="3"/>
        <v>20000000</v>
      </c>
    </row>
    <row r="84" spans="1:18" ht="15" customHeight="1" x14ac:dyDescent="0.3">
      <c r="A84" s="726" t="s">
        <v>47</v>
      </c>
      <c r="B84" s="155" t="s">
        <v>48</v>
      </c>
      <c r="C84" s="41"/>
      <c r="D84" s="19"/>
      <c r="E84" s="10"/>
      <c r="F84" s="19"/>
      <c r="G84" s="8"/>
      <c r="H84" s="19"/>
      <c r="I84" s="8"/>
      <c r="J84" s="19"/>
      <c r="K84" s="8"/>
      <c r="L84" s="173"/>
      <c r="M84" s="10"/>
      <c r="N84" s="69"/>
      <c r="O84" s="6"/>
      <c r="P84" s="765" t="s">
        <v>47</v>
      </c>
      <c r="Q84" s="125" t="s">
        <v>48</v>
      </c>
      <c r="R84" s="182">
        <f t="shared" si="3"/>
        <v>0</v>
      </c>
    </row>
    <row r="85" spans="1:18" ht="15" customHeight="1" x14ac:dyDescent="0.3">
      <c r="A85" s="727"/>
      <c r="B85" s="156" t="s">
        <v>44</v>
      </c>
      <c r="C85" s="28"/>
      <c r="D85" s="20"/>
      <c r="E85" s="9"/>
      <c r="F85" s="20"/>
      <c r="G85" s="9"/>
      <c r="H85" s="12"/>
      <c r="I85" s="9"/>
      <c r="J85" s="20"/>
      <c r="K85" s="9"/>
      <c r="L85" s="174"/>
      <c r="M85" s="9"/>
      <c r="N85" s="67"/>
      <c r="O85" s="6"/>
      <c r="P85" s="766"/>
      <c r="Q85" s="126" t="s">
        <v>44</v>
      </c>
      <c r="R85" s="183">
        <f t="shared" si="3"/>
        <v>0</v>
      </c>
    </row>
    <row r="86" spans="1:18" ht="15" customHeight="1" x14ac:dyDescent="0.3">
      <c r="A86" s="728"/>
      <c r="B86" s="157" t="s">
        <v>7</v>
      </c>
      <c r="C86" s="43"/>
      <c r="D86" s="21"/>
      <c r="E86" s="7"/>
      <c r="F86" s="18"/>
      <c r="G86" s="7"/>
      <c r="H86" s="24"/>
      <c r="I86" s="7"/>
      <c r="J86" s="18"/>
      <c r="K86" s="7"/>
      <c r="L86" s="168"/>
      <c r="M86" s="7"/>
      <c r="N86" s="68"/>
      <c r="O86" s="6"/>
      <c r="P86" s="767"/>
      <c r="Q86" s="127" t="s">
        <v>54</v>
      </c>
      <c r="R86" s="184">
        <f t="shared" si="3"/>
        <v>30000000</v>
      </c>
    </row>
    <row r="87" spans="1:18" ht="15" customHeight="1" x14ac:dyDescent="0.3">
      <c r="A87" s="746" t="s">
        <v>39</v>
      </c>
      <c r="B87" s="158" t="s">
        <v>44</v>
      </c>
      <c r="C87" s="41"/>
      <c r="D87" s="19"/>
      <c r="E87" s="8"/>
      <c r="F87" s="19"/>
      <c r="G87" s="8"/>
      <c r="H87" s="19"/>
      <c r="I87" s="8"/>
      <c r="J87" s="19"/>
      <c r="K87" s="8"/>
      <c r="L87" s="167"/>
      <c r="M87" s="8"/>
      <c r="N87" s="66"/>
      <c r="O87" s="6"/>
      <c r="P87" s="779" t="s">
        <v>39</v>
      </c>
      <c r="Q87" s="128" t="s">
        <v>44</v>
      </c>
      <c r="R87" s="182">
        <f t="shared" si="3"/>
        <v>400000</v>
      </c>
    </row>
    <row r="88" spans="1:18" ht="15" customHeight="1" x14ac:dyDescent="0.3">
      <c r="A88" s="747"/>
      <c r="B88" s="158" t="s">
        <v>54</v>
      </c>
      <c r="C88" s="28"/>
      <c r="D88" s="20"/>
      <c r="E88" s="9"/>
      <c r="F88" s="21"/>
      <c r="G88" s="9"/>
      <c r="H88" s="20"/>
      <c r="I88" s="9"/>
      <c r="J88" s="20"/>
      <c r="K88" s="9"/>
      <c r="L88" s="172"/>
      <c r="M88" s="9"/>
      <c r="N88" s="67"/>
      <c r="O88" s="6"/>
      <c r="P88" s="780"/>
      <c r="Q88" s="129" t="s">
        <v>54</v>
      </c>
      <c r="R88" s="183">
        <f t="shared" si="3"/>
        <v>10000000</v>
      </c>
    </row>
    <row r="89" spans="1:18" ht="15" customHeight="1" x14ac:dyDescent="0.3">
      <c r="A89" s="747"/>
      <c r="B89" s="158" t="s">
        <v>68</v>
      </c>
      <c r="C89" s="28"/>
      <c r="D89" s="20"/>
      <c r="E89" s="9"/>
      <c r="F89" s="21"/>
      <c r="G89" s="9"/>
      <c r="H89" s="13"/>
      <c r="I89" s="10"/>
      <c r="J89" s="21"/>
      <c r="K89" s="10"/>
      <c r="L89" s="175"/>
      <c r="M89" s="23"/>
      <c r="N89" s="69"/>
      <c r="O89" s="6"/>
      <c r="P89" s="780"/>
      <c r="Q89" s="129" t="s">
        <v>68</v>
      </c>
      <c r="R89" s="183">
        <f t="shared" si="3"/>
        <v>2000000</v>
      </c>
    </row>
    <row r="90" spans="1:18" ht="15" customHeight="1" x14ac:dyDescent="0.3">
      <c r="A90" s="747"/>
      <c r="B90" s="159" t="s">
        <v>61</v>
      </c>
      <c r="C90" s="44"/>
      <c r="D90" s="34"/>
      <c r="E90" s="35"/>
      <c r="F90" s="34"/>
      <c r="G90" s="35"/>
      <c r="H90" s="37"/>
      <c r="I90" s="36"/>
      <c r="J90" s="34"/>
      <c r="K90" s="36"/>
      <c r="L90" s="176"/>
      <c r="M90" s="35"/>
      <c r="N90" s="72"/>
      <c r="O90" s="6"/>
      <c r="P90" s="780"/>
      <c r="Q90" s="130" t="s">
        <v>61</v>
      </c>
      <c r="R90" s="184">
        <f t="shared" si="3"/>
        <v>0</v>
      </c>
    </row>
    <row r="91" spans="1:18" ht="15" customHeight="1" x14ac:dyDescent="0.3">
      <c r="A91" s="748" t="s">
        <v>40</v>
      </c>
      <c r="B91" s="160" t="s">
        <v>45</v>
      </c>
      <c r="C91" s="8"/>
      <c r="D91" s="19"/>
      <c r="E91" s="8"/>
      <c r="F91" s="19"/>
      <c r="G91" s="8"/>
      <c r="H91" s="19"/>
      <c r="I91" s="8"/>
      <c r="J91" s="11"/>
      <c r="K91" s="8"/>
      <c r="L91" s="167"/>
      <c r="M91" s="8"/>
      <c r="N91" s="66"/>
      <c r="O91" s="6"/>
      <c r="P91" s="782" t="s">
        <v>40</v>
      </c>
      <c r="Q91" s="131" t="s">
        <v>45</v>
      </c>
      <c r="R91" s="182">
        <f t="shared" si="3"/>
        <v>0</v>
      </c>
    </row>
    <row r="92" spans="1:18" ht="15" customHeight="1" x14ac:dyDescent="0.3">
      <c r="A92" s="781"/>
      <c r="B92" s="161" t="s">
        <v>42</v>
      </c>
      <c r="C92" s="45"/>
      <c r="D92" s="18"/>
      <c r="E92" s="39"/>
      <c r="F92" s="38"/>
      <c r="G92" s="39"/>
      <c r="H92" s="38"/>
      <c r="I92" s="39"/>
      <c r="J92" s="40"/>
      <c r="K92" s="39"/>
      <c r="L92" s="177"/>
      <c r="M92" s="39"/>
      <c r="N92" s="73"/>
      <c r="O92" s="6"/>
      <c r="P92" s="783"/>
      <c r="Q92" s="132" t="s">
        <v>42</v>
      </c>
      <c r="R92" s="184">
        <f t="shared" si="3"/>
        <v>0</v>
      </c>
    </row>
    <row r="93" spans="1:18" ht="15" customHeight="1" x14ac:dyDescent="0.3">
      <c r="A93" s="784" t="s">
        <v>6</v>
      </c>
      <c r="B93" s="162" t="s">
        <v>44</v>
      </c>
      <c r="C93" s="41"/>
      <c r="D93" s="19"/>
      <c r="E93" s="41"/>
      <c r="F93" s="19"/>
      <c r="G93" s="41"/>
      <c r="H93" s="19"/>
      <c r="I93" s="41"/>
      <c r="J93" s="11"/>
      <c r="K93" s="8"/>
      <c r="L93" s="167"/>
      <c r="M93" s="8"/>
      <c r="N93" s="66"/>
      <c r="O93" s="6"/>
      <c r="P93" s="786" t="s">
        <v>6</v>
      </c>
      <c r="Q93" s="133" t="s">
        <v>44</v>
      </c>
      <c r="R93" s="182">
        <f t="shared" si="3"/>
        <v>0</v>
      </c>
    </row>
    <row r="94" spans="1:18" ht="15" customHeight="1" x14ac:dyDescent="0.3">
      <c r="A94" s="785"/>
      <c r="B94" s="163" t="s">
        <v>7</v>
      </c>
      <c r="C94" s="42"/>
      <c r="D94" s="18"/>
      <c r="E94" s="42"/>
      <c r="F94" s="18"/>
      <c r="G94" s="42"/>
      <c r="H94" s="18"/>
      <c r="I94" s="42"/>
      <c r="J94" s="24"/>
      <c r="K94" s="7"/>
      <c r="L94" s="168"/>
      <c r="M94" s="7"/>
      <c r="N94" s="68"/>
      <c r="O94" s="6"/>
      <c r="P94" s="787"/>
      <c r="Q94" s="134" t="s">
        <v>7</v>
      </c>
      <c r="R94" s="184">
        <f t="shared" si="3"/>
        <v>0</v>
      </c>
    </row>
    <row r="95" spans="1:18" ht="15" customHeight="1" x14ac:dyDescent="0.3">
      <c r="A95" s="732" t="s">
        <v>52</v>
      </c>
      <c r="B95" s="144" t="s">
        <v>41</v>
      </c>
      <c r="C95" s="28"/>
      <c r="D95" s="19"/>
      <c r="E95" s="8"/>
      <c r="F95" s="19"/>
      <c r="G95" s="8"/>
      <c r="H95" s="19"/>
      <c r="I95" s="8"/>
      <c r="J95" s="11"/>
      <c r="K95" s="8"/>
      <c r="L95" s="178"/>
      <c r="M95" s="8"/>
      <c r="N95" s="66"/>
      <c r="O95" s="6"/>
      <c r="P95" s="774" t="s">
        <v>52</v>
      </c>
      <c r="Q95" s="114" t="s">
        <v>41</v>
      </c>
      <c r="R95" s="182">
        <f t="shared" si="3"/>
        <v>0</v>
      </c>
    </row>
    <row r="96" spans="1:18" ht="15" customHeight="1" x14ac:dyDescent="0.3">
      <c r="A96" s="733"/>
      <c r="B96" s="144" t="s">
        <v>11</v>
      </c>
      <c r="C96" s="28"/>
      <c r="D96" s="20"/>
      <c r="E96" s="9"/>
      <c r="F96" s="20"/>
      <c r="G96" s="9"/>
      <c r="H96" s="20"/>
      <c r="I96" s="9"/>
      <c r="J96" s="12"/>
      <c r="K96" s="9"/>
      <c r="L96" s="179"/>
      <c r="M96" s="9"/>
      <c r="N96" s="67"/>
      <c r="O96" s="6"/>
      <c r="P96" s="775"/>
      <c r="Q96" s="114" t="s">
        <v>11</v>
      </c>
      <c r="R96" s="183">
        <f t="shared" si="3"/>
        <v>0</v>
      </c>
    </row>
    <row r="97" spans="1:18" ht="15" customHeight="1" x14ac:dyDescent="0.3">
      <c r="A97" s="734"/>
      <c r="B97" s="164" t="s">
        <v>27</v>
      </c>
      <c r="C97" s="28"/>
      <c r="D97" s="20"/>
      <c r="E97" s="10"/>
      <c r="F97" s="21"/>
      <c r="G97" s="10"/>
      <c r="H97" s="21"/>
      <c r="I97" s="10"/>
      <c r="J97" s="13"/>
      <c r="K97" s="10"/>
      <c r="L97" s="175"/>
      <c r="M97" s="10"/>
      <c r="N97" s="69"/>
      <c r="O97" s="6"/>
      <c r="P97" s="776"/>
      <c r="Q97" s="135" t="s">
        <v>27</v>
      </c>
      <c r="R97" s="184">
        <f t="shared" si="3"/>
        <v>0</v>
      </c>
    </row>
    <row r="98" spans="1:18" ht="15" customHeight="1" x14ac:dyDescent="0.3">
      <c r="A98" s="735" t="s">
        <v>30</v>
      </c>
      <c r="B98" s="736"/>
      <c r="C98" s="14"/>
      <c r="D98" s="22"/>
      <c r="E98" s="14"/>
      <c r="F98" s="22"/>
      <c r="G98" s="14"/>
      <c r="H98" s="22"/>
      <c r="I98" s="14"/>
      <c r="J98" s="15"/>
      <c r="K98" s="14"/>
      <c r="L98" s="180"/>
      <c r="M98" s="14"/>
      <c r="N98" s="74"/>
      <c r="O98" s="6"/>
      <c r="P98" s="777" t="s">
        <v>30</v>
      </c>
      <c r="Q98" s="778"/>
      <c r="R98" s="107">
        <f t="shared" si="3"/>
        <v>0</v>
      </c>
    </row>
    <row r="99" spans="1:18" ht="15" customHeight="1" x14ac:dyDescent="0.3">
      <c r="A99" s="737" t="s">
        <v>38</v>
      </c>
      <c r="B99" s="738"/>
      <c r="C99" s="46"/>
      <c r="D99" s="11"/>
      <c r="E99" s="29"/>
      <c r="F99" s="201"/>
      <c r="G99" s="31"/>
      <c r="H99" s="201"/>
      <c r="I99" s="31"/>
      <c r="J99" s="11"/>
      <c r="K99" s="31"/>
      <c r="L99" s="208"/>
      <c r="M99" s="31"/>
      <c r="N99" s="75"/>
      <c r="O99" s="6"/>
      <c r="P99" s="743" t="s">
        <v>38</v>
      </c>
      <c r="Q99" s="597"/>
      <c r="R99" s="598"/>
    </row>
    <row r="100" spans="1:18" ht="15" customHeight="1" x14ac:dyDescent="0.3">
      <c r="A100" s="739"/>
      <c r="B100" s="740"/>
      <c r="C100" s="29"/>
      <c r="D100" s="12"/>
      <c r="E100" s="210"/>
      <c r="F100" s="201"/>
      <c r="G100" s="32"/>
      <c r="H100" s="201"/>
      <c r="I100" s="32"/>
      <c r="J100" s="12"/>
      <c r="K100" s="188"/>
      <c r="L100" s="209"/>
      <c r="M100" s="32"/>
      <c r="N100" s="76"/>
      <c r="O100" s="6"/>
      <c r="P100" s="744"/>
      <c r="Q100" s="599"/>
      <c r="R100" s="600"/>
    </row>
    <row r="101" spans="1:18" ht="15" customHeight="1" x14ac:dyDescent="0.3">
      <c r="A101" s="739"/>
      <c r="B101" s="740"/>
      <c r="C101" s="29"/>
      <c r="D101" s="12"/>
      <c r="E101" s="32"/>
      <c r="F101" s="12"/>
      <c r="G101" s="32"/>
      <c r="H101" s="201"/>
      <c r="I101" s="32"/>
      <c r="J101" s="12"/>
      <c r="K101" s="32"/>
      <c r="L101" s="179"/>
      <c r="M101" s="32"/>
      <c r="N101" s="76"/>
      <c r="O101" s="6"/>
      <c r="P101" s="744"/>
      <c r="Q101" s="599"/>
      <c r="R101" s="600"/>
    </row>
    <row r="102" spans="1:18" ht="15" customHeight="1" x14ac:dyDescent="0.3">
      <c r="A102" s="741"/>
      <c r="B102" s="742"/>
      <c r="C102" s="30"/>
      <c r="D102" s="24"/>
      <c r="E102" s="33"/>
      <c r="F102" s="24"/>
      <c r="G102" s="33"/>
      <c r="H102" s="200"/>
      <c r="I102" s="33"/>
      <c r="J102" s="24"/>
      <c r="K102" s="33"/>
      <c r="L102" s="181"/>
      <c r="M102" s="33"/>
      <c r="N102" s="77"/>
      <c r="O102" s="6"/>
      <c r="P102" s="745"/>
      <c r="Q102" s="601"/>
      <c r="R102" s="602"/>
    </row>
  </sheetData>
  <protectedRanges>
    <protectedRange sqref="M5 K5 E8:N8 P2 B48 I17:I19 H26:I26 I24:I25 I27 H28:N35 K17:N19 H21:N23 G31 G32 G2:N2 K7:N7 G4:N4 E5 G5 G12:N16 M56 K56 E59:N59 P53 R52 B99 F68:F70 I68:I70 H77:N77 I75:N76 I78:N78 D93:E98 H79:N86 K68:N70 H71:N74 G82 F83:G86 D63:E72 A52:B52 E53:N53 K58:N58 D89:E90 E91:E92 E55:N55 M54:N54 I56 F63:N67 F71:G81 I5 J24:N27 G21:G30 G39:N51 G34:G35 G33 I20:N20 M52:N52 D101:E102 D99:D100 F89:N102 I36:N37 G38:N38 E87:N88 M57:N57 E73:E86 D77 D73:D74 C73:C78" name="범위1"/>
    <protectedRange sqref="H36:H37 D79:D88" name="범위1_2_1"/>
    <protectedRange sqref="D91:D92" name="범위1_2_2"/>
    <protectedRange sqref="E57:F57" name="범위1_5"/>
    <protectedRange sqref="G6:H7 I6:N6 G57:L57" name="범위1_6"/>
    <protectedRange sqref="I7:J7 I58:J58" name="범위1_7"/>
    <protectedRange sqref="H24:H25 H27 J17:J19 G68:H70 H75:H76 H78 J68:J70 G17:H20 D75:D76 D78" name="범위1_2_3"/>
    <protectedRange sqref="C5 C56 C59:D59 E56 G56 C52:L52 C57:D57 G1:N1" name="범위1_8"/>
    <protectedRange sqref="C53:D55 E54:L54 G3:N3" name="범위1_6_1"/>
    <protectedRange sqref="C58:H58" name="범위1_7_1"/>
    <protectedRange sqref="C93:C102 E99:E100 G36:G37 C63:C72 C79:C90" name="범위1_9"/>
    <protectedRange sqref="C91:C92" name="범위1_5_1"/>
    <protectedRange sqref="R1" name="범위1_2"/>
    <protectedRange sqref="C8:D8" name="범위1_8_3"/>
    <protectedRange sqref="A1:B1" name="범위1_3"/>
    <protectedRange sqref="F32 E12:E32 E40:E51 E34:F35 F12:F30 E38:F38 F39:F51" name="범위1_1"/>
    <protectedRange sqref="F33 F36:F37" name="범위1_2_1_1"/>
    <protectedRange sqref="E33 E36:E37" name="범위1_9_1"/>
    <protectedRange sqref="D42:D51 D12:D22 D38:D39" name="범위1_1_1"/>
    <protectedRange sqref="D23:D37" name="범위1_2_1_1_1"/>
    <protectedRange sqref="D40:D41" name="범위1_2_2_1"/>
    <protectedRange sqref="C42:C51 C12:C39" name="범위1_9_1_1"/>
    <protectedRange sqref="C40:C41" name="범위1_5_1_1"/>
    <protectedRange sqref="E2:F2" name="범위1_4"/>
    <protectedRange sqref="C1:F1" name="범위1_8_1"/>
    <protectedRange sqref="C2:D4 E3:F4" name="범위1_6_1_1"/>
    <protectedRange sqref="E6:F7" name="범위1_5_3"/>
    <protectedRange sqref="C6:D6" name="범위1_8_4"/>
    <protectedRange sqref="C7:D7" name="범위1_7_1_1_2"/>
  </protectedRanges>
  <mergeCells count="202">
    <mergeCell ref="M1:N1"/>
    <mergeCell ref="P1:Q1"/>
    <mergeCell ref="A2:B2"/>
    <mergeCell ref="C2:D2"/>
    <mergeCell ref="E2:F2"/>
    <mergeCell ref="G2:H2"/>
    <mergeCell ref="I2:J2"/>
    <mergeCell ref="K2:L2"/>
    <mergeCell ref="M2:N2"/>
    <mergeCell ref="P2:R6"/>
    <mergeCell ref="A1:B1"/>
    <mergeCell ref="C1:D1"/>
    <mergeCell ref="E1:F1"/>
    <mergeCell ref="G1:H1"/>
    <mergeCell ref="I1:J1"/>
    <mergeCell ref="K1:L1"/>
    <mergeCell ref="A5:B5"/>
    <mergeCell ref="A6:B6"/>
    <mergeCell ref="C6:D6"/>
    <mergeCell ref="E6:F6"/>
    <mergeCell ref="G6:H6"/>
    <mergeCell ref="I6:J6"/>
    <mergeCell ref="M3:N3"/>
    <mergeCell ref="A4:B4"/>
    <mergeCell ref="C4:D4"/>
    <mergeCell ref="E4:F4"/>
    <mergeCell ref="G4:H4"/>
    <mergeCell ref="I4:J4"/>
    <mergeCell ref="K4:L4"/>
    <mergeCell ref="M4:N4"/>
    <mergeCell ref="A3:B3"/>
    <mergeCell ref="C3:D3"/>
    <mergeCell ref="E3:F3"/>
    <mergeCell ref="G3:H3"/>
    <mergeCell ref="I3:J3"/>
    <mergeCell ref="K3:L3"/>
    <mergeCell ref="K6:L6"/>
    <mergeCell ref="M6:N6"/>
    <mergeCell ref="A7:B7"/>
    <mergeCell ref="C7:D7"/>
    <mergeCell ref="E7:F7"/>
    <mergeCell ref="G7:H7"/>
    <mergeCell ref="I7:J7"/>
    <mergeCell ref="K7:L7"/>
    <mergeCell ref="M7:N7"/>
    <mergeCell ref="P7:Q7"/>
    <mergeCell ref="A8:B8"/>
    <mergeCell ref="C8:D8"/>
    <mergeCell ref="E8:F8"/>
    <mergeCell ref="G8:H8"/>
    <mergeCell ref="I8:J8"/>
    <mergeCell ref="K8:L8"/>
    <mergeCell ref="M8:N8"/>
    <mergeCell ref="P8:Q8"/>
    <mergeCell ref="M9:N9"/>
    <mergeCell ref="P9:Q9"/>
    <mergeCell ref="A10:B10"/>
    <mergeCell ref="C10:D10"/>
    <mergeCell ref="E10:F10"/>
    <mergeCell ref="G10:H10"/>
    <mergeCell ref="I10:J10"/>
    <mergeCell ref="K10:L10"/>
    <mergeCell ref="M10:N10"/>
    <mergeCell ref="P10:Q10"/>
    <mergeCell ref="A9:B9"/>
    <mergeCell ref="C9:D9"/>
    <mergeCell ref="E9:F9"/>
    <mergeCell ref="G9:H9"/>
    <mergeCell ref="I9:J9"/>
    <mergeCell ref="K9:L9"/>
    <mergeCell ref="A22:A28"/>
    <mergeCell ref="P22:P28"/>
    <mergeCell ref="A29:A32"/>
    <mergeCell ref="P29:P32"/>
    <mergeCell ref="A33:A35"/>
    <mergeCell ref="P33:P35"/>
    <mergeCell ref="M11:N11"/>
    <mergeCell ref="P11:Q11"/>
    <mergeCell ref="A12:A16"/>
    <mergeCell ref="P12:P16"/>
    <mergeCell ref="A17:A21"/>
    <mergeCell ref="P17:P21"/>
    <mergeCell ref="A11:B11"/>
    <mergeCell ref="C11:D11"/>
    <mergeCell ref="E11:F11"/>
    <mergeCell ref="G11:H11"/>
    <mergeCell ref="I11:J11"/>
    <mergeCell ref="K11:L11"/>
    <mergeCell ref="A44:A46"/>
    <mergeCell ref="P44:P46"/>
    <mergeCell ref="A47:B47"/>
    <mergeCell ref="P47:Q47"/>
    <mergeCell ref="A48:B51"/>
    <mergeCell ref="P48:P51"/>
    <mergeCell ref="Q48:R51"/>
    <mergeCell ref="A36:A39"/>
    <mergeCell ref="P36:P39"/>
    <mergeCell ref="A40:A41"/>
    <mergeCell ref="P40:P41"/>
    <mergeCell ref="A42:A43"/>
    <mergeCell ref="P42:P43"/>
    <mergeCell ref="M52:N52"/>
    <mergeCell ref="P52:Q52"/>
    <mergeCell ref="A53:B53"/>
    <mergeCell ref="C53:D53"/>
    <mergeCell ref="E53:F53"/>
    <mergeCell ref="G53:H53"/>
    <mergeCell ref="I53:J53"/>
    <mergeCell ref="K53:L53"/>
    <mergeCell ref="M53:N53"/>
    <mergeCell ref="P53:R57"/>
    <mergeCell ref="A52:B52"/>
    <mergeCell ref="C52:D52"/>
    <mergeCell ref="E52:F52"/>
    <mergeCell ref="G52:H52"/>
    <mergeCell ref="I52:J52"/>
    <mergeCell ref="K52:L52"/>
    <mergeCell ref="A56:B56"/>
    <mergeCell ref="A57:B57"/>
    <mergeCell ref="C57:D57"/>
    <mergeCell ref="E57:F57"/>
    <mergeCell ref="G57:H57"/>
    <mergeCell ref="I57:J57"/>
    <mergeCell ref="M54:N54"/>
    <mergeCell ref="A55:B55"/>
    <mergeCell ref="C55:D55"/>
    <mergeCell ref="E55:F55"/>
    <mergeCell ref="G55:H55"/>
    <mergeCell ref="I55:J55"/>
    <mergeCell ref="K55:L55"/>
    <mergeCell ref="M55:N55"/>
    <mergeCell ref="A54:B54"/>
    <mergeCell ref="C54:D54"/>
    <mergeCell ref="E54:F54"/>
    <mergeCell ref="G54:H54"/>
    <mergeCell ref="I54:J54"/>
    <mergeCell ref="K54:L54"/>
    <mergeCell ref="K57:L57"/>
    <mergeCell ref="M57:N57"/>
    <mergeCell ref="A58:B58"/>
    <mergeCell ref="C58:D58"/>
    <mergeCell ref="E58:F58"/>
    <mergeCell ref="G58:H58"/>
    <mergeCell ref="I58:J58"/>
    <mergeCell ref="K58:L58"/>
    <mergeCell ref="M58:N58"/>
    <mergeCell ref="P58:Q58"/>
    <mergeCell ref="A59:B59"/>
    <mergeCell ref="C59:D59"/>
    <mergeCell ref="E59:F59"/>
    <mergeCell ref="G59:H59"/>
    <mergeCell ref="I59:J59"/>
    <mergeCell ref="K59:L59"/>
    <mergeCell ref="M59:N59"/>
    <mergeCell ref="P59:Q59"/>
    <mergeCell ref="M60:N60"/>
    <mergeCell ref="P60:Q60"/>
    <mergeCell ref="A61:B61"/>
    <mergeCell ref="C61:D61"/>
    <mergeCell ref="E61:F61"/>
    <mergeCell ref="G61:H61"/>
    <mergeCell ref="I61:J61"/>
    <mergeCell ref="K61:L61"/>
    <mergeCell ref="M61:N61"/>
    <mergeCell ref="P61:Q61"/>
    <mergeCell ref="A60:B60"/>
    <mergeCell ref="C60:D60"/>
    <mergeCell ref="E60:F60"/>
    <mergeCell ref="G60:H60"/>
    <mergeCell ref="I60:J60"/>
    <mergeCell ref="K60:L60"/>
    <mergeCell ref="A73:A79"/>
    <mergeCell ref="P73:P79"/>
    <mergeCell ref="A80:A83"/>
    <mergeCell ref="P80:P83"/>
    <mergeCell ref="A84:A86"/>
    <mergeCell ref="P84:P86"/>
    <mergeCell ref="M62:N62"/>
    <mergeCell ref="P62:Q62"/>
    <mergeCell ref="A63:A67"/>
    <mergeCell ref="P63:P67"/>
    <mergeCell ref="A68:A72"/>
    <mergeCell ref="P68:P72"/>
    <mergeCell ref="A62:B62"/>
    <mergeCell ref="C62:D62"/>
    <mergeCell ref="E62:F62"/>
    <mergeCell ref="G62:H62"/>
    <mergeCell ref="I62:J62"/>
    <mergeCell ref="K62:L62"/>
    <mergeCell ref="A95:A97"/>
    <mergeCell ref="P95:P97"/>
    <mergeCell ref="A98:B98"/>
    <mergeCell ref="P98:Q98"/>
    <mergeCell ref="A99:B102"/>
    <mergeCell ref="P99:P102"/>
    <mergeCell ref="Q99:R102"/>
    <mergeCell ref="A87:A90"/>
    <mergeCell ref="P87:P90"/>
    <mergeCell ref="A91:A92"/>
    <mergeCell ref="P91:P92"/>
    <mergeCell ref="A93:A94"/>
    <mergeCell ref="P93:P94"/>
  </mergeCells>
  <phoneticPr fontId="26" type="noConversion"/>
  <printOptions horizontalCentered="1" verticalCentered="1"/>
  <pageMargins left="0" right="0" top="0" bottom="0" header="0" footer="0"/>
  <pageSetup paperSize="9" scale="7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278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6</vt:i4>
      </vt:variant>
    </vt:vector>
  </HeadingPairs>
  <TitlesOfParts>
    <vt:vector size="13" baseType="lpstr">
      <vt:lpstr>홍길동님(전)</vt:lpstr>
      <vt:lpstr>홍길동님(후)</vt:lpstr>
      <vt:lpstr>빈양식</vt:lpstr>
      <vt:lpstr>Sheet1</vt:lpstr>
      <vt:lpstr>이민호 (후ㄴㅁㅇㄴ)</vt:lpstr>
      <vt:lpstr>이민호</vt:lpstr>
      <vt:lpstr>이나현님 둘째 (후)</vt:lpstr>
      <vt:lpstr>빈양식!Print_Area</vt:lpstr>
      <vt:lpstr>'이나현님 둘째 (후)'!Print_Area</vt:lpstr>
      <vt:lpstr>이민호!Print_Area</vt:lpstr>
      <vt:lpstr>'이민호 (후ㄴㅁㅇㄴ)'!Print_Area</vt:lpstr>
      <vt:lpstr>'홍길동님(전)'!Print_Area</vt:lpstr>
      <vt:lpstr>'홍길동님(후)'!Print_Area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hds</dc:creator>
  <cp:lastModifiedBy>hoo</cp:lastModifiedBy>
  <cp:revision>28</cp:revision>
  <cp:lastPrinted>2026-03-11T01:35:06Z</cp:lastPrinted>
  <dcterms:created xsi:type="dcterms:W3CDTF">2014-10-23T04:13:31Z</dcterms:created>
  <dcterms:modified xsi:type="dcterms:W3CDTF">2026-04-28T07:29:15Z</dcterms:modified>
  <cp:version>1200.0100.01</cp:version>
</cp:coreProperties>
</file>