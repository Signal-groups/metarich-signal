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1" showHorizontalScroll="1" showVerticalScroll="1" showSheetTabs="1" xWindow="-105" yWindow="-105" windowWidth="38625" windowHeight="21105" tabRatio="600" firstSheet="0" activeTab="0" autoFilterDateGrouping="1"/>
  </bookViews>
  <sheets>
    <sheet xmlns:r="http://schemas.openxmlformats.org/officeDocument/2006/relationships" name="홍길동님(전)" sheetId="1" state="visible" r:id="rId1"/>
    <sheet xmlns:r="http://schemas.openxmlformats.org/officeDocument/2006/relationships" name="홍길동님(후)" sheetId="2" state="visible" r:id="rId2"/>
    <sheet xmlns:r="http://schemas.openxmlformats.org/officeDocument/2006/relationships" name="빈양식" sheetId="3" state="visible" r:id="rId3"/>
    <sheet xmlns:r="http://schemas.openxmlformats.org/officeDocument/2006/relationships" name="Sheet1" sheetId="4" state="visible" r:id="rId4"/>
    <sheet xmlns:r="http://schemas.openxmlformats.org/officeDocument/2006/relationships" name="이민호 (후ㄴㅁㅇㄴ)" sheetId="5" state="hidden" r:id="rId5"/>
    <sheet xmlns:r="http://schemas.openxmlformats.org/officeDocument/2006/relationships" name="이민호" sheetId="6" state="hidden" r:id="rId6"/>
    <sheet xmlns:r="http://schemas.openxmlformats.org/officeDocument/2006/relationships" name="이나현님 둘째 (후)" sheetId="7" state="hidden" r:id="rId7"/>
  </sheets>
  <definedNames>
    <definedName name="_xlnm.Print_Area" localSheetId="0">'홍길동님(전)'!$A$1:$T$63</definedName>
    <definedName name="_xlnm.Print_Area" localSheetId="1">'홍길동님(후)'!$A$1:$T$63</definedName>
    <definedName name="_xlnm.Print_Area" localSheetId="2">'빈양식'!$A$1:$T$63</definedName>
    <definedName name="_xlnm.Print_Area" localSheetId="4">'이민호 (후ㄴㅁㅇㄴ)'!$A$1:$R$59</definedName>
    <definedName name="_xlnm.Print_Area" localSheetId="5">'이민호'!$A$1:$R$114</definedName>
    <definedName name="_xlnm.Print_Area" localSheetId="6">'이나현님 둘째 (후)'!$A$1:$R$102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#,##0_);[Red]\(#,##0\)"/>
    <numFmt numFmtId="165" formatCode="#&quot;년&quot;"/>
    <numFmt numFmtId="166" formatCode="#&quot;개월&quot;"/>
    <numFmt numFmtId="167" formatCode="&quot;₩&quot;#,##0_);[Red]\(&quot;₩&quot;#,##0\)"/>
  </numFmts>
  <fonts count="49">
    <font>
      <name val="맑은 고딕"/>
      <color rgb="FF000000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FF0000"/>
      <sz val="9"/>
    </font>
    <font>
      <name val="맑은 고딕"/>
      <charset val="129"/>
      <family val="3"/>
      <color rgb="FFFF0000"/>
      <sz val="10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568ED4"/>
      <sz val="10"/>
    </font>
    <font>
      <name val="맑은 고딕"/>
      <charset val="129"/>
      <family val="3"/>
      <color rgb="FFCC00FF"/>
      <sz val="10"/>
    </font>
    <font>
      <name val="맑은 고딕"/>
      <charset val="129"/>
      <family val="3"/>
      <color rgb="FFFFFFFF"/>
      <sz val="10"/>
    </font>
    <font>
      <name val="맑은 고딕"/>
      <charset val="129"/>
      <family val="3"/>
      <color rgb="FFFF0000"/>
      <sz val="9"/>
    </font>
    <font>
      <name val="맑은 고딕"/>
      <charset val="129"/>
      <family val="3"/>
      <color rgb="FF000000"/>
      <sz val="8"/>
    </font>
    <font>
      <name val="맑은 고딕"/>
      <charset val="129"/>
      <family val="3"/>
      <color rgb="FF000000"/>
      <sz val="7"/>
    </font>
    <font>
      <name val="맑은 고딕"/>
      <charset val="129"/>
      <family val="3"/>
      <b val="1"/>
      <color rgb="FFFF0000"/>
      <sz val="8"/>
    </font>
    <font>
      <name val="맑은 고딕"/>
      <charset val="129"/>
      <family val="3"/>
      <color rgb="FFC00000"/>
      <sz val="9"/>
    </font>
    <font>
      <name val="맑은 고딕"/>
      <charset val="129"/>
      <family val="3"/>
      <color rgb="FFC00000"/>
      <sz val="8"/>
    </font>
    <font>
      <name val="맑은 고딕"/>
      <charset val="129"/>
      <family val="3"/>
      <b val="1"/>
      <color rgb="FFC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color rgb="FFFFFFFF"/>
      <sz val="11"/>
    </font>
    <font>
      <name val="맑은 고딕"/>
      <charset val="129"/>
      <family val="3"/>
      <b val="1"/>
      <color rgb="FF000000"/>
      <sz val="48"/>
    </font>
    <font>
      <name val="맑은 고딕"/>
      <charset val="129"/>
      <family val="3"/>
      <b val="1"/>
      <color rgb="FFFF0000"/>
      <sz val="8"/>
    </font>
    <font>
      <name val="맑은 고딕"/>
      <charset val="129"/>
      <family val="3"/>
      <color rgb="FFFF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rgb="FFFF0000"/>
      <sz val="7"/>
    </font>
    <font>
      <name val="맑은 고딕"/>
      <charset val="129"/>
      <family val="3"/>
      <sz val="9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8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0070C0"/>
      <sz val="11"/>
    </font>
    <font>
      <name val="맑은 고딕"/>
      <charset val="129"/>
      <family val="3"/>
      <color theme="1"/>
      <sz val="9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color rgb="FFFF0000"/>
      <sz val="7"/>
      <scheme val="minor"/>
    </font>
    <font>
      <name val="맑은 고딕"/>
      <charset val="129"/>
      <family val="3"/>
      <b val="1"/>
      <color rgb="FFFF0000"/>
      <sz val="8"/>
      <scheme val="minor"/>
    </font>
    <font>
      <name val="맑은 고딕"/>
      <charset val="129"/>
      <family val="3"/>
      <b val="1"/>
      <color rgb="FF000000"/>
      <sz val="7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sz val="7"/>
    </font>
    <font>
      <name val="맑은 고딕"/>
      <charset val="129"/>
      <family val="3"/>
      <sz val="7"/>
    </font>
    <font>
      <name val="맑은 고딕"/>
      <charset val="129"/>
      <family val="3"/>
      <color rgb="FFC00000"/>
      <sz val="6"/>
    </font>
    <font>
      <name val="맑은 고딕"/>
      <charset val="129"/>
      <family val="3"/>
      <b val="1"/>
      <color rgb="FFC00000"/>
      <sz val="6"/>
    </font>
    <font>
      <name val="맑은 고딕"/>
      <charset val="129"/>
      <family val="3"/>
      <b val="1"/>
      <color rgb="FFC00000"/>
      <sz val="8"/>
    </font>
    <font>
      <name val="맑은 고딕"/>
      <charset val="129"/>
      <family val="3"/>
      <b val="1"/>
      <color theme="1"/>
      <sz val="8"/>
    </font>
    <font>
      <name val="맑은 고딕"/>
      <charset val="129"/>
      <family val="3"/>
      <b val="1"/>
      <color rgb="FFFF0000"/>
      <sz val="6"/>
    </font>
  </fonts>
  <fills count="21">
    <fill>
      <patternFill/>
    </fill>
    <fill>
      <patternFill patternType="gray125"/>
    </fill>
    <fill>
      <patternFill patternType="solid">
        <fgColor rgb="FFC6D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7999816888943144"/>
        <bgColor indexed="64"/>
      </patternFill>
    </fill>
  </fills>
  <borders count="108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 diagonalDown="1">
      <left/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2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4" fillId="0" borderId="2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vertical="center"/>
    </xf>
    <xf numFmtId="164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2" fillId="0" borderId="4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shrinkToFit="1"/>
    </xf>
    <xf numFmtId="164" fontId="2" fillId="0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shrinkToFit="1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8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164" fontId="2" fillId="0" borderId="3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3" fillId="0" borderId="9" applyAlignment="1" pivotButton="0" quotePrefix="0" xfId="0">
      <alignment horizontal="center" vertical="center"/>
    </xf>
    <xf numFmtId="164" fontId="2" fillId="0" borderId="9" applyAlignment="1" pivotButton="0" quotePrefix="0" xfId="0">
      <alignment vertical="center"/>
    </xf>
    <xf numFmtId="164" fontId="2" fillId="0" borderId="10" applyAlignment="1" pivotButton="0" quotePrefix="0" xfId="0">
      <alignment vertical="center"/>
    </xf>
    <xf numFmtId="164" fontId="4" fillId="0" borderId="9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/>
    </xf>
    <xf numFmtId="164" fontId="2" fillId="0" borderId="11" applyAlignment="1" pivotButton="0" quotePrefix="0" xfId="0">
      <alignment vertical="center"/>
    </xf>
    <xf numFmtId="164" fontId="4" fillId="0" borderId="11" applyAlignment="1" pivotButton="0" quotePrefix="0" xfId="0">
      <alignment horizontal="center" vertical="center"/>
    </xf>
    <xf numFmtId="164" fontId="2" fillId="0" borderId="12" applyAlignment="1" pivotButton="0" quotePrefix="0" xfId="0">
      <alignment vertical="center"/>
    </xf>
    <xf numFmtId="164" fontId="2" fillId="0" borderId="8" applyAlignment="1" pivotButton="0" quotePrefix="0" xfId="0">
      <alignment vertical="center"/>
    </xf>
    <xf numFmtId="164" fontId="2" fillId="0" borderId="13" applyAlignment="1" pivotButton="0" quotePrefix="0" xfId="0">
      <alignment vertical="center"/>
    </xf>
    <xf numFmtId="164" fontId="2" fillId="0" borderId="14" applyAlignment="1" pivotButton="0" quotePrefix="0" xfId="0">
      <alignment vertical="center"/>
    </xf>
    <xf numFmtId="164" fontId="2" fillId="0" borderId="15" applyAlignment="1" pivotButton="0" quotePrefix="0" xfId="0">
      <alignment vertical="center"/>
    </xf>
    <xf numFmtId="164" fontId="3" fillId="0" borderId="12" applyAlignment="1" pivotButton="0" quotePrefix="0" xfId="0">
      <alignment horizontal="right" vertical="center"/>
    </xf>
    <xf numFmtId="164" fontId="3" fillId="0" borderId="10" applyAlignment="1" pivotButton="0" quotePrefix="0" xfId="0">
      <alignment horizontal="center" vertical="center"/>
    </xf>
    <xf numFmtId="164" fontId="4" fillId="0" borderId="10" applyAlignment="1" pivotButton="0" quotePrefix="0" xfId="0">
      <alignment horizontal="center" vertical="center"/>
    </xf>
    <xf numFmtId="164" fontId="2" fillId="0" borderId="16" applyAlignment="1" pivotButton="0" quotePrefix="0" xfId="0">
      <alignment vertical="center"/>
    </xf>
    <xf numFmtId="164" fontId="2" fillId="0" borderId="17" applyAlignment="1" pivotButton="0" quotePrefix="0" xfId="0">
      <alignment vertical="center"/>
    </xf>
    <xf numFmtId="164" fontId="5" fillId="3" borderId="6" applyAlignment="1" pivotButton="0" quotePrefix="0" xfId="0">
      <alignment horizontal="right" vertical="center"/>
    </xf>
    <xf numFmtId="164" fontId="5" fillId="3" borderId="18" applyAlignment="1" pivotButton="0" quotePrefix="0" xfId="0">
      <alignment horizontal="right" vertical="center"/>
    </xf>
    <xf numFmtId="164" fontId="2" fillId="0" borderId="19" applyAlignment="1" pivotButton="0" quotePrefix="0" xfId="0">
      <alignment vertical="center"/>
    </xf>
    <xf numFmtId="0" fontId="2" fillId="4" borderId="20" applyAlignment="1" pivotButton="0" quotePrefix="0" xfId="0">
      <alignment horizontal="center" vertical="center" shrinkToFit="1"/>
    </xf>
    <xf numFmtId="0" fontId="2" fillId="4" borderId="21" applyAlignment="1" pivotButton="0" quotePrefix="0" xfId="0">
      <alignment horizontal="center" vertical="center" shrinkToFit="1"/>
    </xf>
    <xf numFmtId="0" fontId="2" fillId="4" borderId="22" applyAlignment="1" pivotButton="0" quotePrefix="0" xfId="0">
      <alignment horizontal="center" vertical="center" shrinkToFit="1"/>
    </xf>
    <xf numFmtId="0" fontId="2" fillId="5" borderId="23" applyAlignment="1" pivotButton="0" quotePrefix="0" xfId="0">
      <alignment horizontal="center" vertical="center" shrinkToFit="1"/>
    </xf>
    <xf numFmtId="0" fontId="2" fillId="6" borderId="21" applyAlignment="1" pivotButton="0" quotePrefix="0" xfId="0">
      <alignment horizontal="center" vertical="center" shrinkToFit="1"/>
    </xf>
    <xf numFmtId="0" fontId="2" fillId="6" borderId="22" applyAlignment="1" pivotButton="0" quotePrefix="0" xfId="0">
      <alignment horizontal="center" vertical="center" shrinkToFit="1"/>
    </xf>
    <xf numFmtId="164" fontId="6" fillId="7" borderId="6" applyAlignment="1" pivotButton="0" quotePrefix="0" xfId="0">
      <alignment horizontal="right" vertical="center"/>
    </xf>
    <xf numFmtId="165" fontId="7" fillId="0" borderId="24" applyAlignment="1" pivotButton="0" quotePrefix="0" xfId="0">
      <alignment horizontal="center" vertical="center" shrinkToFit="1"/>
    </xf>
    <xf numFmtId="166" fontId="2" fillId="0" borderId="25" applyAlignment="1" pivotButton="0" quotePrefix="0" xfId="0">
      <alignment horizontal="center" vertical="center" shrinkToFit="1"/>
    </xf>
    <xf numFmtId="164" fontId="2" fillId="0" borderId="9" applyAlignment="1" pivotButton="0" quotePrefix="0" xfId="0">
      <alignment horizontal="center" vertical="center"/>
    </xf>
    <xf numFmtId="166" fontId="2" fillId="0" borderId="26" applyAlignment="1" pivotButton="0" quotePrefix="0" xfId="0">
      <alignment horizontal="center" vertical="center" shrinkToFit="1"/>
    </xf>
    <xf numFmtId="166" fontId="2" fillId="0" borderId="26" applyAlignment="1" pivotButton="0" quotePrefix="0" xfId="0">
      <alignment horizontal="left" vertical="center" shrinkToFit="1"/>
    </xf>
    <xf numFmtId="164" fontId="3" fillId="0" borderId="27" applyAlignment="1" pivotButton="0" quotePrefix="0" xfId="0">
      <alignment horizontal="left" vertical="center"/>
    </xf>
    <xf numFmtId="164" fontId="3" fillId="0" borderId="28" applyAlignment="1" pivotButton="0" quotePrefix="0" xfId="0">
      <alignment horizontal="left" vertical="center"/>
    </xf>
    <xf numFmtId="164" fontId="3" fillId="0" borderId="29" applyAlignment="1" pivotButton="0" quotePrefix="0" xfId="0">
      <alignment horizontal="left" vertical="center"/>
    </xf>
    <xf numFmtId="164" fontId="3" fillId="0" borderId="30" applyAlignment="1" pivotButton="0" quotePrefix="0" xfId="0">
      <alignment horizontal="left" vertical="center"/>
    </xf>
    <xf numFmtId="164" fontId="3" fillId="0" borderId="31" applyAlignment="1" pivotButton="0" quotePrefix="0" xfId="0">
      <alignment horizontal="left" vertical="center"/>
    </xf>
    <xf numFmtId="164" fontId="3" fillId="0" borderId="32" applyAlignment="1" pivotButton="0" quotePrefix="0" xfId="0">
      <alignment horizontal="left" vertical="center"/>
    </xf>
    <xf numFmtId="164" fontId="3" fillId="0" borderId="33" applyAlignment="1" pivotButton="0" quotePrefix="0" xfId="0">
      <alignment horizontal="left" vertical="center"/>
    </xf>
    <xf numFmtId="164" fontId="3" fillId="0" borderId="34" applyAlignment="1" pivotButton="0" quotePrefix="0" xfId="0">
      <alignment horizontal="left" vertical="center"/>
    </xf>
    <xf numFmtId="164" fontId="4" fillId="0" borderId="32" applyAlignment="1" pivotButton="0" quotePrefix="0" xfId="0">
      <alignment horizontal="left" vertical="center"/>
    </xf>
    <xf numFmtId="164" fontId="4" fillId="0" borderId="27" applyAlignment="1" pivotButton="0" quotePrefix="0" xfId="0">
      <alignment horizontal="left" vertical="center"/>
    </xf>
    <xf numFmtId="164" fontId="4" fillId="0" borderId="28" applyAlignment="1" pivotButton="0" quotePrefix="0" xfId="0">
      <alignment horizontal="left" vertical="center"/>
    </xf>
    <xf numFmtId="164" fontId="4" fillId="0" borderId="29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6" fillId="7" borderId="26" applyAlignment="1" pivotButton="0" quotePrefix="0" xfId="0">
      <alignment horizontal="right" vertical="center"/>
    </xf>
    <xf numFmtId="164" fontId="8" fillId="0" borderId="26" applyAlignment="1" pivotButton="0" quotePrefix="0" xfId="0">
      <alignment horizontal="right" vertical="center"/>
    </xf>
    <xf numFmtId="164" fontId="5" fillId="0" borderId="20" applyAlignment="1" pivotButton="0" quotePrefix="0" xfId="0">
      <alignment horizontal="right" vertical="center"/>
    </xf>
    <xf numFmtId="164" fontId="5" fillId="0" borderId="21" applyAlignment="1" pivotButton="0" quotePrefix="0" xfId="0">
      <alignment horizontal="right" vertical="center"/>
    </xf>
    <xf numFmtId="164" fontId="5" fillId="0" borderId="22" applyAlignment="1" pivotButton="0" quotePrefix="0" xfId="0">
      <alignment horizontal="right" vertical="center"/>
    </xf>
    <xf numFmtId="164" fontId="5" fillId="0" borderId="35" applyAlignment="1" pivotButton="0" quotePrefix="0" xfId="0">
      <alignment horizontal="right" vertical="center"/>
    </xf>
    <xf numFmtId="164" fontId="5" fillId="0" borderId="23" applyAlignment="1" pivotButton="0" quotePrefix="0" xfId="0">
      <alignment horizontal="right" vertical="center"/>
    </xf>
    <xf numFmtId="164" fontId="5" fillId="0" borderId="36" applyAlignment="1" pivotButton="0" quotePrefix="0" xfId="0">
      <alignment horizontal="right" vertical="center"/>
    </xf>
    <xf numFmtId="0" fontId="2" fillId="7" borderId="20" applyAlignment="1" pivotButton="0" quotePrefix="0" xfId="0">
      <alignment horizontal="center" vertical="center" shrinkToFit="1"/>
    </xf>
    <xf numFmtId="0" fontId="2" fillId="7" borderId="36" applyAlignment="1" pivotButton="0" quotePrefix="0" xfId="0">
      <alignment horizontal="center" vertical="center" shrinkToFit="1"/>
    </xf>
    <xf numFmtId="0" fontId="2" fillId="7" borderId="21" applyAlignment="1" pivotButton="0" quotePrefix="0" xfId="0">
      <alignment horizontal="center" vertical="center" shrinkToFit="1"/>
    </xf>
    <xf numFmtId="0" fontId="2" fillId="8" borderId="20" applyAlignment="1" pivotButton="0" quotePrefix="0" xfId="0">
      <alignment horizontal="center" vertical="center" shrinkToFit="1"/>
    </xf>
    <xf numFmtId="0" fontId="2" fillId="8" borderId="36" applyAlignment="1" pivotButton="0" quotePrefix="0" xfId="0">
      <alignment horizontal="center" vertical="center" shrinkToFit="1"/>
    </xf>
    <xf numFmtId="0" fontId="2" fillId="8" borderId="35" applyAlignment="1" pivotButton="0" quotePrefix="0" xfId="0">
      <alignment horizontal="center" vertical="center" shrinkToFit="1"/>
    </xf>
    <xf numFmtId="0" fontId="2" fillId="5" borderId="20" applyAlignment="1" pivotButton="0" quotePrefix="0" xfId="0">
      <alignment horizontal="center" vertical="center" shrinkToFit="1"/>
    </xf>
    <xf numFmtId="0" fontId="2" fillId="5" borderId="21" applyAlignment="1" pivotButton="0" quotePrefix="0" xfId="0">
      <alignment horizontal="center" vertical="center" shrinkToFit="1"/>
    </xf>
    <xf numFmtId="0" fontId="2" fillId="5" borderId="22" applyAlignment="1" pivotButton="0" quotePrefix="0" xfId="0">
      <alignment horizontal="center" vertical="center" shrinkToFit="1"/>
    </xf>
    <xf numFmtId="0" fontId="2" fillId="9" borderId="20" applyAlignment="1" pivotButton="0" quotePrefix="0" xfId="0">
      <alignment horizontal="center" vertical="center" shrinkToFit="1"/>
    </xf>
    <xf numFmtId="0" fontId="2" fillId="9" borderId="21" applyAlignment="1" pivotButton="0" quotePrefix="0" xfId="0">
      <alignment horizontal="center" vertical="center" shrinkToFit="1"/>
    </xf>
    <xf numFmtId="0" fontId="2" fillId="9" borderId="22" applyAlignment="1" pivotButton="0" quotePrefix="0" xfId="0">
      <alignment horizontal="center" vertical="center" shrinkToFit="1"/>
    </xf>
    <xf numFmtId="0" fontId="2" fillId="10" borderId="20" applyAlignment="1" pivotButton="0" quotePrefix="0" xfId="0">
      <alignment horizontal="center" vertical="center" shrinkToFit="1"/>
    </xf>
    <xf numFmtId="0" fontId="2" fillId="10" borderId="21" applyAlignment="1" pivotButton="0" quotePrefix="0" xfId="0">
      <alignment horizontal="center" vertical="center" shrinkToFit="1"/>
    </xf>
    <xf numFmtId="0" fontId="2" fillId="10" borderId="22" applyAlignment="1" pivotButton="0" quotePrefix="0" xfId="0">
      <alignment horizontal="center" vertical="center" shrinkToFit="1"/>
    </xf>
    <xf numFmtId="0" fontId="2" fillId="11" borderId="20" applyAlignment="1" pivotButton="0" quotePrefix="0" xfId="0">
      <alignment horizontal="center" vertical="center" shrinkToFit="1"/>
    </xf>
    <xf numFmtId="0" fontId="2" fillId="11" borderId="21" applyAlignment="1" pivotButton="0" quotePrefix="0" xfId="0">
      <alignment horizontal="center" vertical="center" shrinkToFit="1"/>
    </xf>
    <xf numFmtId="0" fontId="2" fillId="12" borderId="20" applyAlignment="1" pivotButton="0" quotePrefix="0" xfId="0">
      <alignment horizontal="center" vertical="center" shrinkToFit="1"/>
    </xf>
    <xf numFmtId="0" fontId="2" fillId="12" borderId="22" applyAlignment="1" pivotButton="0" quotePrefix="0" xfId="0">
      <alignment horizontal="center" vertical="center" shrinkToFit="1"/>
    </xf>
    <xf numFmtId="0" fontId="2" fillId="7" borderId="22" applyAlignment="1" pivotButton="0" quotePrefix="0" xfId="0">
      <alignment horizontal="center" vertical="center" shrinkToFit="1"/>
    </xf>
    <xf numFmtId="164" fontId="5" fillId="3" borderId="37" applyAlignment="1" pivotButton="0" quotePrefix="0" xfId="0">
      <alignment horizontal="right" vertical="center"/>
    </xf>
    <xf numFmtId="164" fontId="5" fillId="3" borderId="38" applyAlignment="1" pivotButton="0" quotePrefix="0" xfId="0">
      <alignment horizontal="right" vertical="center"/>
    </xf>
    <xf numFmtId="0" fontId="2" fillId="4" borderId="39" applyAlignment="1" pivotButton="0" quotePrefix="0" xfId="0">
      <alignment horizontal="center" vertical="center" shrinkToFit="1"/>
    </xf>
    <xf numFmtId="0" fontId="2" fillId="4" borderId="40" applyAlignment="1" pivotButton="0" quotePrefix="0" xfId="0">
      <alignment horizontal="center" vertical="center" shrinkToFit="1"/>
    </xf>
    <xf numFmtId="0" fontId="2" fillId="4" borderId="41" applyAlignment="1" pivotButton="0" quotePrefix="0" xfId="0">
      <alignment horizontal="center" vertical="center" shrinkToFit="1"/>
    </xf>
    <xf numFmtId="0" fontId="2" fillId="7" borderId="39" applyAlignment="1" pivotButton="0" quotePrefix="0" xfId="0">
      <alignment horizontal="center" vertical="center" shrinkToFit="1"/>
    </xf>
    <xf numFmtId="0" fontId="2" fillId="7" borderId="42" applyAlignment="1" pivotButton="0" quotePrefix="0" xfId="0">
      <alignment horizontal="center" vertical="center" shrinkToFit="1"/>
    </xf>
    <xf numFmtId="0" fontId="2" fillId="7" borderId="40" applyAlignment="1" pivotButton="0" quotePrefix="0" xfId="0">
      <alignment horizontal="center" vertical="center" shrinkToFit="1"/>
    </xf>
    <xf numFmtId="0" fontId="2" fillId="8" borderId="39" applyAlignment="1" pivotButton="0" quotePrefix="0" xfId="0">
      <alignment horizontal="center" vertical="center" shrinkToFit="1"/>
    </xf>
    <xf numFmtId="0" fontId="2" fillId="8" borderId="42" applyAlignment="1" pivotButton="0" quotePrefix="0" xfId="0">
      <alignment horizontal="center" vertical="center" shrinkToFit="1"/>
    </xf>
    <xf numFmtId="0" fontId="2" fillId="8" borderId="43" applyAlignment="1" pivotButton="0" quotePrefix="0" xfId="0">
      <alignment horizontal="center" vertical="center" shrinkToFit="1"/>
    </xf>
    <xf numFmtId="0" fontId="2" fillId="5" borderId="39" applyAlignment="1" pivotButton="0" quotePrefix="0" xfId="0">
      <alignment horizontal="center" vertical="center" shrinkToFit="1"/>
    </xf>
    <xf numFmtId="0" fontId="2" fillId="5" borderId="40" applyAlignment="1" pivotButton="0" quotePrefix="0" xfId="0">
      <alignment horizontal="center" vertical="center" shrinkToFit="1"/>
    </xf>
    <xf numFmtId="0" fontId="2" fillId="5" borderId="43" applyAlignment="1" pivotButton="0" quotePrefix="0" xfId="0">
      <alignment horizontal="center" vertical="center" shrinkToFit="1"/>
    </xf>
    <xf numFmtId="0" fontId="2" fillId="5" borderId="44" applyAlignment="1" pivotButton="0" quotePrefix="0" xfId="0">
      <alignment horizontal="center" vertical="center" shrinkToFit="1"/>
    </xf>
    <xf numFmtId="0" fontId="2" fillId="9" borderId="39" applyAlignment="1" pivotButton="0" quotePrefix="0" xfId="0">
      <alignment horizontal="center" vertical="center" shrinkToFit="1"/>
    </xf>
    <xf numFmtId="0" fontId="2" fillId="9" borderId="40" applyAlignment="1" pivotButton="0" quotePrefix="0" xfId="0">
      <alignment horizontal="center" vertical="center" shrinkToFit="1"/>
    </xf>
    <xf numFmtId="0" fontId="2" fillId="9" borderId="41" applyAlignment="1" pivotButton="0" quotePrefix="0" xfId="0">
      <alignment horizontal="center" vertical="center" shrinkToFit="1"/>
    </xf>
    <xf numFmtId="0" fontId="2" fillId="10" borderId="39" applyAlignment="1" pivotButton="0" quotePrefix="0" xfId="0">
      <alignment horizontal="center" vertical="center" shrinkToFit="1"/>
    </xf>
    <xf numFmtId="0" fontId="2" fillId="10" borderId="40" applyAlignment="1" pivotButton="0" quotePrefix="0" xfId="0">
      <alignment horizontal="center" vertical="center" shrinkToFit="1"/>
    </xf>
    <xf numFmtId="0" fontId="2" fillId="10" borderId="43" applyAlignment="1" pivotButton="0" quotePrefix="0" xfId="0">
      <alignment horizontal="center" vertical="center" shrinkToFit="1"/>
    </xf>
    <xf numFmtId="0" fontId="2" fillId="6" borderId="39" applyAlignment="1" pivotButton="0" quotePrefix="0" xfId="0">
      <alignment horizontal="center" vertical="center" shrinkToFit="1"/>
    </xf>
    <xf numFmtId="0" fontId="2" fillId="6" borderId="40" applyAlignment="1" pivotButton="0" quotePrefix="0" xfId="0">
      <alignment horizontal="center" vertical="center" shrinkToFit="1"/>
    </xf>
    <xf numFmtId="0" fontId="2" fillId="6" borderId="41" applyAlignment="1" pivotButton="0" quotePrefix="0" xfId="0">
      <alignment horizontal="center" vertical="center" shrinkToFit="1"/>
    </xf>
    <xf numFmtId="0" fontId="2" fillId="11" borderId="42" applyAlignment="1" pivotButton="0" quotePrefix="0" xfId="0">
      <alignment horizontal="center" vertical="center" shrinkToFit="1"/>
    </xf>
    <xf numFmtId="0" fontId="2" fillId="11" borderId="40" applyAlignment="1" pivotButton="0" quotePrefix="0" xfId="0">
      <alignment horizontal="center" vertical="center" shrinkToFit="1"/>
    </xf>
    <xf numFmtId="0" fontId="2" fillId="12" borderId="39" applyAlignment="1" pivotButton="0" quotePrefix="0" xfId="0">
      <alignment horizontal="center" vertical="center" shrinkToFit="1"/>
    </xf>
    <xf numFmtId="0" fontId="2" fillId="12" borderId="41" applyAlignment="1" pivotButton="0" quotePrefix="0" xfId="0">
      <alignment horizontal="center" vertical="center" shrinkToFit="1"/>
    </xf>
    <xf numFmtId="0" fontId="2" fillId="7" borderId="41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14" fontId="10" fillId="13" borderId="45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4" borderId="20" applyAlignment="1" pivotButton="0" quotePrefix="0" xfId="0">
      <alignment horizontal="center" vertical="center" shrinkToFit="1"/>
    </xf>
    <xf numFmtId="0" fontId="0" fillId="4" borderId="21" applyAlignment="1" pivotButton="0" quotePrefix="0" xfId="0">
      <alignment horizontal="center" vertical="center" shrinkToFit="1"/>
    </xf>
    <xf numFmtId="0" fontId="0" fillId="4" borderId="22" applyAlignment="1" pivotButton="0" quotePrefix="0" xfId="0">
      <alignment horizontal="center" vertical="center" shrinkToFit="1"/>
    </xf>
    <xf numFmtId="0" fontId="0" fillId="7" borderId="20" applyAlignment="1" pivotButton="0" quotePrefix="0" xfId="0">
      <alignment horizontal="center" vertical="center" shrinkToFit="1"/>
    </xf>
    <xf numFmtId="0" fontId="0" fillId="7" borderId="36" applyAlignment="1" pivotButton="0" quotePrefix="0" xfId="0">
      <alignment horizontal="center" vertical="center" shrinkToFit="1"/>
    </xf>
    <xf numFmtId="0" fontId="0" fillId="7" borderId="21" applyAlignment="1" pivotButton="0" quotePrefix="0" xfId="0">
      <alignment horizontal="center" vertical="center" shrinkToFit="1"/>
    </xf>
    <xf numFmtId="0" fontId="0" fillId="8" borderId="20" applyAlignment="1" pivotButton="0" quotePrefix="0" xfId="0">
      <alignment horizontal="center" vertical="center" shrinkToFit="1"/>
    </xf>
    <xf numFmtId="0" fontId="0" fillId="8" borderId="36" applyAlignment="1" pivotButton="0" quotePrefix="0" xfId="0">
      <alignment horizontal="center" vertical="center" shrinkToFit="1"/>
    </xf>
    <xf numFmtId="0" fontId="0" fillId="8" borderId="35" applyAlignment="1" pivotButton="0" quotePrefix="0" xfId="0">
      <alignment horizontal="center" vertical="center" shrinkToFit="1"/>
    </xf>
    <xf numFmtId="0" fontId="0" fillId="5" borderId="20" applyAlignment="1" pivotButton="0" quotePrefix="0" xfId="0">
      <alignment horizontal="center" vertical="center" shrinkToFit="1"/>
    </xf>
    <xf numFmtId="0" fontId="0" fillId="5" borderId="21" applyAlignment="1" pivotButton="0" quotePrefix="0" xfId="0">
      <alignment horizontal="center" vertical="center" shrinkToFit="1"/>
    </xf>
    <xf numFmtId="0" fontId="0" fillId="5" borderId="22" applyAlignment="1" pivotButton="0" quotePrefix="0" xfId="0">
      <alignment horizontal="center" vertical="center" shrinkToFit="1"/>
    </xf>
    <xf numFmtId="0" fontId="0" fillId="5" borderId="23" applyAlignment="1" pivotButton="0" quotePrefix="0" xfId="0">
      <alignment horizontal="center" vertical="center" shrinkToFit="1"/>
    </xf>
    <xf numFmtId="0" fontId="0" fillId="9" borderId="20" applyAlignment="1" pivotButton="0" quotePrefix="0" xfId="0">
      <alignment horizontal="center" vertical="center" shrinkToFit="1"/>
    </xf>
    <xf numFmtId="0" fontId="0" fillId="9" borderId="21" applyAlignment="1" pivotButton="0" quotePrefix="0" xfId="0">
      <alignment horizontal="center" vertical="center" shrinkToFit="1"/>
    </xf>
    <xf numFmtId="0" fontId="0" fillId="9" borderId="22" applyAlignment="1" pivotButton="0" quotePrefix="0" xfId="0">
      <alignment horizontal="center" vertical="center" shrinkToFit="1"/>
    </xf>
    <xf numFmtId="0" fontId="0" fillId="10" borderId="20" applyAlignment="1" pivotButton="0" quotePrefix="0" xfId="0">
      <alignment horizontal="center" vertical="center" shrinkToFit="1"/>
    </xf>
    <xf numFmtId="0" fontId="0" fillId="10" borderId="21" applyAlignment="1" pivotButton="0" quotePrefix="0" xfId="0">
      <alignment horizontal="center" vertical="center" shrinkToFit="1"/>
    </xf>
    <xf numFmtId="0" fontId="0" fillId="10" borderId="22" applyAlignment="1" pivotButton="0" quotePrefix="0" xfId="0">
      <alignment horizontal="center" vertical="center" shrinkToFit="1"/>
    </xf>
    <xf numFmtId="0" fontId="0" fillId="6" borderId="21" applyAlignment="1" pivotButton="0" quotePrefix="0" xfId="0">
      <alignment horizontal="center" vertical="center" shrinkToFit="1"/>
    </xf>
    <xf numFmtId="0" fontId="0" fillId="6" borderId="22" applyAlignment="1" pivotButton="0" quotePrefix="0" xfId="0">
      <alignment horizontal="center" vertical="center" shrinkToFit="1"/>
    </xf>
    <xf numFmtId="0" fontId="0" fillId="11" borderId="36" applyAlignment="1" pivotButton="0" quotePrefix="0" xfId="0">
      <alignment horizontal="center" vertical="center" shrinkToFit="1"/>
    </xf>
    <xf numFmtId="0" fontId="0" fillId="11" borderId="21" applyAlignment="1" pivotButton="0" quotePrefix="0" xfId="0">
      <alignment horizontal="center" vertical="center" shrinkToFit="1"/>
    </xf>
    <xf numFmtId="0" fontId="0" fillId="12" borderId="20" applyAlignment="1" pivotButton="0" quotePrefix="0" xfId="0">
      <alignment horizontal="center" vertical="center" shrinkToFit="1"/>
    </xf>
    <xf numFmtId="0" fontId="0" fillId="12" borderId="22" applyAlignment="1" pivotButton="0" quotePrefix="0" xfId="0">
      <alignment horizontal="center" vertical="center" shrinkToFit="1"/>
    </xf>
    <xf numFmtId="0" fontId="0" fillId="7" borderId="22" applyAlignment="1" pivotButton="0" quotePrefix="0" xfId="0">
      <alignment horizontal="center" vertical="center" shrinkToFit="1"/>
    </xf>
    <xf numFmtId="0" fontId="0" fillId="5" borderId="35" applyAlignment="1" pivotButton="0" quotePrefix="0" xfId="0">
      <alignment horizontal="center" vertical="center" shrinkToFit="1"/>
    </xf>
    <xf numFmtId="0" fontId="0" fillId="5" borderId="38" applyAlignment="1" pivotButton="0" quotePrefix="0" xfId="0">
      <alignment horizontal="center" vertical="center" shrinkToFit="1"/>
    </xf>
    <xf numFmtId="164" fontId="3" fillId="0" borderId="12" applyAlignment="1" pivotButton="0" quotePrefix="0" xfId="0">
      <alignment horizontal="center" vertical="center"/>
    </xf>
    <xf numFmtId="164" fontId="3" fillId="0" borderId="8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164" fontId="3" fillId="0" borderId="16" applyAlignment="1" pivotButton="0" quotePrefix="0" xfId="0">
      <alignment horizontal="center" vertical="center"/>
    </xf>
    <xf numFmtId="164" fontId="3" fillId="0" borderId="19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11" fillId="0" borderId="12" applyAlignment="1" pivotButton="0" quotePrefix="0" xfId="0">
      <alignment horizontal="center" vertical="center"/>
    </xf>
    <xf numFmtId="164" fontId="11" fillId="0" borderId="7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4" fillId="0" borderId="17" applyAlignment="1" pivotButton="0" quotePrefix="0" xfId="0">
      <alignment horizontal="center" vertical="center"/>
    </xf>
    <xf numFmtId="164" fontId="4" fillId="0" borderId="12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164" fontId="4" fillId="0" borderId="19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5" fillId="3" borderId="39" applyAlignment="1" pivotButton="0" quotePrefix="0" xfId="0">
      <alignment horizontal="right" vertical="center"/>
    </xf>
    <xf numFmtId="164" fontId="5" fillId="3" borderId="40" applyAlignment="1" pivotButton="0" quotePrefix="0" xfId="0">
      <alignment horizontal="right" vertical="center"/>
    </xf>
    <xf numFmtId="164" fontId="5" fillId="3" borderId="41" applyAlignment="1" pivotButton="0" quotePrefix="0" xfId="0">
      <alignment horizontal="right" vertical="center"/>
    </xf>
    <xf numFmtId="0" fontId="3" fillId="0" borderId="16" applyAlignment="1" pivotButton="0" quotePrefix="0" xfId="0">
      <alignment horizontal="center" vertical="center"/>
    </xf>
    <xf numFmtId="164" fontId="3" fillId="0" borderId="8" applyAlignment="1" pivotButton="0" quotePrefix="0" xfId="0">
      <alignment horizontal="right" vertical="center"/>
    </xf>
    <xf numFmtId="164" fontId="12" fillId="0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164" fontId="3" fillId="0" borderId="28" applyAlignment="1" pivotButton="0" quotePrefix="0" xfId="0">
      <alignment horizontal="center" vertical="center"/>
    </xf>
    <xf numFmtId="164" fontId="3" fillId="0" borderId="27" applyAlignment="1" pivotButton="0" quotePrefix="0" xfId="0">
      <alignment horizontal="center" vertical="center"/>
    </xf>
    <xf numFmtId="164" fontId="3" fillId="0" borderId="29" applyAlignment="1" pivotButton="0" quotePrefix="0" xfId="0">
      <alignment horizontal="center" vertical="center"/>
    </xf>
    <xf numFmtId="164" fontId="3" fillId="0" borderId="30" applyAlignment="1" pivotButton="0" quotePrefix="0" xfId="0">
      <alignment horizontal="center" vertical="center"/>
    </xf>
    <xf numFmtId="164" fontId="3" fillId="0" borderId="31" applyAlignment="1" pivotButton="0" quotePrefix="0" xfId="0">
      <alignment horizontal="center" vertical="center"/>
    </xf>
    <xf numFmtId="164" fontId="3" fillId="0" borderId="34" applyAlignment="1" pivotButton="0" quotePrefix="0" xfId="0">
      <alignment horizontal="center" vertical="center"/>
    </xf>
    <xf numFmtId="164" fontId="3" fillId="0" borderId="33" applyAlignment="1" pivotButton="0" quotePrefix="0" xfId="0">
      <alignment horizontal="center" vertical="center"/>
    </xf>
    <xf numFmtId="164" fontId="3" fillId="0" borderId="32" applyAlignment="1" pivotButton="0" quotePrefix="0" xfId="0">
      <alignment horizontal="center" vertical="center"/>
    </xf>
    <xf numFmtId="164" fontId="13" fillId="0" borderId="2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13" fillId="0" borderId="3" applyAlignment="1" pivotButton="0" quotePrefix="0" xfId="0">
      <alignment horizontal="center" vertical="center"/>
    </xf>
    <xf numFmtId="164" fontId="12" fillId="0" borderId="12" applyAlignment="1" pivotButton="0" quotePrefix="0" xfId="0">
      <alignment horizontal="right" vertical="center"/>
    </xf>
    <xf numFmtId="164" fontId="12" fillId="0" borderId="2" applyAlignment="1" pivotButton="0" quotePrefix="0" xfId="0">
      <alignment horizontal="right" vertical="center"/>
    </xf>
    <xf numFmtId="164" fontId="13" fillId="0" borderId="4" applyAlignment="1" pivotButton="0" quotePrefix="0" xfId="0">
      <alignment horizontal="center" vertical="center"/>
    </xf>
    <xf numFmtId="164" fontId="13" fillId="0" borderId="30" applyAlignment="1" pivotButton="0" quotePrefix="0" xfId="0">
      <alignment horizontal="center" vertical="center"/>
    </xf>
    <xf numFmtId="164" fontId="13" fillId="0" borderId="27" applyAlignment="1" pivotButton="0" quotePrefix="0" xfId="0">
      <alignment horizontal="center" vertical="center"/>
    </xf>
    <xf numFmtId="164" fontId="13" fillId="0" borderId="28" applyAlignment="1" pivotButton="0" quotePrefix="0" xfId="0">
      <alignment horizontal="center" vertical="center"/>
    </xf>
    <xf numFmtId="164" fontId="13" fillId="0" borderId="12" applyAlignment="1" pivotButton="0" quotePrefix="0" xfId="0">
      <alignment horizontal="center" vertical="center"/>
    </xf>
    <xf numFmtId="164" fontId="13" fillId="0" borderId="7" applyAlignment="1" pivotButton="0" quotePrefix="0" xfId="0">
      <alignment horizontal="center" vertical="center"/>
    </xf>
    <xf numFmtId="164" fontId="3" fillId="0" borderId="7" applyAlignment="1" pivotButton="0" quotePrefix="0" xfId="0">
      <alignment horizontal="right" vertical="center"/>
    </xf>
    <xf numFmtId="164" fontId="13" fillId="0" borderId="5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4" fontId="12" fillId="0" borderId="3" applyAlignment="1" pivotButton="0" quotePrefix="0" xfId="0">
      <alignment horizontal="right" vertical="center"/>
    </xf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13" fillId="0" borderId="13" applyAlignment="1" pivotButton="0" quotePrefix="0" xfId="0">
      <alignment horizontal="center" vertical="center"/>
    </xf>
    <xf numFmtId="164" fontId="3" fillId="0" borderId="17" applyAlignment="1" pivotButton="0" quotePrefix="0" xfId="0">
      <alignment horizontal="center" vertical="center"/>
    </xf>
    <xf numFmtId="164" fontId="3" fillId="0" borderId="14" applyAlignment="1" pivotButton="0" quotePrefix="0" xfId="0">
      <alignment horizontal="center" vertical="center"/>
    </xf>
    <xf numFmtId="165" fontId="7" fillId="0" borderId="25" applyAlignment="1" pivotButton="0" quotePrefix="0" xfId="0">
      <alignment horizontal="center" vertical="center" shrinkToFit="1"/>
    </xf>
    <xf numFmtId="166" fontId="2" fillId="0" borderId="24" applyAlignment="1" pivotButton="0" quotePrefix="0" xfId="0">
      <alignment horizontal="center" vertical="center" shrinkToFit="1"/>
    </xf>
    <xf numFmtId="0" fontId="0" fillId="11" borderId="20" applyAlignment="1" pivotButton="0" quotePrefix="0" xfId="0">
      <alignment horizontal="center" vertical="center" shrinkToFit="1"/>
    </xf>
    <xf numFmtId="164" fontId="3" fillId="0" borderId="1" applyAlignment="1" pivotButton="0" quotePrefix="0" xfId="0">
      <alignment horizontal="right" vertical="center"/>
    </xf>
    <xf numFmtId="164" fontId="3" fillId="0" borderId="2" applyAlignment="1" pivotButton="0" quotePrefix="0" xfId="0">
      <alignment vertical="center"/>
    </xf>
    <xf numFmtId="164" fontId="3" fillId="0" borderId="13" applyAlignment="1" pivotButton="0" quotePrefix="0" xfId="0">
      <alignment vertical="center"/>
    </xf>
    <xf numFmtId="164" fontId="3" fillId="0" borderId="3" applyAlignment="1" pivotButton="0" quotePrefix="0" xfId="0">
      <alignment vertical="center"/>
    </xf>
    <xf numFmtId="164" fontId="3" fillId="0" borderId="4" applyAlignment="1" pivotButton="0" quotePrefix="0" xfId="0">
      <alignment vertical="center"/>
    </xf>
    <xf numFmtId="164" fontId="3" fillId="0" borderId="8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4" fontId="3" fillId="0" borderId="7" applyAlignment="1" pivotButton="0" quotePrefix="0" xfId="0">
      <alignment vertical="center"/>
    </xf>
    <xf numFmtId="164" fontId="3" fillId="0" borderId="10" applyAlignment="1" pivotButton="0" quotePrefix="0" xfId="0">
      <alignment vertical="center"/>
    </xf>
    <xf numFmtId="164" fontId="3" fillId="0" borderId="12" applyAlignment="1" pivotButton="0" quotePrefix="0" xfId="0">
      <alignment vertical="center"/>
    </xf>
    <xf numFmtId="164" fontId="3" fillId="0" borderId="11" applyAlignment="1" pivotButton="0" quotePrefix="0" xfId="0">
      <alignment vertical="center"/>
    </xf>
    <xf numFmtId="164" fontId="3" fillId="0" borderId="14" applyAlignment="1" pivotButton="0" quotePrefix="0" xfId="0">
      <alignment vertical="center"/>
    </xf>
    <xf numFmtId="164" fontId="3" fillId="0" borderId="15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4" fontId="3" fillId="0" borderId="9" applyAlignment="1" pivotButton="0" quotePrefix="0" xfId="0">
      <alignment vertical="center"/>
    </xf>
    <xf numFmtId="164" fontId="3" fillId="0" borderId="19" applyAlignment="1" pivotButton="0" quotePrefix="0" xfId="0">
      <alignment vertical="center"/>
    </xf>
    <xf numFmtId="164" fontId="3" fillId="0" borderId="4" applyAlignment="1" pivotButton="0" quotePrefix="0" xfId="0">
      <alignment horizontal="right" vertical="center"/>
    </xf>
    <xf numFmtId="166" fontId="2" fillId="0" borderId="46" applyAlignment="1" pivotButton="0" quotePrefix="0" xfId="0">
      <alignment horizontal="center" vertical="center" shrinkToFit="1"/>
    </xf>
    <xf numFmtId="164" fontId="12" fillId="0" borderId="4" applyAlignment="1" pivotButton="0" quotePrefix="0" xfId="0">
      <alignment horizontal="center" vertical="center"/>
    </xf>
    <xf numFmtId="164" fontId="12" fillId="0" borderId="5" applyAlignment="1" pivotButton="0" quotePrefix="0" xfId="0">
      <alignment horizontal="center" vertical="center"/>
    </xf>
    <xf numFmtId="164" fontId="12" fillId="0" borderId="1" applyAlignment="1" pivotButton="0" quotePrefix="0" xfId="0">
      <alignment horizontal="right" vertical="center"/>
    </xf>
    <xf numFmtId="164" fontId="12" fillId="0" borderId="7" applyAlignment="1" pivotButton="0" quotePrefix="0" xfId="0">
      <alignment horizontal="right" vertical="center"/>
    </xf>
    <xf numFmtId="0" fontId="0" fillId="11" borderId="22" applyAlignment="1" pivotButton="0" quotePrefix="0" xfId="0">
      <alignment horizontal="center" vertical="center" shrinkToFit="1"/>
    </xf>
    <xf numFmtId="164" fontId="12" fillId="0" borderId="8" applyAlignment="1" pivotButton="0" quotePrefix="0" xfId="0">
      <alignment horizontal="right" vertical="center"/>
    </xf>
    <xf numFmtId="164" fontId="14" fillId="0" borderId="31" applyAlignment="1" pivotButton="0" quotePrefix="0" xfId="0">
      <alignment horizontal="center" vertical="center"/>
    </xf>
    <xf numFmtId="164" fontId="14" fillId="0" borderId="27" applyAlignment="1" pivotButton="0" quotePrefix="0" xfId="0">
      <alignment horizontal="center" vertical="center"/>
    </xf>
    <xf numFmtId="164" fontId="14" fillId="0" borderId="30" applyAlignment="1" pivotButton="0" quotePrefix="0" xfId="0">
      <alignment horizontal="center" vertical="center"/>
    </xf>
    <xf numFmtId="164" fontId="14" fillId="0" borderId="28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164" fontId="14" fillId="0" borderId="3" applyAlignment="1" pivotButton="0" quotePrefix="0" xfId="0">
      <alignment horizontal="center" vertical="center"/>
    </xf>
    <xf numFmtId="164" fontId="14" fillId="0" borderId="4" applyAlignment="1" pivotButton="0" quotePrefix="0" xfId="0">
      <alignment horizontal="center" vertical="center"/>
    </xf>
    <xf numFmtId="164" fontId="14" fillId="0" borderId="10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4" fontId="14" fillId="0" borderId="29" applyAlignment="1" pivotButton="0" quotePrefix="0" xfId="0">
      <alignment horizontal="center" vertical="center"/>
    </xf>
    <xf numFmtId="164" fontId="14" fillId="0" borderId="34" applyAlignment="1" pivotButton="0" quotePrefix="0" xfId="0">
      <alignment horizontal="center" vertical="center"/>
    </xf>
    <xf numFmtId="164" fontId="14" fillId="0" borderId="33" applyAlignment="1" pivotButton="0" quotePrefix="0" xfId="0">
      <alignment horizontal="center" vertical="center"/>
    </xf>
    <xf numFmtId="164" fontId="14" fillId="0" borderId="32" applyAlignment="1" pivotButton="0" quotePrefix="0" xfId="0">
      <alignment horizontal="center" vertical="center"/>
    </xf>
    <xf numFmtId="164" fontId="15" fillId="0" borderId="48" applyAlignment="1" pivotButton="0" quotePrefix="0" xfId="0">
      <alignment horizontal="center" vertical="center"/>
    </xf>
    <xf numFmtId="164" fontId="15" fillId="0" borderId="47" applyAlignment="1" pivotButton="0" quotePrefix="0" xfId="0">
      <alignment horizontal="center" vertical="center"/>
    </xf>
    <xf numFmtId="164" fontId="15" fillId="0" borderId="49" applyAlignment="1" pivotButton="0" quotePrefix="0" xfId="0">
      <alignment horizontal="center" vertical="center"/>
    </xf>
    <xf numFmtId="164" fontId="15" fillId="0" borderId="50" applyAlignment="1" pivotButton="0" quotePrefix="0" xfId="0">
      <alignment horizontal="center" vertical="center"/>
    </xf>
    <xf numFmtId="164" fontId="15" fillId="0" borderId="51" applyAlignment="1" pivotButton="0" quotePrefix="0" xfId="0">
      <alignment horizontal="center" vertical="center"/>
    </xf>
    <xf numFmtId="164" fontId="15" fillId="0" borderId="52" applyAlignment="1" pivotButton="0" quotePrefix="0" xfId="0">
      <alignment horizontal="center" vertical="center"/>
    </xf>
    <xf numFmtId="164" fontId="16" fillId="0" borderId="2" applyAlignment="1" pivotButton="0" quotePrefix="0" xfId="0">
      <alignment horizontal="center" vertical="center"/>
    </xf>
    <xf numFmtId="164" fontId="16" fillId="0" borderId="3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164" fontId="17" fillId="0" borderId="11" applyAlignment="1" pivotButton="0" quotePrefix="0" xfId="0">
      <alignment horizontal="center" vertical="center"/>
    </xf>
    <xf numFmtId="164" fontId="12" fillId="0" borderId="10" applyAlignment="1" pivotButton="0" quotePrefix="0" xfId="0">
      <alignment horizontal="center" vertical="center"/>
    </xf>
    <xf numFmtId="164" fontId="14" fillId="0" borderId="49" applyAlignment="1" pivotButton="0" quotePrefix="0" xfId="0">
      <alignment horizontal="center" vertical="center"/>
    </xf>
    <xf numFmtId="164" fontId="14" fillId="0" borderId="48" applyAlignment="1" pivotButton="0" quotePrefix="0" xfId="0">
      <alignment horizontal="center" vertical="center"/>
    </xf>
    <xf numFmtId="164" fontId="14" fillId="0" borderId="50" applyAlignment="1" pivotButton="0" quotePrefix="0" xfId="0">
      <alignment horizontal="center" vertical="center"/>
    </xf>
    <xf numFmtId="164" fontId="14" fillId="0" borderId="5" applyAlignment="1" pivotButton="0" quotePrefix="0" xfId="0">
      <alignment horizontal="center" vertical="center"/>
    </xf>
    <xf numFmtId="164" fontId="24" fillId="0" borderId="11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 shrinkToFit="1"/>
    </xf>
    <xf numFmtId="0" fontId="1" fillId="7" borderId="36" applyAlignment="1" pivotButton="0" quotePrefix="0" xfId="0">
      <alignment horizontal="center" vertical="center" shrinkToFit="1"/>
    </xf>
    <xf numFmtId="0" fontId="1" fillId="7" borderId="21" applyAlignment="1" pivotButton="0" quotePrefix="0" xfId="0">
      <alignment horizontal="center" vertical="center" shrinkToFit="1"/>
    </xf>
    <xf numFmtId="164" fontId="27" fillId="0" borderId="50" applyAlignment="1" pivotButton="0" quotePrefix="0" xfId="0">
      <alignment horizontal="center" vertical="center"/>
    </xf>
    <xf numFmtId="0" fontId="1" fillId="6" borderId="35" applyAlignment="1" pivotButton="0" quotePrefix="0" xfId="0">
      <alignment horizontal="center" vertical="center" shrinkToFit="1"/>
    </xf>
    <xf numFmtId="164" fontId="2" fillId="0" borderId="81" applyAlignment="1" pivotButton="0" quotePrefix="0" xfId="0">
      <alignment vertical="center"/>
    </xf>
    <xf numFmtId="164" fontId="14" fillId="0" borderId="81" applyAlignment="1" pivotButton="0" quotePrefix="0" xfId="0">
      <alignment horizontal="center" vertical="center"/>
    </xf>
    <xf numFmtId="164" fontId="14" fillId="0" borderId="24" applyAlignment="1" pivotButton="0" quotePrefix="0" xfId="0">
      <alignment horizontal="center" vertical="center"/>
    </xf>
    <xf numFmtId="164" fontId="17" fillId="0" borderId="49" applyAlignment="1" pivotButton="0" quotePrefix="0" xfId="0">
      <alignment horizontal="center" vertical="center"/>
    </xf>
    <xf numFmtId="0" fontId="1" fillId="6" borderId="21" applyAlignment="1" pivotButton="0" quotePrefix="0" xfId="0">
      <alignment horizontal="center" vertical="center" shrinkToFit="1"/>
    </xf>
    <xf numFmtId="164" fontId="14" fillId="0" borderId="47" applyAlignment="1" pivotButton="0" quotePrefix="0" xfId="0">
      <alignment horizontal="center" vertical="center"/>
    </xf>
    <xf numFmtId="164" fontId="28" fillId="0" borderId="2" applyAlignment="1" pivotButton="0" quotePrefix="0" xfId="0">
      <alignment horizontal="center" vertical="center"/>
    </xf>
    <xf numFmtId="164" fontId="28" fillId="0" borderId="50" applyAlignment="1" pivotButton="0" quotePrefix="0" xfId="0">
      <alignment horizontal="center" vertical="center"/>
    </xf>
    <xf numFmtId="164" fontId="28" fillId="0" borderId="4" applyAlignment="1" pivotButton="0" quotePrefix="0" xfId="0">
      <alignment horizontal="center" vertical="center"/>
    </xf>
    <xf numFmtId="164" fontId="28" fillId="0" borderId="48" applyAlignment="1" pivotButton="0" quotePrefix="0" xfId="0">
      <alignment horizontal="center" vertical="center"/>
    </xf>
    <xf numFmtId="164" fontId="28" fillId="0" borderId="47" applyAlignment="1" pivotButton="0" quotePrefix="0" xfId="0">
      <alignment horizontal="center" vertical="center"/>
    </xf>
    <xf numFmtId="164" fontId="29" fillId="0" borderId="50" applyAlignment="1" pivotButton="0" quotePrefix="0" xfId="0">
      <alignment horizontal="center" vertical="center"/>
    </xf>
    <xf numFmtId="164" fontId="29" fillId="0" borderId="48" applyAlignment="1" pivotButton="0" quotePrefix="0" xfId="0">
      <alignment horizontal="center" vertical="center"/>
    </xf>
    <xf numFmtId="164" fontId="29" fillId="0" borderId="47" applyAlignment="1" pivotButton="0" quotePrefix="0" xfId="0">
      <alignment horizontal="center" vertical="center"/>
    </xf>
    <xf numFmtId="164" fontId="28" fillId="0" borderId="3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164" fontId="28" fillId="0" borderId="49" applyAlignment="1" pivotButton="0" quotePrefix="0" xfId="0">
      <alignment horizontal="center" vertical="center"/>
    </xf>
    <xf numFmtId="164" fontId="29" fillId="0" borderId="3" applyAlignment="1" pivotButton="0" quotePrefix="0" xfId="0">
      <alignment horizontal="center" vertical="center"/>
    </xf>
    <xf numFmtId="164" fontId="15" fillId="0" borderId="82" applyAlignment="1" pivotButton="0" quotePrefix="0" xfId="0">
      <alignment horizontal="center" vertical="center"/>
    </xf>
    <xf numFmtId="164" fontId="5" fillId="0" borderId="60" applyAlignment="1" pivotButton="0" quotePrefix="0" xfId="0">
      <alignment horizontal="right" vertical="center"/>
    </xf>
    <xf numFmtId="0" fontId="1" fillId="12" borderId="36" applyAlignment="1" pivotButton="0" quotePrefix="0" xfId="0">
      <alignment horizontal="center" vertical="center" shrinkToFit="1"/>
    </xf>
    <xf numFmtId="0" fontId="1" fillId="12" borderId="60" applyAlignment="1" pivotButton="0" quotePrefix="0" xfId="0">
      <alignment horizontal="center" vertical="center" shrinkToFit="1"/>
    </xf>
    <xf numFmtId="0" fontId="1" fillId="12" borderId="22" applyAlignment="1" pivotButton="0" quotePrefix="0" xfId="0">
      <alignment horizontal="center" vertical="center" shrinkToFit="1"/>
    </xf>
    <xf numFmtId="164" fontId="30" fillId="0" borderId="1" applyAlignment="1" pivotButton="0" quotePrefix="0" xfId="0">
      <alignment horizontal="center" vertical="center"/>
    </xf>
    <xf numFmtId="164" fontId="30" fillId="0" borderId="4" applyAlignment="1" pivotButton="0" quotePrefix="0" xfId="0">
      <alignment horizontal="center" vertical="center"/>
    </xf>
    <xf numFmtId="164" fontId="30" fillId="0" borderId="2" applyAlignment="1" pivotButton="0" quotePrefix="0" xfId="0">
      <alignment horizontal="center" vertical="center"/>
    </xf>
    <xf numFmtId="164" fontId="30" fillId="0" borderId="3" applyAlignment="1" pivotButton="0" quotePrefix="0" xfId="0">
      <alignment horizontal="center" vertical="center"/>
    </xf>
    <xf numFmtId="164" fontId="30" fillId="0" borderId="5" applyAlignment="1" pivotButton="0" quotePrefix="0" xfId="0">
      <alignment horizontal="center" vertical="center"/>
    </xf>
    <xf numFmtId="0" fontId="12" fillId="0" borderId="16" applyAlignment="1" pivotButton="0" quotePrefix="0" xfId="0">
      <alignment horizontal="right" vertical="center"/>
    </xf>
    <xf numFmtId="164" fontId="30" fillId="0" borderId="30" applyAlignment="1" pivotButton="0" quotePrefix="0" xfId="0">
      <alignment horizontal="center" vertical="center"/>
    </xf>
    <xf numFmtId="164" fontId="30" fillId="0" borderId="28" applyAlignment="1" pivotButton="0" quotePrefix="0" xfId="0">
      <alignment horizontal="center" vertical="center"/>
    </xf>
    <xf numFmtId="164" fontId="30" fillId="0" borderId="10" applyAlignment="1" pivotButton="0" quotePrefix="0" xfId="0">
      <alignment horizontal="center" vertical="center"/>
    </xf>
    <xf numFmtId="164" fontId="30" fillId="0" borderId="11" applyAlignment="1" pivotButton="0" quotePrefix="0" xfId="0">
      <alignment horizontal="center" vertical="center"/>
    </xf>
    <xf numFmtId="164" fontId="30" fillId="0" borderId="9" applyAlignment="1" pivotButton="0" quotePrefix="0" xfId="0">
      <alignment horizontal="center" vertical="center"/>
    </xf>
    <xf numFmtId="164" fontId="3" fillId="0" borderId="16" applyAlignment="1" pivotButton="0" quotePrefix="0" xfId="0">
      <alignment vertical="center"/>
    </xf>
    <xf numFmtId="164" fontId="5" fillId="3" borderId="54" applyAlignment="1" pivotButton="0" quotePrefix="0" xfId="0">
      <alignment horizontal="right" vertical="center"/>
    </xf>
    <xf numFmtId="0" fontId="1" fillId="4" borderId="20" applyAlignment="1" pivotButton="0" quotePrefix="0" xfId="0">
      <alignment horizontal="center" vertical="center" shrinkToFit="1"/>
    </xf>
    <xf numFmtId="0" fontId="1" fillId="4" borderId="21" applyAlignment="1" pivotButton="0" quotePrefix="0" xfId="0">
      <alignment horizontal="center" vertical="center" shrinkToFit="1"/>
    </xf>
    <xf numFmtId="0" fontId="6" fillId="7" borderId="36" applyAlignment="1" pivotButton="0" quotePrefix="0" xfId="0">
      <alignment horizontal="center" vertical="center" shrinkToFit="1"/>
    </xf>
    <xf numFmtId="0" fontId="6" fillId="7" borderId="21" applyAlignment="1" pivotButton="0" quotePrefix="0" xfId="0">
      <alignment horizontal="center" vertical="center" shrinkToFit="1"/>
    </xf>
    <xf numFmtId="164" fontId="29" fillId="0" borderId="2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164" fontId="29" fillId="0" borderId="4" applyAlignment="1" pivotButton="0" quotePrefix="0" xfId="0">
      <alignment horizontal="center" vertical="center"/>
    </xf>
    <xf numFmtId="164" fontId="29" fillId="0" borderId="27" applyAlignment="1" pivotButton="0" quotePrefix="0" xfId="0">
      <alignment horizontal="center" vertical="center"/>
    </xf>
    <xf numFmtId="0" fontId="28" fillId="0" borderId="60" applyAlignment="1" pivotButton="0" quotePrefix="0" xfId="0">
      <alignment horizontal="center" vertical="center"/>
    </xf>
    <xf numFmtId="164" fontId="29" fillId="0" borderId="28" applyAlignment="1" pivotButton="0" quotePrefix="0" xfId="0">
      <alignment horizontal="center" vertical="center"/>
    </xf>
    <xf numFmtId="164" fontId="29" fillId="0" borderId="32" applyAlignment="1" pivotButton="0" quotePrefix="0" xfId="0">
      <alignment horizontal="center" vertical="center"/>
    </xf>
    <xf numFmtId="164" fontId="30" fillId="0" borderId="29" applyAlignment="1" pivotButton="0" quotePrefix="0" xfId="0">
      <alignment horizontal="center" vertical="center"/>
    </xf>
    <xf numFmtId="164" fontId="14" fillId="0" borderId="9" applyAlignment="1" pivotButton="0" quotePrefix="0" xfId="0">
      <alignment horizontal="center" vertical="center"/>
    </xf>
    <xf numFmtId="0" fontId="28" fillId="0" borderId="16" applyAlignment="1" pivotButton="0" quotePrefix="0" xfId="0">
      <alignment horizontal="center" vertical="center"/>
    </xf>
    <xf numFmtId="164" fontId="29" fillId="0" borderId="5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164" fontId="28" fillId="0" borderId="82" applyAlignment="1" pivotButton="0" quotePrefix="0" xfId="0">
      <alignment horizontal="center" vertical="center"/>
    </xf>
    <xf numFmtId="164" fontId="14" fillId="0" borderId="82" applyAlignment="1" pivotButton="0" quotePrefix="0" xfId="0">
      <alignment horizontal="center" vertical="center"/>
    </xf>
    <xf numFmtId="0" fontId="31" fillId="7" borderId="20" applyAlignment="1" pivotButton="0" quotePrefix="0" xfId="0">
      <alignment horizontal="center" vertical="center" shrinkToFit="1"/>
    </xf>
    <xf numFmtId="0" fontId="7" fillId="7" borderId="36" applyAlignment="1" pivotButton="0" quotePrefix="0" xfId="0">
      <alignment horizontal="center" vertical="center" shrinkToFit="1"/>
    </xf>
    <xf numFmtId="0" fontId="32" fillId="7" borderId="20" applyAlignment="1" pivotButton="0" quotePrefix="0" xfId="0">
      <alignment horizontal="center" vertical="center" shrinkToFit="1"/>
    </xf>
    <xf numFmtId="164" fontId="27" fillId="0" borderId="82" applyAlignment="1" pivotButton="0" quotePrefix="0" xfId="0">
      <alignment horizontal="center" vertical="center"/>
    </xf>
    <xf numFmtId="0" fontId="1" fillId="8" borderId="20" applyAlignment="1" pivotButton="0" quotePrefix="0" xfId="0">
      <alignment horizontal="center" vertical="center" shrinkToFit="1"/>
    </xf>
    <xf numFmtId="0" fontId="1" fillId="8" borderId="36" applyAlignment="1" pivotButton="0" quotePrefix="0" xfId="0">
      <alignment horizontal="center" vertical="center" shrinkToFit="1"/>
    </xf>
    <xf numFmtId="0" fontId="1" fillId="8" borderId="35" applyAlignment="1" pivotButton="0" quotePrefix="0" xfId="0">
      <alignment horizontal="center" vertical="center" shrinkToFit="1"/>
    </xf>
    <xf numFmtId="0" fontId="1" fillId="5" borderId="20" applyAlignment="1" pivotButton="0" quotePrefix="0" xfId="0">
      <alignment horizontal="center" vertical="center" shrinkToFit="1"/>
    </xf>
    <xf numFmtId="0" fontId="1" fillId="5" borderId="21" applyAlignment="1" pivotButton="0" quotePrefix="0" xfId="0">
      <alignment horizontal="center" vertical="center" shrinkToFit="1"/>
    </xf>
    <xf numFmtId="0" fontId="1" fillId="5" borderId="22" applyAlignment="1" pivotButton="0" quotePrefix="0" xfId="0">
      <alignment horizontal="center" vertical="center" shrinkToFit="1"/>
    </xf>
    <xf numFmtId="0" fontId="7" fillId="4" borderId="20" applyAlignment="1" pivotButton="0" quotePrefix="0" xfId="0">
      <alignment horizontal="center" vertical="center" shrinkToFit="1"/>
    </xf>
    <xf numFmtId="0" fontId="7" fillId="4" borderId="21" applyAlignment="1" pivotButton="0" quotePrefix="0" xfId="0">
      <alignment horizontal="center" vertical="center" shrinkToFit="1"/>
    </xf>
    <xf numFmtId="0" fontId="7" fillId="4" borderId="22" applyAlignment="1" pivotButton="0" quotePrefix="0" xfId="0">
      <alignment horizontal="center" vertical="center" shrinkToFit="1"/>
    </xf>
    <xf numFmtId="0" fontId="7" fillId="18" borderId="20" applyAlignment="1" pivotButton="0" quotePrefix="0" xfId="0">
      <alignment horizontal="center" vertical="center" shrinkToFit="1"/>
    </xf>
    <xf numFmtId="0" fontId="7" fillId="18" borderId="36" applyAlignment="1" pivotButton="0" quotePrefix="0" xfId="0">
      <alignment horizontal="center" vertical="center" shrinkToFit="1"/>
    </xf>
    <xf numFmtId="0" fontId="7" fillId="18" borderId="35" applyAlignment="1" pivotButton="0" quotePrefix="0" xfId="0">
      <alignment horizontal="center" vertical="center" shrinkToFit="1"/>
    </xf>
    <xf numFmtId="0" fontId="7" fillId="5" borderId="20" applyAlignment="1" pivotButton="0" quotePrefix="0" xfId="0">
      <alignment horizontal="center" vertical="center" shrinkToFit="1"/>
    </xf>
    <xf numFmtId="0" fontId="7" fillId="5" borderId="21" applyAlignment="1" pivotButton="0" quotePrefix="0" xfId="0">
      <alignment horizontal="center" vertical="center" shrinkToFit="1"/>
    </xf>
    <xf numFmtId="0" fontId="7" fillId="5" borderId="22" applyAlignment="1" pivotButton="0" quotePrefix="0" xfId="0">
      <alignment horizontal="center" vertical="center" shrinkToFit="1"/>
    </xf>
    <xf numFmtId="0" fontId="7" fillId="19" borderId="20" applyAlignment="1" pivotButton="0" quotePrefix="0" xfId="0">
      <alignment horizontal="center" vertical="center" shrinkToFit="1"/>
    </xf>
    <xf numFmtId="0" fontId="7" fillId="19" borderId="21" applyAlignment="1" pivotButton="0" quotePrefix="0" xfId="0">
      <alignment horizontal="center" vertical="center" shrinkToFit="1"/>
    </xf>
    <xf numFmtId="0" fontId="7" fillId="19" borderId="22" applyAlignment="1" pivotButton="0" quotePrefix="0" xfId="0">
      <alignment horizontal="center" vertical="center" shrinkToFit="1"/>
    </xf>
    <xf numFmtId="0" fontId="7" fillId="9" borderId="20" applyAlignment="1" pivotButton="0" quotePrefix="0" xfId="0">
      <alignment horizontal="center" vertical="center" shrinkToFit="1"/>
    </xf>
    <xf numFmtId="0" fontId="7" fillId="9" borderId="21" applyAlignment="1" pivotButton="0" quotePrefix="0" xfId="0">
      <alignment horizontal="center" vertical="center" shrinkToFit="1"/>
    </xf>
    <xf numFmtId="0" fontId="7" fillId="9" borderId="22" applyAlignment="1" pivotButton="0" quotePrefix="0" xfId="0">
      <alignment horizontal="center" vertical="center" shrinkToFit="1"/>
    </xf>
    <xf numFmtId="0" fontId="7" fillId="10" borderId="20" applyAlignment="1" pivotButton="0" quotePrefix="0" xfId="0">
      <alignment horizontal="center" vertical="center" shrinkToFit="1"/>
    </xf>
    <xf numFmtId="0" fontId="7" fillId="10" borderId="21" applyAlignment="1" pivotButton="0" quotePrefix="0" xfId="0">
      <alignment horizontal="center" vertical="center" shrinkToFit="1"/>
    </xf>
    <xf numFmtId="0" fontId="7" fillId="10" borderId="22" applyAlignment="1" pivotButton="0" quotePrefix="0" xfId="0">
      <alignment horizontal="center" vertical="center" shrinkToFit="1"/>
    </xf>
    <xf numFmtId="0" fontId="7" fillId="6" borderId="21" applyAlignment="1" pivotButton="0" quotePrefix="0" xfId="0">
      <alignment horizontal="center" vertical="center" shrinkToFit="1"/>
    </xf>
    <xf numFmtId="0" fontId="7" fillId="6" borderId="35" applyAlignment="1" pivotButton="0" quotePrefix="0" xfId="0">
      <alignment horizontal="center" vertical="center" shrinkToFit="1"/>
    </xf>
    <xf numFmtId="0" fontId="7" fillId="11" borderId="20" applyAlignment="1" pivotButton="0" quotePrefix="0" xfId="0">
      <alignment horizontal="center" vertical="center" shrinkToFit="1"/>
    </xf>
    <xf numFmtId="0" fontId="7" fillId="11" borderId="22" applyAlignment="1" pivotButton="0" quotePrefix="0" xfId="0">
      <alignment horizontal="center" vertical="center" shrinkToFit="1"/>
    </xf>
    <xf numFmtId="0" fontId="7" fillId="12" borderId="36" applyAlignment="1" pivotButton="0" quotePrefix="0" xfId="0">
      <alignment horizontal="center" vertical="center" shrinkToFit="1"/>
    </xf>
    <xf numFmtId="0" fontId="7" fillId="12" borderId="60" applyAlignment="1" pivotButton="0" quotePrefix="0" xfId="0">
      <alignment horizontal="center" vertical="center" shrinkToFit="1"/>
    </xf>
    <xf numFmtId="0" fontId="7" fillId="12" borderId="22" applyAlignment="1" pivotButton="0" quotePrefix="0" xfId="0">
      <alignment horizontal="center" vertical="center" shrinkToFit="1"/>
    </xf>
    <xf numFmtId="0" fontId="7" fillId="7" borderId="21" applyAlignment="1" pivotButton="0" quotePrefix="0" xfId="0">
      <alignment horizontal="center" vertical="center" shrinkToFit="1"/>
    </xf>
    <xf numFmtId="0" fontId="7" fillId="7" borderId="22" applyAlignment="1" pivotButton="0" quotePrefix="0" xfId="0">
      <alignment horizontal="center" vertical="center" shrinkToFit="1"/>
    </xf>
    <xf numFmtId="0" fontId="7" fillId="8" borderId="20" applyAlignment="1" pivotButton="0" quotePrefix="0" xfId="0">
      <alignment horizontal="center" vertical="center" shrinkToFit="1"/>
    </xf>
    <xf numFmtId="0" fontId="7" fillId="8" borderId="36" applyAlignment="1" pivotButton="0" quotePrefix="0" xfId="0">
      <alignment horizontal="center" vertical="center" shrinkToFit="1"/>
    </xf>
    <xf numFmtId="0" fontId="7" fillId="8" borderId="35" applyAlignment="1" pivotButton="0" quotePrefix="0" xfId="0">
      <alignment horizontal="center" vertical="center" shrinkToFit="1"/>
    </xf>
    <xf numFmtId="166" fontId="2" fillId="0" borderId="85" applyAlignment="1" pivotButton="0" quotePrefix="0" xfId="0">
      <alignment horizontal="center" vertical="center" shrinkToFit="1"/>
    </xf>
    <xf numFmtId="165" fontId="7" fillId="0" borderId="85" applyAlignment="1" pivotButton="0" quotePrefix="0" xfId="0">
      <alignment horizontal="center" vertical="center" shrinkToFit="1"/>
    </xf>
    <xf numFmtId="166" fontId="2" fillId="0" borderId="85" applyAlignment="1" pivotButton="0" quotePrefix="0" xfId="0">
      <alignment horizontal="left" vertical="center" shrinkToFit="1"/>
    </xf>
    <xf numFmtId="164" fontId="14" fillId="0" borderId="39" applyAlignment="1" pivotButton="0" quotePrefix="0" xfId="0">
      <alignment horizontal="center" vertical="center"/>
    </xf>
    <xf numFmtId="164" fontId="2" fillId="0" borderId="39" applyAlignment="1" pivotButton="0" quotePrefix="0" xfId="0">
      <alignment vertical="center"/>
    </xf>
    <xf numFmtId="164" fontId="16" fillId="0" borderId="39" applyAlignment="1" pivotButton="0" quotePrefix="0" xfId="0">
      <alignment horizontal="center" vertical="center"/>
    </xf>
    <xf numFmtId="164" fontId="12" fillId="0" borderId="39" applyAlignment="1" pivotButton="0" quotePrefix="0" xfId="0">
      <alignment horizontal="center" vertical="center"/>
    </xf>
    <xf numFmtId="164" fontId="3" fillId="0" borderId="39" applyAlignment="1" pivotButton="0" quotePrefix="0" xfId="0">
      <alignment horizontal="center" vertical="center"/>
    </xf>
    <xf numFmtId="164" fontId="3" fillId="0" borderId="39" applyAlignment="1" pivotButton="0" quotePrefix="0" xfId="0">
      <alignment vertical="center"/>
    </xf>
    <xf numFmtId="164" fontId="14" fillId="0" borderId="40" applyAlignment="1" pivotButton="0" quotePrefix="0" xfId="0">
      <alignment horizontal="center" vertical="center"/>
    </xf>
    <xf numFmtId="164" fontId="2" fillId="0" borderId="40" applyAlignment="1" pivotButton="0" quotePrefix="0" xfId="0">
      <alignment vertical="center"/>
    </xf>
    <xf numFmtId="164" fontId="16" fillId="0" borderId="40" applyAlignment="1" pivotButton="0" quotePrefix="0" xfId="0">
      <alignment horizontal="center" vertical="center"/>
    </xf>
    <xf numFmtId="164" fontId="12" fillId="0" borderId="40" applyAlignment="1" pivotButton="0" quotePrefix="0" xfId="0">
      <alignment horizontal="center" vertical="center"/>
    </xf>
    <xf numFmtId="164" fontId="3" fillId="0" borderId="40" applyAlignment="1" pivotButton="0" quotePrefix="0" xfId="0">
      <alignment horizontal="center" vertical="center"/>
    </xf>
    <xf numFmtId="164" fontId="3" fillId="0" borderId="40" applyAlignment="1" pivotButton="0" quotePrefix="0" xfId="0">
      <alignment vertical="center"/>
    </xf>
    <xf numFmtId="164" fontId="14" fillId="0" borderId="41" applyAlignment="1" pivotButton="0" quotePrefix="0" xfId="0">
      <alignment horizontal="center" vertical="center"/>
    </xf>
    <xf numFmtId="164" fontId="2" fillId="0" borderId="41" applyAlignment="1" pivotButton="0" quotePrefix="0" xfId="0">
      <alignment vertical="center"/>
    </xf>
    <xf numFmtId="164" fontId="16" fillId="0" borderId="41" applyAlignment="1" pivotButton="0" quotePrefix="0" xfId="0">
      <alignment horizontal="center" vertical="center"/>
    </xf>
    <xf numFmtId="164" fontId="12" fillId="0" borderId="41" applyAlignment="1" pivotButton="0" quotePrefix="0" xfId="0">
      <alignment horizontal="center" vertical="center"/>
    </xf>
    <xf numFmtId="164" fontId="3" fillId="0" borderId="41" applyAlignment="1" pivotButton="0" quotePrefix="0" xfId="0">
      <alignment horizontal="center" vertical="center"/>
    </xf>
    <xf numFmtId="164" fontId="3" fillId="0" borderId="41" applyAlignment="1" pivotButton="0" quotePrefix="0" xfId="0">
      <alignment vertical="center"/>
    </xf>
    <xf numFmtId="164" fontId="28" fillId="0" borderId="39" applyAlignment="1" pivotButton="0" quotePrefix="0" xfId="0">
      <alignment horizontal="center" vertical="center"/>
    </xf>
    <xf numFmtId="164" fontId="12" fillId="0" borderId="42" applyAlignment="1" pivotButton="0" quotePrefix="0" xfId="0">
      <alignment horizontal="center" vertical="center"/>
    </xf>
    <xf numFmtId="164" fontId="30" fillId="0" borderId="39" applyAlignment="1" pivotButton="0" quotePrefix="0" xfId="0">
      <alignment horizontal="center" vertical="center"/>
    </xf>
    <xf numFmtId="164" fontId="14" fillId="0" borderId="42" applyAlignment="1" pivotButton="0" quotePrefix="0" xfId="0">
      <alignment horizontal="center" vertical="center"/>
    </xf>
    <xf numFmtId="164" fontId="28" fillId="0" borderId="42" applyAlignment="1" pivotButton="0" quotePrefix="0" xfId="0">
      <alignment horizontal="center" vertical="center"/>
    </xf>
    <xf numFmtId="164" fontId="30" fillId="0" borderId="42" applyAlignment="1" pivotButton="0" quotePrefix="0" xfId="0">
      <alignment horizontal="center" vertical="center"/>
    </xf>
    <xf numFmtId="164" fontId="2" fillId="0" borderId="42" applyAlignment="1" pivotButton="0" quotePrefix="0" xfId="0">
      <alignment vertical="center"/>
    </xf>
    <xf numFmtId="164" fontId="3" fillId="0" borderId="42" applyAlignment="1" pivotButton="0" quotePrefix="0" xfId="0">
      <alignment horizontal="center" vertical="center"/>
    </xf>
    <xf numFmtId="164" fontId="2" fillId="0" borderId="43" applyAlignment="1" pivotButton="0" quotePrefix="0" xfId="0">
      <alignment vertical="center"/>
    </xf>
    <xf numFmtId="164" fontId="2" fillId="0" borderId="54" applyAlignment="1" pivotButton="0" quotePrefix="0" xfId="0">
      <alignment vertical="center"/>
    </xf>
    <xf numFmtId="164" fontId="27" fillId="0" borderId="54" applyAlignment="1" pivotButton="0" quotePrefix="0" xfId="0">
      <alignment horizontal="center" vertical="center"/>
    </xf>
    <xf numFmtId="164" fontId="3" fillId="0" borderId="54" applyAlignment="1" pivotButton="0" quotePrefix="0" xfId="0">
      <alignment horizontal="center" vertical="center"/>
    </xf>
    <xf numFmtId="164" fontId="27" fillId="0" borderId="42" applyAlignment="1" pivotButton="0" quotePrefix="0" xfId="0">
      <alignment horizontal="center" vertical="center"/>
    </xf>
    <xf numFmtId="164" fontId="14" fillId="0" borderId="54" applyAlignment="1" pivotButton="0" quotePrefix="0" xfId="0">
      <alignment horizontal="center" vertical="center"/>
    </xf>
    <xf numFmtId="164" fontId="12" fillId="0" borderId="54" applyAlignment="1" pivotButton="0" quotePrefix="0" xfId="0">
      <alignment horizontal="center" vertical="center"/>
    </xf>
    <xf numFmtId="164" fontId="30" fillId="0" borderId="54" applyAlignment="1" pivotButton="0" quotePrefix="0" xfId="0">
      <alignment horizontal="center" vertical="center"/>
    </xf>
    <xf numFmtId="164" fontId="3" fillId="0" borderId="54" applyAlignment="1" pivotButton="0" quotePrefix="0" xfId="0">
      <alignment vertical="center"/>
    </xf>
    <xf numFmtId="164" fontId="30" fillId="0" borderId="41" applyAlignment="1" pivotButton="0" quotePrefix="0" xfId="0">
      <alignment horizontal="center" vertical="center"/>
    </xf>
    <xf numFmtId="164" fontId="3" fillId="0" borderId="43" applyAlignment="1" pivotButton="0" quotePrefix="0" xfId="0">
      <alignment horizontal="center" vertical="center"/>
    </xf>
    <xf numFmtId="164" fontId="15" fillId="0" borderId="39" applyAlignment="1" pivotButton="0" quotePrefix="0" xfId="0">
      <alignment horizontal="center" vertical="center"/>
    </xf>
    <xf numFmtId="164" fontId="15" fillId="0" borderId="42" applyAlignment="1" pivotButton="0" quotePrefix="0" xfId="0">
      <alignment horizontal="center" vertical="center"/>
    </xf>
    <xf numFmtId="164" fontId="29" fillId="0" borderId="40" applyAlignment="1" pivotButton="0" quotePrefix="0" xfId="0">
      <alignment horizontal="center" vertical="center"/>
    </xf>
    <xf numFmtId="164" fontId="30" fillId="0" borderId="40" applyAlignment="1" pivotButton="0" quotePrefix="0" xfId="0">
      <alignment horizontal="center" vertical="center"/>
    </xf>
    <xf numFmtId="164" fontId="28" fillId="0" borderId="40" applyAlignment="1" pivotButton="0" quotePrefix="0" xfId="0">
      <alignment horizontal="center" vertical="center"/>
    </xf>
    <xf numFmtId="164" fontId="28" fillId="0" borderId="41" applyAlignment="1" pivotButton="0" quotePrefix="0" xfId="0">
      <alignment horizontal="center" vertical="center"/>
    </xf>
    <xf numFmtId="164" fontId="29" fillId="0" borderId="42" applyAlignment="1" pivotButton="0" quotePrefix="0" xfId="0">
      <alignment horizontal="center" vertical="center"/>
    </xf>
    <xf numFmtId="164" fontId="29" fillId="0" borderId="41" applyAlignment="1" pivotButton="0" quotePrefix="0" xfId="0">
      <alignment horizontal="center" vertical="center"/>
    </xf>
    <xf numFmtId="164" fontId="3" fillId="0" borderId="42" applyAlignment="1" pivotButton="0" quotePrefix="0" xfId="0">
      <alignment vertical="center"/>
    </xf>
    <xf numFmtId="164" fontId="30" fillId="0" borderId="43" applyAlignment="1" pivotButton="0" quotePrefix="0" xfId="0">
      <alignment horizontal="center" vertical="center"/>
    </xf>
    <xf numFmtId="164" fontId="14" fillId="0" borderId="43" applyAlignment="1" pivotButton="0" quotePrefix="0" xfId="0">
      <alignment horizontal="center" vertical="center"/>
    </xf>
    <xf numFmtId="164" fontId="3" fillId="0" borderId="43" applyAlignment="1" pivotButton="0" quotePrefix="0" xfId="0">
      <alignment vertical="center"/>
    </xf>
    <xf numFmtId="164" fontId="15" fillId="0" borderId="55" applyAlignment="1" pivotButton="0" quotePrefix="0" xfId="0">
      <alignment horizontal="center" vertical="center"/>
    </xf>
    <xf numFmtId="164" fontId="2" fillId="0" borderId="55" applyAlignment="1" pivotButton="0" quotePrefix="0" xfId="0">
      <alignment vertical="center"/>
    </xf>
    <xf numFmtId="164" fontId="30" fillId="0" borderId="55" applyAlignment="1" pivotButton="0" quotePrefix="0" xfId="0">
      <alignment horizontal="center" vertical="center"/>
    </xf>
    <xf numFmtId="164" fontId="14" fillId="0" borderId="55" applyAlignment="1" pivotButton="0" quotePrefix="0" xfId="0">
      <alignment horizontal="center" vertical="center"/>
    </xf>
    <xf numFmtId="164" fontId="3" fillId="0" borderId="55" applyAlignment="1" pivotButton="0" quotePrefix="0" xfId="0">
      <alignment vertical="center"/>
    </xf>
    <xf numFmtId="164" fontId="15" fillId="0" borderId="54" applyAlignment="1" pivotButton="0" quotePrefix="0" xfId="0">
      <alignment horizontal="center" vertical="center"/>
    </xf>
    <xf numFmtId="164" fontId="15" fillId="0" borderId="41" applyAlignment="1" pivotButton="0" quotePrefix="0" xfId="0">
      <alignment horizontal="center" vertical="center"/>
    </xf>
    <xf numFmtId="164" fontId="17" fillId="0" borderId="39" applyAlignment="1" pivotButton="0" quotePrefix="0" xfId="0">
      <alignment horizontal="center" vertical="center"/>
    </xf>
    <xf numFmtId="164" fontId="15" fillId="0" borderId="40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164" fontId="15" fillId="0" borderId="44" applyAlignment="1" pivotButton="0" quotePrefix="0" xfId="0">
      <alignment horizontal="center" vertical="center"/>
    </xf>
    <xf numFmtId="164" fontId="2" fillId="0" borderId="44" applyAlignment="1" pivotButton="0" quotePrefix="0" xfId="0">
      <alignment vertical="center"/>
    </xf>
    <xf numFmtId="164" fontId="12" fillId="0" borderId="44" applyAlignment="1" pivotButton="0" quotePrefix="0" xfId="0">
      <alignment horizontal="center" vertical="center"/>
    </xf>
    <xf numFmtId="164" fontId="30" fillId="0" borderId="44" applyAlignment="1" pivotButton="0" quotePrefix="0" xfId="0">
      <alignment horizontal="center" vertical="center"/>
    </xf>
    <xf numFmtId="164" fontId="14" fillId="0" borderId="44" applyAlignment="1" pivotButton="0" quotePrefix="0" xfId="0">
      <alignment horizontal="center" vertical="center"/>
    </xf>
    <xf numFmtId="164" fontId="3" fillId="0" borderId="44" applyAlignment="1" pivotButton="0" quotePrefix="0" xfId="0">
      <alignment vertical="center"/>
    </xf>
    <xf numFmtId="164" fontId="3" fillId="0" borderId="44" applyAlignment="1" pivotButton="0" quotePrefix="0" xfId="0">
      <alignment horizontal="center" vertical="center"/>
    </xf>
    <xf numFmtId="164" fontId="12" fillId="0" borderId="39" applyAlignment="1" pivotButton="0" quotePrefix="0" xfId="0">
      <alignment horizontal="right" vertical="center"/>
    </xf>
    <xf numFmtId="164" fontId="14" fillId="0" borderId="53" applyAlignment="1" pivotButton="0" quotePrefix="0" xfId="0">
      <alignment horizontal="center" vertical="center"/>
    </xf>
    <xf numFmtId="164" fontId="12" fillId="0" borderId="40" applyAlignment="1" pivotButton="0" quotePrefix="0" xfId="0">
      <alignment horizontal="right" vertical="center"/>
    </xf>
    <xf numFmtId="0" fontId="12" fillId="0" borderId="54" applyAlignment="1" pivotButton="0" quotePrefix="0" xfId="0">
      <alignment horizontal="right" vertical="center"/>
    </xf>
    <xf numFmtId="164" fontId="12" fillId="0" borderId="41" applyAlignment="1" pivotButton="0" quotePrefix="0" xfId="0">
      <alignment horizontal="right" vertical="center"/>
    </xf>
    <xf numFmtId="164" fontId="24" fillId="0" borderId="55" applyAlignment="1" pivotButton="0" quotePrefix="0" xfId="0">
      <alignment horizontal="center" vertical="center"/>
    </xf>
    <xf numFmtId="0" fontId="7" fillId="4" borderId="87" applyAlignment="1" pivotButton="0" quotePrefix="0" xfId="0">
      <alignment horizontal="center" vertical="center" shrinkToFit="1"/>
    </xf>
    <xf numFmtId="0" fontId="7" fillId="4" borderId="88" applyAlignment="1" pivotButton="0" quotePrefix="0" xfId="0">
      <alignment horizontal="center" vertical="center" shrinkToFit="1"/>
    </xf>
    <xf numFmtId="0" fontId="7" fillId="4" borderId="89" applyAlignment="1" pivotButton="0" quotePrefix="0" xfId="0">
      <alignment horizontal="center" vertical="center" shrinkToFit="1"/>
    </xf>
    <xf numFmtId="0" fontId="32" fillId="7" borderId="87" applyAlignment="1" pivotButton="0" quotePrefix="0" xfId="0">
      <alignment horizontal="center" vertical="center" shrinkToFit="1"/>
    </xf>
    <xf numFmtId="0" fontId="7" fillId="18" borderId="87" applyAlignment="1" pivotButton="0" quotePrefix="0" xfId="0">
      <alignment horizontal="center" vertical="center" shrinkToFit="1"/>
    </xf>
    <xf numFmtId="0" fontId="7" fillId="18" borderId="90" applyAlignment="1" pivotButton="0" quotePrefix="0" xfId="0">
      <alignment horizontal="center" vertical="center" shrinkToFit="1"/>
    </xf>
    <xf numFmtId="0" fontId="7" fillId="18" borderId="91" applyAlignment="1" pivotButton="0" quotePrefix="0" xfId="0">
      <alignment horizontal="center" vertical="center" shrinkToFit="1"/>
    </xf>
    <xf numFmtId="0" fontId="7" fillId="9" borderId="87" applyAlignment="1" pivotButton="0" quotePrefix="0" xfId="0">
      <alignment horizontal="center" vertical="center" shrinkToFit="1"/>
    </xf>
    <xf numFmtId="0" fontId="7" fillId="9" borderId="88" applyAlignment="1" pivotButton="0" quotePrefix="0" xfId="0">
      <alignment horizontal="center" vertical="center" shrinkToFit="1"/>
    </xf>
    <xf numFmtId="0" fontId="7" fillId="9" borderId="89" applyAlignment="1" pivotButton="0" quotePrefix="0" xfId="0">
      <alignment horizontal="center" vertical="center" shrinkToFit="1"/>
    </xf>
    <xf numFmtId="0" fontId="7" fillId="10" borderId="87" applyAlignment="1" pivotButton="0" quotePrefix="0" xfId="0">
      <alignment horizontal="center" vertical="center" shrinkToFit="1"/>
    </xf>
    <xf numFmtId="0" fontId="7" fillId="10" borderId="88" applyAlignment="1" pivotButton="0" quotePrefix="0" xfId="0">
      <alignment horizontal="center" vertical="center" shrinkToFit="1"/>
    </xf>
    <xf numFmtId="0" fontId="7" fillId="10" borderId="89" applyAlignment="1" pivotButton="0" quotePrefix="0" xfId="0">
      <alignment horizontal="center" vertical="center" shrinkToFit="1"/>
    </xf>
    <xf numFmtId="0" fontId="7" fillId="6" borderId="88" applyAlignment="1" pivotButton="0" quotePrefix="0" xfId="0">
      <alignment horizontal="center" vertical="center" shrinkToFit="1"/>
    </xf>
    <xf numFmtId="0" fontId="7" fillId="6" borderId="91" applyAlignment="1" pivotButton="0" quotePrefix="0" xfId="0">
      <alignment horizontal="center" vertical="center" shrinkToFit="1"/>
    </xf>
    <xf numFmtId="0" fontId="7" fillId="11" borderId="87" applyAlignment="1" pivotButton="0" quotePrefix="0" xfId="0">
      <alignment horizontal="center" vertical="center" shrinkToFit="1"/>
    </xf>
    <xf numFmtId="0" fontId="7" fillId="12" borderId="90" applyAlignment="1" pivotButton="0" quotePrefix="0" xfId="0">
      <alignment horizontal="center" vertical="center" shrinkToFit="1"/>
    </xf>
    <xf numFmtId="0" fontId="7" fillId="12" borderId="0" applyAlignment="1" pivotButton="0" quotePrefix="0" xfId="0">
      <alignment horizontal="center" vertical="center" shrinkToFit="1"/>
    </xf>
    <xf numFmtId="0" fontId="7" fillId="12" borderId="89" applyAlignment="1" pivotButton="0" quotePrefix="0" xfId="0">
      <alignment horizontal="center" vertical="center" shrinkToFit="1"/>
    </xf>
    <xf numFmtId="0" fontId="7" fillId="7" borderId="88" applyAlignment="1" pivotButton="0" quotePrefix="0" xfId="0">
      <alignment horizontal="center" vertical="center" shrinkToFit="1"/>
    </xf>
    <xf numFmtId="0" fontId="7" fillId="7" borderId="89" applyAlignment="1" pivotButton="0" quotePrefix="0" xfId="0">
      <alignment horizontal="center" vertical="center" shrinkToFit="1"/>
    </xf>
    <xf numFmtId="0" fontId="2" fillId="2" borderId="26" applyAlignment="1" pivotButton="0" quotePrefix="0" xfId="0">
      <alignment horizontal="center" vertical="center" shrinkToFit="1"/>
    </xf>
    <xf numFmtId="164" fontId="28" fillId="0" borderId="54" applyAlignment="1" pivotButton="0" quotePrefix="0" xfId="0">
      <alignment horizontal="center" vertical="center"/>
    </xf>
    <xf numFmtId="0" fontId="7" fillId="6" borderId="40" applyAlignment="1" pivotButton="0" quotePrefix="0" xfId="0">
      <alignment horizontal="center" vertical="center" shrinkToFit="1"/>
    </xf>
    <xf numFmtId="0" fontId="32" fillId="7" borderId="90" applyAlignment="1" pivotButton="0" quotePrefix="0" xfId="0">
      <alignment horizontal="center" vertical="center" shrinkToFit="1"/>
    </xf>
    <xf numFmtId="0" fontId="7" fillId="11" borderId="91" applyAlignment="1" pivotButton="0" quotePrefix="0" xfId="0">
      <alignment horizontal="center" vertical="center" shrinkToFit="1"/>
    </xf>
    <xf numFmtId="0" fontId="7" fillId="11" borderId="39" applyAlignment="1" pivotButton="0" quotePrefix="0" xfId="0">
      <alignment horizontal="center" vertical="center" shrinkToFit="1"/>
    </xf>
    <xf numFmtId="0" fontId="7" fillId="20" borderId="87" applyAlignment="1" pivotButton="0" quotePrefix="0" xfId="0">
      <alignment horizontal="center" vertical="center" shrinkToFit="1"/>
    </xf>
    <xf numFmtId="0" fontId="7" fillId="20" borderId="89" applyAlignment="1" pivotButton="0" quotePrefix="0" xfId="0">
      <alignment horizontal="center" vertical="center" shrinkToFit="1"/>
    </xf>
    <xf numFmtId="0" fontId="7" fillId="20" borderId="39" applyAlignment="1" pivotButton="0" quotePrefix="0" xfId="0">
      <alignment horizontal="center" vertical="center" shrinkToFit="1"/>
    </xf>
    <xf numFmtId="0" fontId="7" fillId="20" borderId="41" applyAlignment="1" pivotButton="0" quotePrefix="0" xfId="0">
      <alignment horizontal="center" vertical="center" shrinkToFit="1"/>
    </xf>
    <xf numFmtId="0" fontId="7" fillId="18" borderId="88" applyAlignment="1" pivotButton="0" quotePrefix="0" xfId="0">
      <alignment horizontal="center" vertical="center" shrinkToFit="1"/>
    </xf>
    <xf numFmtId="0" fontId="7" fillId="18" borderId="89" applyAlignment="1" pivotButton="0" quotePrefix="0" xfId="0">
      <alignment horizontal="center" vertical="center" shrinkToFit="1"/>
    </xf>
    <xf numFmtId="0" fontId="32" fillId="7" borderId="39" applyAlignment="1" pivotButton="0" quotePrefix="0" xfId="0">
      <alignment horizontal="center" vertical="center" shrinkToFit="1"/>
    </xf>
    <xf numFmtId="0" fontId="32" fillId="7" borderId="42" applyAlignment="1" pivotButton="0" quotePrefix="0" xfId="0">
      <alignment horizontal="center" vertical="center" shrinkToFit="1"/>
    </xf>
    <xf numFmtId="0" fontId="7" fillId="18" borderId="39" applyAlignment="1" pivotButton="0" quotePrefix="0" xfId="0">
      <alignment horizontal="center" vertical="center" shrinkToFit="1"/>
    </xf>
    <xf numFmtId="0" fontId="7" fillId="18" borderId="42" applyAlignment="1" pivotButton="0" quotePrefix="0" xfId="0">
      <alignment horizontal="center" vertical="center" shrinkToFit="1"/>
    </xf>
    <xf numFmtId="0" fontId="7" fillId="18" borderId="43" applyAlignment="1" pivotButton="0" quotePrefix="0" xfId="0">
      <alignment horizontal="center" vertical="center" shrinkToFit="1"/>
    </xf>
    <xf numFmtId="0" fontId="7" fillId="18" borderId="40" applyAlignment="1" pivotButton="0" quotePrefix="0" xfId="0">
      <alignment horizontal="center" vertical="center" shrinkToFit="1"/>
    </xf>
    <xf numFmtId="0" fontId="7" fillId="18" borderId="41" applyAlignment="1" pivotButton="0" quotePrefix="0" xfId="0">
      <alignment horizontal="center" vertical="center" shrinkToFit="1"/>
    </xf>
    <xf numFmtId="0" fontId="7" fillId="9" borderId="39" applyAlignment="1" pivotButton="0" quotePrefix="0" xfId="0">
      <alignment horizontal="center" vertical="center" shrinkToFit="1"/>
    </xf>
    <xf numFmtId="0" fontId="7" fillId="9" borderId="40" applyAlignment="1" pivotButton="0" quotePrefix="0" xfId="0">
      <alignment horizontal="center" vertical="center" shrinkToFit="1"/>
    </xf>
    <xf numFmtId="0" fontId="7" fillId="9" borderId="41" applyAlignment="1" pivotButton="0" quotePrefix="0" xfId="0">
      <alignment horizontal="center" vertical="center" shrinkToFit="1"/>
    </xf>
    <xf numFmtId="0" fontId="7" fillId="10" borderId="39" applyAlignment="1" pivotButton="0" quotePrefix="0" xfId="0">
      <alignment horizontal="center" vertical="center" shrinkToFit="1"/>
    </xf>
    <xf numFmtId="0" fontId="7" fillId="10" borderId="40" applyAlignment="1" pivotButton="0" quotePrefix="0" xfId="0">
      <alignment horizontal="center" vertical="center" shrinkToFit="1"/>
    </xf>
    <xf numFmtId="0" fontId="7" fillId="10" borderId="41" applyAlignment="1" pivotButton="0" quotePrefix="0" xfId="0">
      <alignment horizontal="center" vertical="center" shrinkToFit="1"/>
    </xf>
    <xf numFmtId="0" fontId="7" fillId="11" borderId="43" applyAlignment="1" pivotButton="0" quotePrefix="0" xfId="0">
      <alignment horizontal="center" vertical="center" shrinkToFit="1"/>
    </xf>
    <xf numFmtId="0" fontId="7" fillId="12" borderId="42" applyAlignment="1" pivotButton="0" quotePrefix="0" xfId="0">
      <alignment horizontal="center" vertical="center" shrinkToFit="1"/>
    </xf>
    <xf numFmtId="0" fontId="7" fillId="12" borderId="41" applyAlignment="1" pivotButton="0" quotePrefix="0" xfId="0">
      <alignment horizontal="center" vertical="center" shrinkToFit="1"/>
    </xf>
    <xf numFmtId="0" fontId="7" fillId="7" borderId="40" applyAlignment="1" pivotButton="0" quotePrefix="0" xfId="0">
      <alignment horizontal="center" vertical="center" shrinkToFit="1"/>
    </xf>
    <xf numFmtId="0" fontId="7" fillId="7" borderId="41" applyAlignment="1" pivotButton="0" quotePrefix="0" xfId="0">
      <alignment horizontal="center" vertical="center" shrinkToFit="1"/>
    </xf>
    <xf numFmtId="164" fontId="33" fillId="0" borderId="42" applyAlignment="1" pivotButton="0" quotePrefix="0" xfId="0">
      <alignment horizontal="center" vertical="center"/>
    </xf>
    <xf numFmtId="164" fontId="33" fillId="0" borderId="39" applyAlignment="1" pivotButton="0" quotePrefix="0" xfId="0">
      <alignment horizontal="center" vertical="center"/>
    </xf>
    <xf numFmtId="164" fontId="33" fillId="0" borderId="54" applyAlignment="1" pivotButton="0" quotePrefix="0" xfId="0">
      <alignment horizontal="center" vertical="center"/>
    </xf>
    <xf numFmtId="164" fontId="33" fillId="0" borderId="41" applyAlignment="1" pivotButton="0" quotePrefix="0" xfId="0">
      <alignment horizontal="center" vertical="center"/>
    </xf>
    <xf numFmtId="164" fontId="33" fillId="0" borderId="40" applyAlignment="1" pivotButton="0" quotePrefix="0" xfId="0">
      <alignment horizontal="center" vertical="center"/>
    </xf>
    <xf numFmtId="0" fontId="7" fillId="6" borderId="43" applyAlignment="1" pivotButton="0" quotePrefix="0" xfId="0">
      <alignment horizontal="center" vertical="center" shrinkToFit="1"/>
    </xf>
    <xf numFmtId="164" fontId="34" fillId="0" borderId="39" applyAlignment="1" pivotButton="0" quotePrefix="0" xfId="0">
      <alignment vertical="center"/>
    </xf>
    <xf numFmtId="164" fontId="35" fillId="0" borderId="39" applyAlignment="1" pivotButton="0" quotePrefix="0" xfId="0">
      <alignment horizontal="center" vertical="center"/>
    </xf>
    <xf numFmtId="164" fontId="36" fillId="0" borderId="39" applyAlignment="1" pivotButton="0" quotePrefix="0" xfId="0">
      <alignment horizontal="center" vertical="center"/>
    </xf>
    <xf numFmtId="164" fontId="34" fillId="0" borderId="40" applyAlignment="1" pivotButton="0" quotePrefix="0" xfId="0">
      <alignment vertical="center"/>
    </xf>
    <xf numFmtId="164" fontId="35" fillId="0" borderId="40" applyAlignment="1" pivotButton="0" quotePrefix="0" xfId="0">
      <alignment horizontal="center" vertical="center"/>
    </xf>
    <xf numFmtId="164" fontId="36" fillId="0" borderId="40" applyAlignment="1" pivotButton="0" quotePrefix="0" xfId="0">
      <alignment horizontal="center" vertical="center"/>
    </xf>
    <xf numFmtId="164" fontId="34" fillId="0" borderId="41" applyAlignment="1" pivotButton="0" quotePrefix="0" xfId="0">
      <alignment vertical="center"/>
    </xf>
    <xf numFmtId="164" fontId="35" fillId="0" borderId="41" applyAlignment="1" pivotButton="0" quotePrefix="0" xfId="0">
      <alignment horizontal="center" vertical="center"/>
    </xf>
    <xf numFmtId="164" fontId="36" fillId="0" borderId="41" applyAlignment="1" pivotButton="0" quotePrefix="0" xfId="0">
      <alignment horizontal="center" vertical="center"/>
    </xf>
    <xf numFmtId="164" fontId="34" fillId="0" borderId="42" applyAlignment="1" pivotButton="0" quotePrefix="0" xfId="0">
      <alignment vertical="center"/>
    </xf>
    <xf numFmtId="164" fontId="36" fillId="0" borderId="42" applyAlignment="1" pivotButton="0" quotePrefix="0" xfId="0">
      <alignment horizontal="center" vertical="center"/>
    </xf>
    <xf numFmtId="164" fontId="37" fillId="0" borderId="42" applyAlignment="1" pivotButton="0" quotePrefix="0" xfId="0">
      <alignment horizontal="center" vertical="center"/>
    </xf>
    <xf numFmtId="164" fontId="34" fillId="0" borderId="54" applyAlignment="1" pivotButton="0" quotePrefix="0" xfId="0">
      <alignment vertical="center"/>
    </xf>
    <xf numFmtId="164" fontId="36" fillId="0" borderId="54" applyAlignment="1" pivotButton="0" quotePrefix="0" xfId="0">
      <alignment horizontal="center" vertical="center"/>
    </xf>
    <xf numFmtId="164" fontId="40" fillId="0" borderId="39" applyAlignment="1" pivotButton="0" quotePrefix="0" xfId="0">
      <alignment horizontal="center" vertical="center"/>
    </xf>
    <xf numFmtId="164" fontId="40" fillId="0" borderId="42" applyAlignment="1" pivotButton="0" quotePrefix="0" xfId="0">
      <alignment horizontal="center" vertical="center"/>
    </xf>
    <xf numFmtId="164" fontId="33" fillId="0" borderId="55" applyAlignment="1" pivotButton="0" quotePrefix="0" xfId="0">
      <alignment horizontal="center" vertical="center"/>
    </xf>
    <xf numFmtId="164" fontId="38" fillId="0" borderId="39" applyAlignment="1" pivotButton="0" quotePrefix="0" xfId="0">
      <alignment horizontal="center" vertical="center"/>
    </xf>
    <xf numFmtId="164" fontId="38" fillId="0" borderId="40" applyAlignment="1" pivotButton="0" quotePrefix="0" xfId="0">
      <alignment horizontal="center" vertical="center"/>
    </xf>
    <xf numFmtId="164" fontId="38" fillId="0" borderId="41" applyAlignment="1" pivotButton="0" quotePrefix="0" xfId="0">
      <alignment horizontal="center" vertical="center"/>
    </xf>
    <xf numFmtId="164" fontId="12" fillId="0" borderId="55" applyAlignment="1" pivotButton="0" quotePrefix="0" xfId="0">
      <alignment horizontal="center" vertical="center"/>
    </xf>
    <xf numFmtId="164" fontId="41" fillId="0" borderId="39" applyAlignment="1" pivotButton="0" quotePrefix="0" xfId="0">
      <alignment vertical="center"/>
    </xf>
    <xf numFmtId="164" fontId="14" fillId="0" borderId="85" applyAlignment="1" pivotButton="0" quotePrefix="0" xfId="0">
      <alignment horizontal="center" vertical="center"/>
    </xf>
    <xf numFmtId="164" fontId="33" fillId="0" borderId="44" applyAlignment="1" pivotButton="0" quotePrefix="0" xfId="0">
      <alignment horizontal="center" vertical="center"/>
    </xf>
    <xf numFmtId="164" fontId="27" fillId="0" borderId="39" applyAlignment="1" pivotButton="0" quotePrefix="0" xfId="0">
      <alignment horizontal="center" vertical="center"/>
    </xf>
    <xf numFmtId="164" fontId="27" fillId="0" borderId="41" applyAlignment="1" pivotButton="0" quotePrefix="0" xfId="0">
      <alignment horizontal="center" vertical="center"/>
    </xf>
    <xf numFmtId="164" fontId="27" fillId="0" borderId="40" applyAlignment="1" pivotButton="0" quotePrefix="0" xfId="0">
      <alignment horizontal="center" vertical="center"/>
    </xf>
    <xf numFmtId="164" fontId="27" fillId="0" borderId="44" applyAlignment="1" pivotButton="0" quotePrefix="0" xfId="0">
      <alignment horizontal="center" vertical="center"/>
    </xf>
    <xf numFmtId="164" fontId="27" fillId="0" borderId="84" applyAlignment="1" pivotButton="0" quotePrefix="0" xfId="0">
      <alignment horizontal="center" vertical="center"/>
    </xf>
    <xf numFmtId="164" fontId="39" fillId="0" borderId="42" applyAlignment="1" pivotButton="0" quotePrefix="0" xfId="0">
      <alignment horizontal="center" vertical="center"/>
    </xf>
    <xf numFmtId="164" fontId="39" fillId="0" borderId="39" applyAlignment="1" pivotButton="0" quotePrefix="0" xfId="0">
      <alignment horizontal="center" vertical="center"/>
    </xf>
    <xf numFmtId="164" fontId="39" fillId="0" borderId="40" applyAlignment="1" pivotButton="0" quotePrefix="0" xfId="0">
      <alignment horizontal="center" vertical="center"/>
    </xf>
    <xf numFmtId="164" fontId="42" fillId="0" borderId="39" applyAlignment="1" pivotButton="0" quotePrefix="0" xfId="0">
      <alignment horizontal="center" vertical="center"/>
    </xf>
    <xf numFmtId="164" fontId="42" fillId="0" borderId="54" applyAlignment="1" pivotButton="0" quotePrefix="0" xfId="0">
      <alignment horizontal="center" vertical="center"/>
    </xf>
    <xf numFmtId="164" fontId="42" fillId="0" borderId="41" applyAlignment="1" pivotButton="0" quotePrefix="0" xfId="0">
      <alignment horizontal="center" vertical="center"/>
    </xf>
    <xf numFmtId="164" fontId="5" fillId="0" borderId="40" applyAlignment="1" pivotButton="0" quotePrefix="0" xfId="0">
      <alignment horizontal="right" vertical="center"/>
    </xf>
    <xf numFmtId="164" fontId="5" fillId="0" borderId="41" applyAlignment="1" pivotButton="0" quotePrefix="0" xfId="0">
      <alignment horizontal="right" vertical="center"/>
    </xf>
    <xf numFmtId="164" fontId="5" fillId="0" borderId="39" applyAlignment="1" pivotButton="0" quotePrefix="0" xfId="0">
      <alignment horizontal="right" vertical="center"/>
    </xf>
    <xf numFmtId="0" fontId="32" fillId="7" borderId="43" applyAlignment="1" pivotButton="0" quotePrefix="0" xfId="0">
      <alignment horizontal="center" vertical="center" shrinkToFit="1"/>
    </xf>
    <xf numFmtId="0" fontId="32" fillId="7" borderId="0" applyAlignment="1" pivotButton="0" quotePrefix="0" xfId="0">
      <alignment horizontal="center" vertical="center" shrinkToFit="1"/>
    </xf>
    <xf numFmtId="0" fontId="7" fillId="7" borderId="95" applyAlignment="1" pivotButton="0" quotePrefix="0" xfId="0">
      <alignment horizontal="center" vertical="center" shrinkToFit="1"/>
    </xf>
    <xf numFmtId="0" fontId="6" fillId="7" borderId="96" applyAlignment="1" pivotButton="0" quotePrefix="0" xfId="0">
      <alignment horizontal="center" vertical="center" shrinkToFit="1"/>
    </xf>
    <xf numFmtId="0" fontId="7" fillId="7" borderId="96" applyAlignment="1" pivotButton="0" quotePrefix="0" xfId="0">
      <alignment horizontal="center" vertical="center" shrinkToFit="1"/>
    </xf>
    <xf numFmtId="0" fontId="6" fillId="7" borderId="97" applyAlignment="1" pivotButton="0" quotePrefix="0" xfId="0">
      <alignment horizontal="center" vertical="center" shrinkToFit="1"/>
    </xf>
    <xf numFmtId="164" fontId="27" fillId="0" borderId="55" applyAlignment="1" pivotButton="0" quotePrefix="0" xfId="0">
      <alignment horizontal="center" vertical="center"/>
    </xf>
    <xf numFmtId="0" fontId="7" fillId="20" borderId="43" applyAlignment="1" pivotButton="0" quotePrefix="0" xfId="0">
      <alignment horizontal="center" vertical="center" shrinkToFit="1"/>
    </xf>
    <xf numFmtId="164" fontId="5" fillId="3" borderId="43" applyAlignment="1" pivotButton="0" quotePrefix="0" xfId="0">
      <alignment horizontal="right" vertical="center"/>
    </xf>
    <xf numFmtId="164" fontId="3" fillId="0" borderId="92" applyAlignment="1" pivotButton="0" quotePrefix="0" xfId="0">
      <alignment horizontal="center" vertical="center"/>
    </xf>
    <xf numFmtId="0" fontId="7" fillId="12" borderId="39" applyAlignment="1" pivotButton="0" quotePrefix="0" xfId="0">
      <alignment horizontal="center" vertical="center" shrinkToFit="1"/>
    </xf>
    <xf numFmtId="164" fontId="5" fillId="3" borderId="42" applyAlignment="1" pivotButton="0" quotePrefix="0" xfId="0">
      <alignment horizontal="right" vertical="center"/>
    </xf>
    <xf numFmtId="164" fontId="28" fillId="0" borderId="55" applyAlignment="1" pivotButton="0" quotePrefix="0" xfId="0">
      <alignment horizontal="center" vertical="center"/>
    </xf>
    <xf numFmtId="164" fontId="3" fillId="0" borderId="55" applyAlignment="1" pivotButton="0" quotePrefix="0" xfId="0">
      <alignment horizontal="center" vertical="center"/>
    </xf>
    <xf numFmtId="0" fontId="32" fillId="7" borderId="55" applyAlignment="1" pivotButton="0" quotePrefix="0" xfId="0">
      <alignment horizontal="center" vertical="center" shrinkToFit="1"/>
    </xf>
    <xf numFmtId="164" fontId="29" fillId="0" borderId="55" applyAlignment="1" pivotButton="0" quotePrefix="0" xfId="0">
      <alignment horizontal="center" vertical="center"/>
    </xf>
    <xf numFmtId="164" fontId="29" fillId="0" borderId="39" applyAlignment="1" pivotButton="0" quotePrefix="0" xfId="0">
      <alignment horizontal="center" vertical="center"/>
    </xf>
    <xf numFmtId="164" fontId="43" fillId="0" borderId="39" applyAlignment="1" pivotButton="0" quotePrefix="0" xfId="0">
      <alignment horizontal="center" vertical="center"/>
    </xf>
    <xf numFmtId="164" fontId="44" fillId="0" borderId="42" applyAlignment="1" pivotButton="0" quotePrefix="0" xfId="0">
      <alignment horizontal="center" vertical="center"/>
    </xf>
    <xf numFmtId="164" fontId="45" fillId="0" borderId="42" applyAlignment="1" pivotButton="0" quotePrefix="0" xfId="0">
      <alignment horizontal="center" vertical="center"/>
    </xf>
    <xf numFmtId="164" fontId="45" fillId="0" borderId="40" applyAlignment="1" pivotButton="0" quotePrefix="0" xfId="0">
      <alignment horizontal="center" vertical="center"/>
    </xf>
    <xf numFmtId="164" fontId="46" fillId="0" borderId="42" applyAlignment="1" pivotButton="0" quotePrefix="0" xfId="0">
      <alignment horizontal="center" vertical="center"/>
    </xf>
    <xf numFmtId="164" fontId="47" fillId="0" borderId="42" applyAlignment="1" pivotButton="0" quotePrefix="0" xfId="0">
      <alignment horizontal="center" vertical="center"/>
    </xf>
    <xf numFmtId="164" fontId="46" fillId="0" borderId="43" applyAlignment="1" pivotButton="0" quotePrefix="0" xfId="0">
      <alignment horizontal="center" vertical="center"/>
    </xf>
    <xf numFmtId="164" fontId="48" fillId="0" borderId="42" applyAlignment="1" pivotButton="0" quotePrefix="0" xfId="0">
      <alignment horizontal="center" vertical="center"/>
    </xf>
    <xf numFmtId="164" fontId="37" fillId="0" borderId="39" applyAlignment="1" pivotButton="0" quotePrefix="0" xfId="0">
      <alignment horizontal="center" vertical="center"/>
    </xf>
    <xf numFmtId="164" fontId="28" fillId="0" borderId="44" applyAlignment="1" pivotButton="0" quotePrefix="0" xfId="0">
      <alignment horizontal="center" vertical="center"/>
    </xf>
    <xf numFmtId="164" fontId="28" fillId="0" borderId="84" applyAlignment="1" pivotButton="0" quotePrefix="0" xfId="0">
      <alignment horizontal="center" vertical="center"/>
    </xf>
    <xf numFmtId="164" fontId="28" fillId="0" borderId="85" applyAlignment="1" pivotButton="0" quotePrefix="0" xfId="0">
      <alignment horizontal="center" vertical="center"/>
    </xf>
    <xf numFmtId="164" fontId="28" fillId="0" borderId="53" applyAlignment="1" pivotButton="0" quotePrefix="0" xfId="0">
      <alignment horizontal="center" vertical="center"/>
    </xf>
    <xf numFmtId="0" fontId="7" fillId="14" borderId="53" applyAlignment="1" pivotButton="0" quotePrefix="0" xfId="0">
      <alignment horizontal="center" vertical="center"/>
    </xf>
    <xf numFmtId="0" fontId="7" fillId="14" borderId="54" applyAlignment="1" pivotButton="0" quotePrefix="0" xfId="0">
      <alignment horizontal="center" vertical="center"/>
    </xf>
    <xf numFmtId="0" fontId="7" fillId="14" borderId="55" applyAlignment="1" pivotButton="0" quotePrefix="0" xfId="0">
      <alignment horizontal="center" vertical="center"/>
    </xf>
    <xf numFmtId="0" fontId="7" fillId="15" borderId="56" applyAlignment="1" pivotButton="0" quotePrefix="0" xfId="0">
      <alignment horizontal="center" vertical="center" shrinkToFit="1"/>
    </xf>
    <xf numFmtId="0" fontId="7" fillId="15" borderId="52" applyAlignment="1" pivotButton="0" quotePrefix="0" xfId="0">
      <alignment horizontal="center" vertical="center" shrinkToFit="1"/>
    </xf>
    <xf numFmtId="0" fontId="7" fillId="15" borderId="32" applyAlignment="1" pivotButton="0" quotePrefix="0" xfId="0">
      <alignment horizontal="center" vertical="center" shrinkToFit="1"/>
    </xf>
    <xf numFmtId="0" fontId="7" fillId="16" borderId="57" applyAlignment="1" pivotButton="0" quotePrefix="0" xfId="0">
      <alignment horizontal="center" vertical="center" wrapText="1"/>
    </xf>
    <xf numFmtId="0" fontId="7" fillId="16" borderId="92" applyAlignment="1" pivotButton="0" quotePrefix="0" xfId="0">
      <alignment horizontal="center" vertical="center" wrapText="1"/>
    </xf>
    <xf numFmtId="0" fontId="7" fillId="16" borderId="59" applyAlignment="1" pivotButton="0" quotePrefix="0" xfId="0">
      <alignment horizontal="center" vertical="center" wrapText="1"/>
    </xf>
    <xf numFmtId="0" fontId="7" fillId="16" borderId="0" applyAlignment="1" pivotButton="0" quotePrefix="0" xfId="0">
      <alignment horizontal="center" vertical="center" wrapText="1"/>
    </xf>
    <xf numFmtId="0" fontId="7" fillId="16" borderId="61" applyAlignment="1" pivotButton="0" quotePrefix="0" xfId="0">
      <alignment horizontal="center" vertical="center" wrapText="1"/>
    </xf>
    <xf numFmtId="0" fontId="7" fillId="16" borderId="93" applyAlignment="1" pivotButton="0" quotePrefix="0" xfId="0">
      <alignment horizontal="center" vertical="center" wrapText="1"/>
    </xf>
    <xf numFmtId="0" fontId="18" fillId="16" borderId="57" applyAlignment="1" pivotButton="0" quotePrefix="0" xfId="0">
      <alignment horizontal="center" vertical="center"/>
    </xf>
    <xf numFmtId="0" fontId="7" fillId="16" borderId="59" applyAlignment="1" pivotButton="0" quotePrefix="0" xfId="0">
      <alignment vertical="center"/>
    </xf>
    <xf numFmtId="0" fontId="7" fillId="16" borderId="61" applyAlignment="1" pivotButton="0" quotePrefix="0" xfId="0">
      <alignment vertical="center"/>
    </xf>
    <xf numFmtId="0" fontId="0" fillId="0" borderId="57" applyAlignment="1" pivotButton="0" quotePrefix="0" xfId="0">
      <alignment vertical="center"/>
    </xf>
    <xf numFmtId="0" fontId="0" fillId="0" borderId="58" applyAlignment="1" pivotButton="0" quotePrefix="0" xfId="0">
      <alignment vertical="center"/>
    </xf>
    <xf numFmtId="0" fontId="0" fillId="0" borderId="59" applyAlignment="1" pivotButton="0" quotePrefix="0" xfId="0">
      <alignment vertical="center"/>
    </xf>
    <xf numFmtId="0" fontId="0" fillId="0" borderId="60" applyAlignment="1" pivotButton="0" quotePrefix="0" xfId="0">
      <alignment vertical="center"/>
    </xf>
    <xf numFmtId="0" fontId="0" fillId="0" borderId="61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7" fillId="11" borderId="53" applyAlignment="1" pivotButton="0" quotePrefix="0" xfId="0">
      <alignment horizontal="center" vertical="center"/>
    </xf>
    <xf numFmtId="0" fontId="7" fillId="11" borderId="54" applyAlignment="1" pivotButton="0" quotePrefix="0" xfId="0">
      <alignment horizontal="center" vertical="center"/>
    </xf>
    <xf numFmtId="0" fontId="7" fillId="20" borderId="39" applyAlignment="1" pivotButton="0" quotePrefix="0" xfId="0">
      <alignment horizontal="center" vertical="center"/>
    </xf>
    <xf numFmtId="0" fontId="7" fillId="20" borderId="41" applyAlignment="1" pivotButton="0" quotePrefix="0" xfId="0">
      <alignment horizontal="center" vertical="center"/>
    </xf>
    <xf numFmtId="0" fontId="7" fillId="20" borderId="43" applyAlignment="1" pivotButton="0" quotePrefix="0" xfId="0">
      <alignment horizontal="center" vertical="center"/>
    </xf>
    <xf numFmtId="0" fontId="7" fillId="12" borderId="54" applyAlignment="1" pivotButton="0" quotePrefix="0" xfId="0">
      <alignment horizontal="center" vertical="center"/>
    </xf>
    <xf numFmtId="0" fontId="7" fillId="12" borderId="55" applyAlignment="1" pivotButton="0" quotePrefix="0" xfId="0">
      <alignment horizontal="center" vertical="center"/>
    </xf>
    <xf numFmtId="0" fontId="7" fillId="12" borderId="53" applyAlignment="1" pivotButton="0" quotePrefix="0" xfId="0">
      <alignment horizontal="center" vertical="center"/>
    </xf>
    <xf numFmtId="0" fontId="7" fillId="9" borderId="53" applyAlignment="1" pivotButton="0" quotePrefix="0" xfId="0">
      <alignment horizontal="center" vertical="center"/>
    </xf>
    <xf numFmtId="0" fontId="7" fillId="9" borderId="54" applyAlignment="1" pivotButton="0" quotePrefix="0" xfId="0">
      <alignment horizontal="center" vertical="center"/>
    </xf>
    <xf numFmtId="0" fontId="7" fillId="9" borderId="55" applyAlignment="1" pivotButton="0" quotePrefix="0" xfId="0">
      <alignment horizontal="center" vertical="center"/>
    </xf>
    <xf numFmtId="0" fontId="7" fillId="10" borderId="53" applyAlignment="1" pivotButton="0" quotePrefix="0" xfId="0">
      <alignment horizontal="center" vertical="center"/>
    </xf>
    <xf numFmtId="0" fontId="7" fillId="10" borderId="54" applyAlignment="1" pivotButton="0" quotePrefix="0" xfId="0">
      <alignment horizontal="center" vertical="center"/>
    </xf>
    <xf numFmtId="0" fontId="7" fillId="10" borderId="55" applyAlignment="1" pivotButton="0" quotePrefix="0" xfId="0">
      <alignment horizontal="center" vertical="center"/>
    </xf>
    <xf numFmtId="0" fontId="7" fillId="6" borderId="53" applyAlignment="1" pivotButton="0" quotePrefix="0" xfId="0">
      <alignment horizontal="center" vertical="center"/>
    </xf>
    <xf numFmtId="0" fontId="7" fillId="6" borderId="54" applyAlignment="1" pivotButton="0" quotePrefix="0" xfId="0">
      <alignment horizontal="center" vertical="center"/>
    </xf>
    <xf numFmtId="0" fontId="18" fillId="0" borderId="63" applyAlignment="1" pivotButton="0" quotePrefix="0" xfId="0">
      <alignment horizontal="center" vertical="center"/>
    </xf>
    <xf numFmtId="0" fontId="18" fillId="0" borderId="64" applyAlignment="1" pivotButton="0" quotePrefix="0" xfId="0">
      <alignment horizontal="center" vertical="center"/>
    </xf>
    <xf numFmtId="0" fontId="7" fillId="17" borderId="53" applyAlignment="1" pivotButton="0" quotePrefix="0" xfId="0">
      <alignment horizontal="center" vertical="center" wrapText="1"/>
    </xf>
    <xf numFmtId="0" fontId="7" fillId="17" borderId="54" applyAlignment="1" pivotButton="0" quotePrefix="0" xfId="0">
      <alignment horizontal="center" vertical="center" wrapText="1"/>
    </xf>
    <xf numFmtId="0" fontId="7" fillId="17" borderId="55" applyAlignment="1" pivotButton="0" quotePrefix="0" xfId="0">
      <alignment horizontal="center" vertical="center" wrapText="1"/>
    </xf>
    <xf numFmtId="0" fontId="7" fillId="7" borderId="53" applyAlignment="1" pivotButton="0" quotePrefix="0" xfId="0">
      <alignment horizontal="center" vertical="center"/>
    </xf>
    <xf numFmtId="0" fontId="7" fillId="7" borderId="54" applyAlignment="1" pivotButton="0" quotePrefix="0" xfId="0">
      <alignment horizontal="center" vertical="center"/>
    </xf>
    <xf numFmtId="0" fontId="0" fillId="7" borderId="53" applyAlignment="1" pivotButton="0" quotePrefix="0" xfId="0">
      <alignment horizontal="center" vertical="center"/>
    </xf>
    <xf numFmtId="0" fontId="0" fillId="7" borderId="54" applyAlignment="1" pivotButton="0" quotePrefix="0" xfId="0">
      <alignment horizontal="center" vertical="center"/>
    </xf>
    <xf numFmtId="0" fontId="7" fillId="18" borderId="53" applyAlignment="1" pivotButton="0" quotePrefix="0" xfId="0">
      <alignment horizontal="center" vertical="center" wrapText="1"/>
    </xf>
    <xf numFmtId="0" fontId="7" fillId="18" borderId="54" applyAlignment="1" pivotButton="0" quotePrefix="0" xfId="0">
      <alignment horizontal="center" vertical="center"/>
    </xf>
    <xf numFmtId="0" fontId="7" fillId="8" borderId="53" applyAlignment="1" pivotButton="0" quotePrefix="0" xfId="0">
      <alignment horizontal="center" vertical="center" wrapText="1"/>
    </xf>
    <xf numFmtId="0" fontId="7" fillId="8" borderId="54" applyAlignment="1" pivotButton="0" quotePrefix="0" xfId="0">
      <alignment horizontal="center" vertical="center"/>
    </xf>
    <xf numFmtId="0" fontId="7" fillId="0" borderId="65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164" fontId="8" fillId="0" borderId="85" applyAlignment="1" pivotButton="0" quotePrefix="0" xfId="0">
      <alignment horizontal="center" vertical="center"/>
    </xf>
    <xf numFmtId="0" fontId="18" fillId="0" borderId="67" applyAlignment="1" pivotButton="0" quotePrefix="0" xfId="0">
      <alignment horizontal="center" vertical="center"/>
    </xf>
    <xf numFmtId="0" fontId="18" fillId="0" borderId="25" applyAlignment="1" pivotButton="0" quotePrefix="0" xfId="0">
      <alignment horizontal="center" vertical="center"/>
    </xf>
    <xf numFmtId="0" fontId="7" fillId="0" borderId="67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7" fillId="7" borderId="70" applyAlignment="1" pivotButton="0" quotePrefix="0" xfId="0">
      <alignment horizontal="center" vertical="center"/>
    </xf>
    <xf numFmtId="0" fontId="7" fillId="7" borderId="24" applyAlignment="1" pivotButton="0" quotePrefix="0" xfId="0">
      <alignment horizontal="center" vertical="center"/>
    </xf>
    <xf numFmtId="167" fontId="7" fillId="7" borderId="85" applyAlignment="1" pivotButton="0" quotePrefix="0" xfId="0">
      <alignment horizontal="center" vertical="center"/>
    </xf>
    <xf numFmtId="0" fontId="6" fillId="0" borderId="85" applyAlignment="1" pivotButton="0" quotePrefix="0" xfId="0">
      <alignment horizontal="center" vertical="center" shrinkToFit="1"/>
    </xf>
    <xf numFmtId="0" fontId="2" fillId="2" borderId="68" applyAlignment="1" pivotButton="0" quotePrefix="0" xfId="0">
      <alignment horizontal="center" vertical="center" shrinkToFit="1"/>
    </xf>
    <xf numFmtId="0" fontId="2" fillId="2" borderId="69" applyAlignment="1" pivotButton="0" quotePrefix="0" xfId="0">
      <alignment horizontal="center" vertical="center" shrinkToFit="1"/>
    </xf>
    <xf numFmtId="0" fontId="7" fillId="0" borderId="85" applyAlignment="1" pivotButton="0" quotePrefix="0" xfId="0">
      <alignment horizontal="center" vertical="center" shrinkToFit="1"/>
    </xf>
    <xf numFmtId="14" fontId="7" fillId="0" borderId="85" applyAlignment="1" pivotButton="0" quotePrefix="0" xfId="0">
      <alignment horizontal="center" vertical="center" shrinkToFit="1"/>
    </xf>
    <xf numFmtId="0" fontId="7" fillId="0" borderId="70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20" fillId="13" borderId="84" applyAlignment="1" pivotButton="0" quotePrefix="0" xfId="0">
      <alignment horizontal="center" vertical="center" shrinkToFit="1"/>
    </xf>
    <xf numFmtId="14" fontId="20" fillId="13" borderId="73" applyAlignment="1" pivotButton="0" quotePrefix="0" xfId="0">
      <alignment horizontal="center" vertical="center"/>
    </xf>
    <xf numFmtId="14" fontId="20" fillId="13" borderId="72" applyAlignment="1" pivotButton="0" quotePrefix="0" xfId="0">
      <alignment horizontal="center" vertical="center"/>
    </xf>
    <xf numFmtId="0" fontId="21" fillId="13" borderId="73" applyAlignment="1" pivotButton="0" quotePrefix="0" xfId="0">
      <alignment horizontal="center" vertical="center" shrinkToFit="1"/>
    </xf>
    <xf numFmtId="0" fontId="21" fillId="13" borderId="72" applyAlignment="1" pivotButton="0" quotePrefix="0" xfId="0">
      <alignment horizontal="center" vertical="center" shrinkToFit="1"/>
    </xf>
    <xf numFmtId="0" fontId="7" fillId="0" borderId="74" applyAlignment="1" pivotButton="0" quotePrefix="0" xfId="0">
      <alignment horizontal="left" vertical="top" wrapText="1"/>
    </xf>
    <xf numFmtId="0" fontId="7" fillId="0" borderId="75" applyAlignment="1" pivotButton="0" quotePrefix="0" xfId="0">
      <alignment horizontal="left" vertical="top" wrapText="1"/>
    </xf>
    <xf numFmtId="0" fontId="7" fillId="0" borderId="76" applyAlignment="1" pivotButton="0" quotePrefix="0" xfId="0">
      <alignment horizontal="left" vertical="top" wrapText="1"/>
    </xf>
    <xf numFmtId="0" fontId="7" fillId="0" borderId="59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0" borderId="60" applyAlignment="1" pivotButton="0" quotePrefix="0" xfId="0">
      <alignment horizontal="left" vertical="top" wrapText="1"/>
    </xf>
    <xf numFmtId="0" fontId="7" fillId="0" borderId="77" applyAlignment="1" pivotButton="0" quotePrefix="0" xfId="0">
      <alignment horizontal="left" vertical="top" wrapText="1"/>
    </xf>
    <xf numFmtId="0" fontId="7" fillId="0" borderId="78" applyAlignment="1" pivotButton="0" quotePrefix="0" xfId="0">
      <alignment horizontal="left" vertical="top" wrapText="1"/>
    </xf>
    <xf numFmtId="0" fontId="7" fillId="0" borderId="37" applyAlignment="1" pivotButton="0" quotePrefix="0" xfId="0">
      <alignment horizontal="left" vertical="top" wrapText="1"/>
    </xf>
    <xf numFmtId="0" fontId="7" fillId="0" borderId="63" applyAlignment="1" pivotButton="0" quotePrefix="0" xfId="0">
      <alignment horizontal="center" vertical="center"/>
    </xf>
    <xf numFmtId="0" fontId="7" fillId="0" borderId="64" applyAlignment="1" pivotButton="0" quotePrefix="0" xfId="0">
      <alignment horizontal="center" vertical="center"/>
    </xf>
    <xf numFmtId="0" fontId="23" fillId="0" borderId="57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 vertical="center"/>
    </xf>
    <xf numFmtId="0" fontId="0" fillId="0" borderId="60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7" fillId="0" borderId="83" applyAlignment="1" pivotButton="0" quotePrefix="0" xfId="0">
      <alignment horizontal="center" vertical="center"/>
    </xf>
    <xf numFmtId="0" fontId="7" fillId="0" borderId="86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7" fillId="7" borderId="62" applyAlignment="1" pivotButton="0" quotePrefix="0" xfId="0">
      <alignment horizontal="center" vertical="center"/>
    </xf>
    <xf numFmtId="0" fontId="2" fillId="2" borderId="94" applyAlignment="1" pivotButton="0" quotePrefix="0" xfId="0">
      <alignment horizontal="center" vertical="center" shrinkToFit="1"/>
    </xf>
    <xf numFmtId="0" fontId="7" fillId="0" borderId="62" applyAlignment="1" pivotButton="0" quotePrefix="0" xfId="0">
      <alignment horizontal="center" vertical="center"/>
    </xf>
    <xf numFmtId="0" fontId="21" fillId="13" borderId="80" applyAlignment="1" pivotButton="0" quotePrefix="0" xfId="0">
      <alignment horizontal="center" vertical="center" shrinkToFit="1"/>
    </xf>
    <xf numFmtId="0" fontId="18" fillId="0" borderId="74" applyAlignment="1" pivotButton="0" quotePrefix="0" xfId="0">
      <alignment horizontal="left" vertical="top" wrapText="1"/>
    </xf>
    <xf numFmtId="0" fontId="18" fillId="0" borderId="75" applyAlignment="1" pivotButton="0" quotePrefix="0" xfId="0">
      <alignment horizontal="left" vertical="top" wrapText="1"/>
    </xf>
    <xf numFmtId="0" fontId="18" fillId="0" borderId="76" applyAlignment="1" pivotButton="0" quotePrefix="0" xfId="0">
      <alignment horizontal="left" vertical="top" wrapText="1"/>
    </xf>
    <xf numFmtId="0" fontId="18" fillId="0" borderId="59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top" wrapText="1"/>
    </xf>
    <xf numFmtId="0" fontId="18" fillId="0" borderId="60" applyAlignment="1" pivotButton="0" quotePrefix="0" xfId="0">
      <alignment horizontal="left" vertical="top" wrapText="1"/>
    </xf>
    <xf numFmtId="0" fontId="18" fillId="0" borderId="77" applyAlignment="1" pivotButton="0" quotePrefix="0" xfId="0">
      <alignment horizontal="left" vertical="top" wrapText="1"/>
    </xf>
    <xf numFmtId="0" fontId="18" fillId="0" borderId="78" applyAlignment="1" pivotButton="0" quotePrefix="0" xfId="0">
      <alignment horizontal="left" vertical="top" wrapText="1"/>
    </xf>
    <xf numFmtId="0" fontId="18" fillId="0" borderId="37" applyAlignment="1" pivotButton="0" quotePrefix="0" xfId="0">
      <alignment horizontal="left" vertical="top" wrapText="1"/>
    </xf>
    <xf numFmtId="0" fontId="20" fillId="13" borderId="71" applyAlignment="1" pivotButton="0" quotePrefix="0" xfId="0">
      <alignment horizontal="center" vertical="center" shrinkToFit="1"/>
    </xf>
    <xf numFmtId="0" fontId="20" fillId="13" borderId="79" applyAlignment="1" pivotButton="0" quotePrefix="0" xfId="0">
      <alignment horizontal="center" vertical="center" shrinkToFit="1"/>
    </xf>
    <xf numFmtId="0" fontId="7" fillId="0" borderId="62" applyAlignment="1" pivotButton="0" quotePrefix="0" xfId="0">
      <alignment horizontal="center" vertical="center" shrinkToFit="1"/>
    </xf>
    <xf numFmtId="0" fontId="7" fillId="0" borderId="25" applyAlignment="1" pivotButton="0" quotePrefix="0" xfId="0">
      <alignment horizontal="center" vertical="center" shrinkToFit="1"/>
    </xf>
    <xf numFmtId="0" fontId="7" fillId="0" borderId="46" applyAlignment="1" pivotButton="0" quotePrefix="0" xfId="0">
      <alignment horizontal="center" vertical="center" shrinkToFit="1"/>
    </xf>
    <xf numFmtId="0" fontId="7" fillId="0" borderId="26" applyAlignment="1" pivotButton="0" quotePrefix="0" xfId="0">
      <alignment horizontal="center" vertical="center" shrinkToFit="1"/>
    </xf>
    <xf numFmtId="0" fontId="20" fillId="13" borderId="80" applyAlignment="1" pivotButton="0" quotePrefix="0" xfId="0">
      <alignment horizontal="center" vertical="center" shrinkToFit="1"/>
    </xf>
    <xf numFmtId="0" fontId="20" fillId="13" borderId="72" applyAlignment="1" pivotButton="0" quotePrefix="0" xfId="0">
      <alignment horizontal="center" vertical="center" shrinkToFit="1"/>
    </xf>
    <xf numFmtId="0" fontId="7" fillId="0" borderId="24" applyAlignment="1" pivotButton="0" quotePrefix="0" xfId="0">
      <alignment horizontal="center" vertical="center" shrinkToFit="1"/>
    </xf>
    <xf numFmtId="14" fontId="7" fillId="0" borderId="62" applyAlignment="1" pivotButton="0" quotePrefix="0" xfId="0">
      <alignment horizontal="center" vertical="center" shrinkToFit="1"/>
    </xf>
    <xf numFmtId="14" fontId="7" fillId="0" borderId="25" applyAlignment="1" pivotButton="0" quotePrefix="0" xfId="0">
      <alignment horizontal="center" vertical="center" shrinkToFit="1"/>
    </xf>
    <xf numFmtId="14" fontId="7" fillId="0" borderId="46" applyAlignment="1" pivotButton="0" quotePrefix="0" xfId="0">
      <alignment horizontal="center" vertical="center" shrinkToFit="1"/>
    </xf>
    <xf numFmtId="14" fontId="7" fillId="0" borderId="26" applyAlignment="1" pivotButton="0" quotePrefix="0" xfId="0">
      <alignment horizontal="center" vertical="center" shrinkToFit="1"/>
    </xf>
    <xf numFmtId="0" fontId="6" fillId="0" borderId="62" applyAlignment="1" pivotButton="0" quotePrefix="0" xfId="0">
      <alignment horizontal="center" vertical="center" shrinkToFit="1"/>
    </xf>
    <xf numFmtId="0" fontId="6" fillId="0" borderId="25" applyAlignment="1" pivotButton="0" quotePrefix="0" xfId="0">
      <alignment horizontal="center" vertical="center" shrinkToFit="1"/>
    </xf>
    <xf numFmtId="0" fontId="6" fillId="0" borderId="46" applyAlignment="1" pivotButton="0" quotePrefix="0" xfId="0">
      <alignment horizontal="center" vertical="center" shrinkToFit="1"/>
    </xf>
    <xf numFmtId="0" fontId="6" fillId="0" borderId="26" applyAlignment="1" pivotButton="0" quotePrefix="0" xfId="0">
      <alignment horizontal="center" vertical="center" shrinkToFit="1"/>
    </xf>
    <xf numFmtId="167" fontId="7" fillId="7" borderId="24" applyAlignment="1" pivotButton="0" quotePrefix="0" xfId="0">
      <alignment horizontal="center" vertical="center"/>
    </xf>
    <xf numFmtId="167" fontId="7" fillId="7" borderId="62" applyAlignment="1" pivotButton="0" quotePrefix="0" xfId="0">
      <alignment horizontal="center" vertical="center"/>
    </xf>
    <xf numFmtId="167" fontId="7" fillId="7" borderId="25" applyAlignment="1" pivotButton="0" quotePrefix="0" xfId="0">
      <alignment horizontal="center" vertical="center"/>
    </xf>
    <xf numFmtId="167" fontId="7" fillId="7" borderId="26" applyAlignment="1" pivotButton="0" quotePrefix="0" xfId="0">
      <alignment horizontal="center" vertical="center"/>
    </xf>
    <xf numFmtId="164" fontId="8" fillId="0" borderId="62" applyAlignment="1" pivotButton="0" quotePrefix="0" xfId="0">
      <alignment horizontal="center" vertical="center"/>
    </xf>
    <xf numFmtId="164" fontId="8" fillId="0" borderId="26" applyAlignment="1" pivotButton="0" quotePrefix="0" xfId="0">
      <alignment horizontal="center" vertical="center"/>
    </xf>
    <xf numFmtId="164" fontId="8" fillId="0" borderId="25" applyAlignment="1" pivotButton="0" quotePrefix="0" xfId="0">
      <alignment horizontal="center" vertical="center"/>
    </xf>
    <xf numFmtId="164" fontId="8" fillId="0" borderId="46" applyAlignment="1" pivotButton="0" quotePrefix="0" xfId="0">
      <alignment horizontal="center" vertical="center"/>
    </xf>
    <xf numFmtId="0" fontId="7" fillId="16" borderId="58" applyAlignment="1" pivotButton="0" quotePrefix="0" xfId="0">
      <alignment horizontal="center" vertical="center" wrapText="1"/>
    </xf>
    <xf numFmtId="0" fontId="7" fillId="16" borderId="60" applyAlignment="1" pivotButton="0" quotePrefix="0" xfId="0">
      <alignment horizontal="center" vertical="center" wrapText="1"/>
    </xf>
    <xf numFmtId="0" fontId="7" fillId="16" borderId="23" applyAlignment="1" pivotButton="0" quotePrefix="0" xfId="0">
      <alignment horizontal="center" vertical="center" wrapText="1"/>
    </xf>
    <xf numFmtId="0" fontId="7" fillId="11" borderId="5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 shrinkToFit="1"/>
    </xf>
    <xf numFmtId="14" fontId="7" fillId="0" borderId="24" applyAlignment="1" pivotButton="0" quotePrefix="0" xfId="0">
      <alignment horizontal="center" vertical="center" shrinkToFit="1"/>
    </xf>
    <xf numFmtId="14" fontId="7" fillId="0" borderId="6" applyAlignment="1" pivotButton="0" quotePrefix="0" xfId="0">
      <alignment horizontal="center" vertical="center" shrinkToFit="1"/>
    </xf>
    <xf numFmtId="167" fontId="7" fillId="7" borderId="6" applyAlignment="1" pivotButton="0" quotePrefix="0" xfId="0">
      <alignment horizontal="center" vertical="center"/>
    </xf>
    <xf numFmtId="0" fontId="0" fillId="8" borderId="53" applyAlignment="1" pivotButton="0" quotePrefix="0" xfId="0">
      <alignment horizontal="center" vertical="center" wrapText="1"/>
    </xf>
    <xf numFmtId="0" fontId="0" fillId="8" borderId="54" applyAlignment="1" pivotButton="0" quotePrefix="0" xfId="0">
      <alignment horizontal="center" vertical="center"/>
    </xf>
    <xf numFmtId="0" fontId="0" fillId="9" borderId="53" applyAlignment="1" pivotButton="0" quotePrefix="0" xfId="0">
      <alignment horizontal="center" vertical="center"/>
    </xf>
    <xf numFmtId="0" fontId="0" fillId="9" borderId="54" applyAlignment="1" pivotButton="0" quotePrefix="0" xfId="0">
      <alignment horizontal="center" vertical="center"/>
    </xf>
    <xf numFmtId="0" fontId="0" fillId="9" borderId="55" applyAlignment="1" pivotButton="0" quotePrefix="0" xfId="0">
      <alignment horizontal="center" vertical="center"/>
    </xf>
    <xf numFmtId="0" fontId="0" fillId="10" borderId="53" applyAlignment="1" pivotButton="0" quotePrefix="0" xfId="0">
      <alignment horizontal="center" vertical="center"/>
    </xf>
    <xf numFmtId="0" fontId="0" fillId="10" borderId="54" applyAlignment="1" pivotButton="0" quotePrefix="0" xfId="0">
      <alignment horizontal="center" vertical="center"/>
    </xf>
    <xf numFmtId="0" fontId="0" fillId="10" borderId="55" applyAlignment="1" pivotButton="0" quotePrefix="0" xfId="0">
      <alignment horizontal="center" vertical="center"/>
    </xf>
    <xf numFmtId="0" fontId="1" fillId="17" borderId="53" applyAlignment="1" pivotButton="0" quotePrefix="0" xfId="0">
      <alignment horizontal="center" vertical="center" wrapText="1"/>
    </xf>
    <xf numFmtId="0" fontId="0" fillId="17" borderId="54" applyAlignment="1" pivotButton="0" quotePrefix="0" xfId="0">
      <alignment horizontal="center" vertical="center" wrapText="1"/>
    </xf>
    <xf numFmtId="0" fontId="0" fillId="17" borderId="55" applyAlignment="1" pivotButton="0" quotePrefix="0" xfId="0">
      <alignment horizontal="center" vertical="center" wrapText="1"/>
    </xf>
    <xf numFmtId="0" fontId="0" fillId="14" borderId="53" applyAlignment="1" pivotButton="0" quotePrefix="0" xfId="0">
      <alignment horizontal="center" vertical="center"/>
    </xf>
    <xf numFmtId="0" fontId="0" fillId="14" borderId="54" applyAlignment="1" pivotButton="0" quotePrefix="0" xfId="0">
      <alignment horizontal="center" vertical="center"/>
    </xf>
    <xf numFmtId="0" fontId="0" fillId="14" borderId="55" applyAlignment="1" pivotButton="0" quotePrefix="0" xfId="0">
      <alignment horizontal="center" vertical="center"/>
    </xf>
    <xf numFmtId="0" fontId="0" fillId="15" borderId="56" applyAlignment="1" pivotButton="0" quotePrefix="0" xfId="0">
      <alignment horizontal="center" vertical="center" shrinkToFit="1"/>
    </xf>
    <xf numFmtId="0" fontId="0" fillId="15" borderId="32" applyAlignment="1" pivotButton="0" quotePrefix="0" xfId="0">
      <alignment horizontal="center" vertical="center" shrinkToFit="1"/>
    </xf>
    <xf numFmtId="0" fontId="0" fillId="16" borderId="57" applyAlignment="1" pivotButton="0" quotePrefix="0" xfId="0">
      <alignment horizontal="center" vertical="center" wrapText="1"/>
    </xf>
    <xf numFmtId="0" fontId="0" fillId="16" borderId="58" applyAlignment="1" pivotButton="0" quotePrefix="0" xfId="0">
      <alignment horizontal="center" vertical="center" wrapText="1"/>
    </xf>
    <xf numFmtId="0" fontId="0" fillId="16" borderId="59" applyAlignment="1" pivotButton="0" quotePrefix="0" xfId="0">
      <alignment horizontal="center" vertical="center" wrapText="1"/>
    </xf>
    <xf numFmtId="0" fontId="0" fillId="16" borderId="60" applyAlignment="1" pivotButton="0" quotePrefix="0" xfId="0">
      <alignment horizontal="center" vertical="center" wrapText="1"/>
    </xf>
    <xf numFmtId="0" fontId="0" fillId="16" borderId="61" applyAlignment="1" pivotButton="0" quotePrefix="0" xfId="0">
      <alignment horizontal="center" vertical="center" wrapText="1"/>
    </xf>
    <xf numFmtId="0" fontId="0" fillId="16" borderId="23" applyAlignment="1" pivotButton="0" quotePrefix="0" xfId="0">
      <alignment horizontal="center" vertical="center" wrapText="1"/>
    </xf>
    <xf numFmtId="0" fontId="2" fillId="16" borderId="57" applyAlignment="1" pivotButton="0" quotePrefix="0" xfId="0">
      <alignment horizontal="center" vertical="center"/>
    </xf>
    <xf numFmtId="0" fontId="0" fillId="16" borderId="59" applyAlignment="1" pivotButton="0" quotePrefix="0" xfId="0">
      <alignment vertical="center"/>
    </xf>
    <xf numFmtId="0" fontId="0" fillId="16" borderId="61" applyAlignment="1" pivotButton="0" quotePrefix="0" xfId="0">
      <alignment vertical="center"/>
    </xf>
    <xf numFmtId="0" fontId="0" fillId="6" borderId="53" applyAlignment="1" pivotButton="0" quotePrefix="0" xfId="0">
      <alignment horizontal="center" vertical="center"/>
    </xf>
    <xf numFmtId="0" fontId="0" fillId="6" borderId="54" applyAlignment="1" pivotButton="0" quotePrefix="0" xfId="0">
      <alignment horizontal="center" vertical="center"/>
    </xf>
    <xf numFmtId="0" fontId="0" fillId="11" borderId="53" applyAlignment="1" pivotButton="0" quotePrefix="0" xfId="0">
      <alignment horizontal="center" vertical="center"/>
    </xf>
    <xf numFmtId="0" fontId="0" fillId="11" borderId="55" applyAlignment="1" pivotButton="0" quotePrefix="0" xfId="0">
      <alignment horizontal="center" vertical="center"/>
    </xf>
    <xf numFmtId="0" fontId="1" fillId="12" borderId="54" applyAlignment="1" pivotButton="0" quotePrefix="0" xfId="0">
      <alignment horizontal="center" vertical="center"/>
    </xf>
    <xf numFmtId="0" fontId="1" fillId="12" borderId="55" applyAlignment="1" pivotButton="0" quotePrefix="0" xfId="0">
      <alignment horizontal="center" vertical="center"/>
    </xf>
    <xf numFmtId="0" fontId="22" fillId="13" borderId="71" applyAlignment="1" pivotButton="0" quotePrefix="0" xfId="0">
      <alignment horizontal="center" vertical="center" shrinkToFit="1"/>
    </xf>
    <xf numFmtId="0" fontId="22" fillId="13" borderId="72" applyAlignment="1" pivotButton="0" quotePrefix="0" xfId="0">
      <alignment horizontal="center" vertical="center" shrinkToFit="1"/>
    </xf>
    <xf numFmtId="0" fontId="2" fillId="0" borderId="24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horizontal="center" vertical="center" shrinkToFit="1"/>
    </xf>
    <xf numFmtId="14" fontId="2" fillId="0" borderId="24" applyAlignment="1" pivotButton="0" quotePrefix="0" xfId="0">
      <alignment horizontal="center" vertical="center" shrinkToFit="1"/>
    </xf>
    <xf numFmtId="0" fontId="19" fillId="0" borderId="62" applyAlignment="1" pivotButton="0" quotePrefix="0" xfId="0">
      <alignment horizontal="center" vertical="center" shrinkToFit="1"/>
    </xf>
    <xf numFmtId="0" fontId="19" fillId="0" borderId="25" applyAlignment="1" pivotButton="0" quotePrefix="0" xfId="0">
      <alignment horizontal="center" vertical="center" shrinkToFit="1"/>
    </xf>
    <xf numFmtId="0" fontId="19" fillId="0" borderId="26" applyAlignment="1" pivotButton="0" quotePrefix="0" xfId="0">
      <alignment horizontal="center" vertical="center" shrinkToFit="1"/>
    </xf>
    <xf numFmtId="0" fontId="2" fillId="8" borderId="53" applyAlignment="1" pivotButton="0" quotePrefix="0" xfId="0">
      <alignment horizontal="center" vertical="center" wrapText="1"/>
    </xf>
    <xf numFmtId="0" fontId="2" fillId="8" borderId="54" applyAlignment="1" pivotButton="0" quotePrefix="0" xfId="0">
      <alignment horizontal="center" vertical="center"/>
    </xf>
    <xf numFmtId="0" fontId="2" fillId="9" borderId="53" applyAlignment="1" pivotButton="0" quotePrefix="0" xfId="0">
      <alignment horizontal="center" vertical="center"/>
    </xf>
    <xf numFmtId="0" fontId="2" fillId="9" borderId="54" applyAlignment="1" pivotButton="0" quotePrefix="0" xfId="0">
      <alignment horizontal="center" vertical="center"/>
    </xf>
    <xf numFmtId="0" fontId="2" fillId="9" borderId="55" applyAlignment="1" pivotButton="0" quotePrefix="0" xfId="0">
      <alignment horizontal="center" vertical="center"/>
    </xf>
    <xf numFmtId="0" fontId="2" fillId="10" borderId="53" applyAlignment="1" pivotButton="0" quotePrefix="0" xfId="0">
      <alignment horizontal="center" vertical="center"/>
    </xf>
    <xf numFmtId="0" fontId="2" fillId="10" borderId="54" applyAlignment="1" pivotButton="0" quotePrefix="0" xfId="0">
      <alignment horizontal="center" vertical="center"/>
    </xf>
    <xf numFmtId="0" fontId="2" fillId="10" borderId="55" applyAlignment="1" pivotButton="0" quotePrefix="0" xfId="0">
      <alignment horizontal="center" vertical="center"/>
    </xf>
    <xf numFmtId="0" fontId="0" fillId="17" borderId="53" applyAlignment="1" pivotButton="0" quotePrefix="0" xfId="0">
      <alignment horizontal="center" vertical="center" wrapText="1"/>
    </xf>
    <xf numFmtId="0" fontId="2" fillId="17" borderId="53" applyAlignment="1" pivotButton="0" quotePrefix="0" xfId="0">
      <alignment horizontal="center" vertical="center" wrapText="1"/>
    </xf>
    <xf numFmtId="0" fontId="2" fillId="17" borderId="54" applyAlignment="1" pivotButton="0" quotePrefix="0" xfId="0">
      <alignment horizontal="center" vertical="center" wrapText="1"/>
    </xf>
    <xf numFmtId="0" fontId="2" fillId="17" borderId="55" applyAlignment="1" pivotButton="0" quotePrefix="0" xfId="0">
      <alignment horizontal="center" vertical="center" wrapText="1"/>
    </xf>
    <xf numFmtId="0" fontId="2" fillId="7" borderId="53" applyAlignment="1" pivotButton="0" quotePrefix="0" xfId="0">
      <alignment horizontal="center" vertical="center"/>
    </xf>
    <xf numFmtId="0" fontId="2" fillId="7" borderId="54" applyAlignment="1" pivotButton="0" quotePrefix="0" xfId="0">
      <alignment horizontal="center" vertical="center"/>
    </xf>
    <xf numFmtId="0" fontId="2" fillId="14" borderId="53" applyAlignment="1" pivotButton="0" quotePrefix="0" xfId="0">
      <alignment horizontal="center" vertical="center"/>
    </xf>
    <xf numFmtId="0" fontId="2" fillId="14" borderId="54" applyAlignment="1" pivotButton="0" quotePrefix="0" xfId="0">
      <alignment horizontal="center" vertical="center"/>
    </xf>
    <xf numFmtId="0" fontId="2" fillId="14" borderId="55" applyAlignment="1" pivotButton="0" quotePrefix="0" xfId="0">
      <alignment horizontal="center" vertical="center"/>
    </xf>
    <xf numFmtId="0" fontId="2" fillId="15" borderId="56" applyAlignment="1" pivotButton="0" quotePrefix="0" xfId="0">
      <alignment horizontal="center" vertical="center" shrinkToFit="1"/>
    </xf>
    <xf numFmtId="0" fontId="2" fillId="15" borderId="32" applyAlignment="1" pivotButton="0" quotePrefix="0" xfId="0">
      <alignment horizontal="center" vertical="center" shrinkToFit="1"/>
    </xf>
    <xf numFmtId="0" fontId="2" fillId="6" borderId="53" applyAlignment="1" pivotButton="0" quotePrefix="0" xfId="0">
      <alignment horizontal="center" vertical="center"/>
    </xf>
    <xf numFmtId="0" fontId="2" fillId="6" borderId="54" applyAlignment="1" pivotButton="0" quotePrefix="0" xfId="0">
      <alignment horizontal="center" vertical="center"/>
    </xf>
    <xf numFmtId="0" fontId="0" fillId="11" borderId="54" applyAlignment="1" pivotButton="0" quotePrefix="0" xfId="0">
      <alignment horizontal="center" vertical="center"/>
    </xf>
    <xf numFmtId="0" fontId="2" fillId="11" borderId="53" applyAlignment="1" pivotButton="0" quotePrefix="0" xfId="0">
      <alignment horizontal="center" vertical="center"/>
    </xf>
    <xf numFmtId="0" fontId="2" fillId="11" borderId="54" applyAlignment="1" pivotButton="0" quotePrefix="0" xfId="0">
      <alignment horizontal="center" vertical="center"/>
    </xf>
    <xf numFmtId="0" fontId="0" fillId="12" borderId="53" applyAlignment="1" pivotButton="0" quotePrefix="0" xfId="0">
      <alignment horizontal="center" vertical="center"/>
    </xf>
    <xf numFmtId="0" fontId="0" fillId="12" borderId="55" applyAlignment="1" pivotButton="0" quotePrefix="0" xfId="0">
      <alignment horizontal="center" vertical="center"/>
    </xf>
    <xf numFmtId="0" fontId="2" fillId="12" borderId="53" applyAlignment="1" pivotButton="0" quotePrefix="0" xfId="0">
      <alignment horizontal="center" vertical="center"/>
    </xf>
    <xf numFmtId="0" fontId="2" fillId="12" borderId="55" applyAlignment="1" pivotButton="0" quotePrefix="0" xfId="0">
      <alignment horizontal="center" vertical="center"/>
    </xf>
    <xf numFmtId="0" fontId="2" fillId="0" borderId="62" applyAlignment="1" pivotButton="0" quotePrefix="0" xfId="0">
      <alignment horizontal="center" vertical="center" shrinkToFit="1"/>
    </xf>
    <xf numFmtId="0" fontId="2" fillId="0" borderId="26" applyAlignment="1" pivotButton="0" quotePrefix="0" xfId="0">
      <alignment horizontal="center" vertical="center" shrinkToFit="1"/>
    </xf>
    <xf numFmtId="14" fontId="2" fillId="0" borderId="62" applyAlignment="1" pivotButton="0" quotePrefix="0" xfId="0">
      <alignment horizontal="center" vertical="center" shrinkToFit="1"/>
    </xf>
    <xf numFmtId="14" fontId="2" fillId="0" borderId="25" applyAlignment="1" pivotButton="0" quotePrefix="0" xfId="0">
      <alignment horizontal="center" vertical="center" shrinkToFit="1"/>
    </xf>
    <xf numFmtId="14" fontId="2" fillId="0" borderId="6" applyAlignment="1" pivotButton="0" quotePrefix="0" xfId="0">
      <alignment horizontal="center" vertical="center" shrinkToFit="1"/>
    </xf>
    <xf numFmtId="0" fontId="0" fillId="0" borderId="80" pivotButton="0" quotePrefix="0" xfId="0"/>
    <xf numFmtId="0" fontId="0" fillId="0" borderId="98" pivotButton="0" quotePrefix="0" xfId="0"/>
    <xf numFmtId="14" fontId="20" fillId="13" borderId="99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0" pivotButton="0" quotePrefix="0" xfId="0"/>
    <xf numFmtId="0" fontId="0" fillId="0" borderId="25" pivotButton="0" quotePrefix="0" xfId="0"/>
    <xf numFmtId="0" fontId="0" fillId="0" borderId="26" pivotButton="0" quotePrefix="0" xfId="0"/>
    <xf numFmtId="0" fontId="18" fillId="0" borderId="85" applyAlignment="1" pivotButton="0" quotePrefix="0" xfId="0">
      <alignment horizontal="left" vertical="top" wrapText="1"/>
    </xf>
    <xf numFmtId="0" fontId="0" fillId="0" borderId="75" pivotButton="0" quotePrefix="0" xfId="0"/>
    <xf numFmtId="0" fontId="0" fillId="0" borderId="76" pivotButton="0" quotePrefix="0" xfId="0"/>
    <xf numFmtId="0" fontId="0" fillId="0" borderId="46" pivotButton="0" quotePrefix="0" xfId="0"/>
    <xf numFmtId="0" fontId="0" fillId="0" borderId="59" pivotButton="0" quotePrefix="0" xfId="0"/>
    <xf numFmtId="0" fontId="0" fillId="0" borderId="60" pivotButton="0" quotePrefix="0" xfId="0"/>
    <xf numFmtId="165" fontId="7" fillId="0" borderId="85" applyAlignment="1" pivotButton="0" quotePrefix="0" xfId="0">
      <alignment horizontal="center" vertical="center" shrinkToFit="1"/>
    </xf>
    <xf numFmtId="166" fontId="2" fillId="0" borderId="85" applyAlignment="1" pivotButton="0" quotePrefix="0" xfId="0">
      <alignment horizontal="center" vertical="center" shrinkToFit="1"/>
    </xf>
    <xf numFmtId="0" fontId="0" fillId="0" borderId="77" pivotButton="0" quotePrefix="0" xfId="0"/>
    <xf numFmtId="0" fontId="0" fillId="0" borderId="78" pivotButton="0" quotePrefix="0" xfId="0"/>
    <xf numFmtId="0" fontId="0" fillId="0" borderId="37" pivotButton="0" quotePrefix="0" xfId="0"/>
    <xf numFmtId="0" fontId="0" fillId="0" borderId="101" pivotButton="0" quotePrefix="0" xfId="0"/>
    <xf numFmtId="0" fontId="2" fillId="2" borderId="102" applyAlignment="1" pivotButton="0" quotePrefix="0" xfId="0">
      <alignment horizontal="center" vertical="center" shrinkToFit="1"/>
    </xf>
    <xf numFmtId="167" fontId="7" fillId="7" borderId="85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7" fillId="0" borderId="85" applyAlignment="1" pivotButton="0" quotePrefix="0" xfId="0">
      <alignment horizontal="center" vertical="center"/>
    </xf>
    <xf numFmtId="164" fontId="6" fillId="7" borderId="26" applyAlignment="1" pivotButton="0" quotePrefix="0" xfId="0">
      <alignment horizontal="right" vertical="center"/>
    </xf>
    <xf numFmtId="164" fontId="8" fillId="0" borderId="85" applyAlignment="1" pivotButton="0" quotePrefix="0" xfId="0">
      <alignment horizontal="center" vertical="center"/>
    </xf>
    <xf numFmtId="164" fontId="8" fillId="0" borderId="26" applyAlignment="1" pivotButton="0" quotePrefix="0" xfId="0">
      <alignment horizontal="right" vertical="center"/>
    </xf>
    <xf numFmtId="0" fontId="7" fillId="0" borderId="103" applyAlignment="1" pivotButton="0" quotePrefix="0" xfId="0">
      <alignment horizontal="center" vertical="center"/>
    </xf>
    <xf numFmtId="0" fontId="0" fillId="0" borderId="83" pivotButton="0" quotePrefix="0" xfId="0"/>
    <xf numFmtId="0" fontId="7" fillId="17" borderId="44" applyAlignment="1" pivotButton="0" quotePrefix="0" xfId="0">
      <alignment horizontal="center" vertical="center" wrapText="1"/>
    </xf>
    <xf numFmtId="164" fontId="34" fillId="0" borderId="39" applyAlignment="1" pivotButton="0" quotePrefix="0" xfId="0">
      <alignment vertical="center"/>
    </xf>
    <xf numFmtId="164" fontId="38" fillId="0" borderId="39" applyAlignment="1" pivotButton="0" quotePrefix="0" xfId="0">
      <alignment horizontal="center" vertical="center"/>
    </xf>
    <xf numFmtId="164" fontId="36" fillId="0" borderId="39" applyAlignment="1" pivotButton="0" quotePrefix="0" xfId="0">
      <alignment horizontal="center" vertical="center"/>
    </xf>
    <xf numFmtId="164" fontId="35" fillId="0" borderId="39" applyAlignment="1" pivotButton="0" quotePrefix="0" xfId="0">
      <alignment horizontal="center" vertical="center"/>
    </xf>
    <xf numFmtId="164" fontId="3" fillId="0" borderId="39" applyAlignment="1" pivotButton="0" quotePrefix="0" xfId="0">
      <alignment vertical="center"/>
    </xf>
    <xf numFmtId="164" fontId="3" fillId="0" borderId="39" applyAlignment="1" pivotButton="0" quotePrefix="0" xfId="0">
      <alignment horizontal="center" vertical="center"/>
    </xf>
    <xf numFmtId="164" fontId="2" fillId="0" borderId="39" applyAlignment="1" pivotButton="0" quotePrefix="0" xfId="0">
      <alignment vertical="center"/>
    </xf>
    <xf numFmtId="164" fontId="14" fillId="0" borderId="39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5" fillId="0" borderId="20" applyAlignment="1" pivotButton="0" quotePrefix="0" xfId="0">
      <alignment horizontal="right" vertical="center"/>
    </xf>
    <xf numFmtId="0" fontId="0" fillId="0" borderId="54" pivotButton="0" quotePrefix="0" xfId="0"/>
    <xf numFmtId="164" fontId="34" fillId="0" borderId="40" applyAlignment="1" pivotButton="0" quotePrefix="0" xfId="0">
      <alignment vertical="center"/>
    </xf>
    <xf numFmtId="164" fontId="36" fillId="0" borderId="40" applyAlignment="1" pivotButton="0" quotePrefix="0" xfId="0">
      <alignment horizontal="center" vertical="center"/>
    </xf>
    <xf numFmtId="164" fontId="35" fillId="0" borderId="40" applyAlignment="1" pivotButton="0" quotePrefix="0" xfId="0">
      <alignment horizontal="center" vertical="center"/>
    </xf>
    <xf numFmtId="164" fontId="3" fillId="0" borderId="40" applyAlignment="1" pivotButton="0" quotePrefix="0" xfId="0">
      <alignment vertical="center"/>
    </xf>
    <xf numFmtId="164" fontId="3" fillId="0" borderId="40" applyAlignment="1" pivotButton="0" quotePrefix="0" xfId="0">
      <alignment horizontal="center" vertical="center"/>
    </xf>
    <xf numFmtId="164" fontId="2" fillId="0" borderId="40" applyAlignment="1" pivotButton="0" quotePrefix="0" xfId="0">
      <alignment vertical="center"/>
    </xf>
    <xf numFmtId="164" fontId="14" fillId="0" borderId="40" applyAlignment="1" pivotButton="0" quotePrefix="0" xfId="0">
      <alignment horizontal="center" vertical="center"/>
    </xf>
    <xf numFmtId="164" fontId="5" fillId="0" borderId="21" applyAlignment="1" pivotButton="0" quotePrefix="0" xfId="0">
      <alignment horizontal="right" vertical="center"/>
    </xf>
    <xf numFmtId="0" fontId="0" fillId="0" borderId="55" pivotButton="0" quotePrefix="0" xfId="0"/>
    <xf numFmtId="164" fontId="34" fillId="0" borderId="41" applyAlignment="1" pivotButton="0" quotePrefix="0" xfId="0">
      <alignment vertical="center"/>
    </xf>
    <xf numFmtId="164" fontId="36" fillId="0" borderId="41" applyAlignment="1" pivotButton="0" quotePrefix="0" xfId="0">
      <alignment horizontal="center" vertical="center"/>
    </xf>
    <xf numFmtId="164" fontId="35" fillId="0" borderId="41" applyAlignment="1" pivotButton="0" quotePrefix="0" xfId="0">
      <alignment horizontal="center" vertical="center"/>
    </xf>
    <xf numFmtId="164" fontId="3" fillId="0" borderId="41" applyAlignment="1" pivotButton="0" quotePrefix="0" xfId="0">
      <alignment vertical="center"/>
    </xf>
    <xf numFmtId="164" fontId="3" fillId="0" borderId="41" applyAlignment="1" pivotButton="0" quotePrefix="0" xfId="0">
      <alignment horizontal="center" vertical="center"/>
    </xf>
    <xf numFmtId="164" fontId="2" fillId="0" borderId="41" applyAlignment="1" pivotButton="0" quotePrefix="0" xfId="0">
      <alignment vertical="center"/>
    </xf>
    <xf numFmtId="164" fontId="14" fillId="0" borderId="41" applyAlignment="1" pivotButton="0" quotePrefix="0" xfId="0">
      <alignment horizontal="center" vertical="center"/>
    </xf>
    <xf numFmtId="164" fontId="5" fillId="0" borderId="35" applyAlignment="1" pivotButton="0" quotePrefix="0" xfId="0">
      <alignment horizontal="right" vertical="center"/>
    </xf>
    <xf numFmtId="164" fontId="33" fillId="0" borderId="39" applyAlignment="1" pivotButton="0" quotePrefix="0" xfId="0">
      <alignment horizontal="center" vertical="center"/>
    </xf>
    <xf numFmtId="164" fontId="40" fillId="0" borderId="39" applyAlignment="1" pivotButton="0" quotePrefix="0" xfId="0">
      <alignment horizontal="center" vertical="center"/>
    </xf>
    <xf numFmtId="164" fontId="12" fillId="0" borderId="42" applyAlignment="1" pivotButton="0" quotePrefix="0" xfId="0">
      <alignment horizontal="center" vertical="center"/>
    </xf>
    <xf numFmtId="164" fontId="14" fillId="0" borderId="42" applyAlignment="1" pivotButton="0" quotePrefix="0" xfId="0">
      <alignment horizontal="center" vertical="center"/>
    </xf>
    <xf numFmtId="164" fontId="5" fillId="0" borderId="39" applyAlignment="1" pivotButton="0" quotePrefix="0" xfId="0">
      <alignment horizontal="right" vertical="center"/>
    </xf>
    <xf numFmtId="164" fontId="33" fillId="0" borderId="42" applyAlignment="1" pivotButton="0" quotePrefix="0" xfId="0">
      <alignment horizontal="center" vertical="center"/>
    </xf>
    <xf numFmtId="164" fontId="2" fillId="0" borderId="42" applyAlignment="1" pivotButton="0" quotePrefix="0" xfId="0">
      <alignment vertical="center"/>
    </xf>
    <xf numFmtId="164" fontId="3" fillId="0" borderId="42" applyAlignment="1" pivotButton="0" quotePrefix="0" xfId="0">
      <alignment horizontal="center" vertical="center"/>
    </xf>
    <xf numFmtId="164" fontId="5" fillId="0" borderId="40" applyAlignment="1" pivotButton="0" quotePrefix="0" xfId="0">
      <alignment horizontal="right" vertical="center"/>
    </xf>
    <xf numFmtId="164" fontId="2" fillId="0" borderId="54" applyAlignment="1" pivotButton="0" quotePrefix="0" xfId="0">
      <alignment vertical="center"/>
    </xf>
    <xf numFmtId="164" fontId="14" fillId="0" borderId="54" applyAlignment="1" pivotButton="0" quotePrefix="0" xfId="0">
      <alignment horizontal="center" vertical="center"/>
    </xf>
    <xf numFmtId="164" fontId="33" fillId="0" borderId="54" applyAlignment="1" pivotButton="0" quotePrefix="0" xfId="0">
      <alignment horizontal="center" vertical="center"/>
    </xf>
    <xf numFmtId="164" fontId="2" fillId="0" borderId="43" applyAlignment="1" pivotButton="0" quotePrefix="0" xfId="0">
      <alignment vertical="center"/>
    </xf>
    <xf numFmtId="164" fontId="12" fillId="0" borderId="54" applyAlignment="1" pivotButton="0" quotePrefix="0" xfId="0">
      <alignment horizontal="center" vertical="center"/>
    </xf>
    <xf numFmtId="164" fontId="3" fillId="0" borderId="54" applyAlignment="1" pivotButton="0" quotePrefix="0" xfId="0">
      <alignment horizontal="center" vertical="center"/>
    </xf>
    <xf numFmtId="164" fontId="5" fillId="0" borderId="41" applyAlignment="1" pivotButton="0" quotePrefix="0" xfId="0">
      <alignment horizontal="right" vertical="center"/>
    </xf>
    <xf numFmtId="164" fontId="27" fillId="0" borderId="39" applyAlignment="1" pivotButton="0" quotePrefix="0" xfId="0">
      <alignment horizontal="center" vertical="center"/>
    </xf>
    <xf numFmtId="164" fontId="34" fillId="0" borderId="42" applyAlignment="1" pivotButton="0" quotePrefix="0" xfId="0">
      <alignment vertical="center"/>
    </xf>
    <xf numFmtId="164" fontId="36" fillId="0" borderId="42" applyAlignment="1" pivotButton="0" quotePrefix="0" xfId="0">
      <alignment horizontal="center" vertical="center"/>
    </xf>
    <xf numFmtId="164" fontId="40" fillId="0" borderId="42" applyAlignment="1" pivotButton="0" quotePrefix="0" xfId="0">
      <alignment horizontal="center" vertical="center"/>
    </xf>
    <xf numFmtId="164" fontId="37" fillId="0" borderId="42" applyAlignment="1" pivotButton="0" quotePrefix="0" xfId="0">
      <alignment horizontal="center" vertical="center"/>
    </xf>
    <xf numFmtId="164" fontId="27" fillId="0" borderId="42" applyAlignment="1" pivotButton="0" quotePrefix="0" xfId="0">
      <alignment horizontal="center" vertical="center"/>
    </xf>
    <xf numFmtId="164" fontId="48" fillId="0" borderId="42" applyAlignment="1" pivotButton="0" quotePrefix="0" xfId="0">
      <alignment horizontal="center" vertical="center"/>
    </xf>
    <xf numFmtId="164" fontId="28" fillId="0" borderId="42" applyAlignment="1" pivotButton="0" quotePrefix="0" xfId="0">
      <alignment horizontal="center" vertical="center"/>
    </xf>
    <xf numFmtId="164" fontId="39" fillId="0" borderId="42" applyAlignment="1" pivotButton="0" quotePrefix="0" xfId="0">
      <alignment horizontal="center" vertical="center"/>
    </xf>
    <xf numFmtId="164" fontId="44" fillId="0" borderId="42" applyAlignment="1" pivotButton="0" quotePrefix="0" xfId="0">
      <alignment horizontal="center" vertical="center"/>
    </xf>
    <xf numFmtId="164" fontId="28" fillId="0" borderId="54" applyAlignment="1" pivotButton="0" quotePrefix="0" xfId="0">
      <alignment horizontal="center" vertical="center"/>
    </xf>
    <xf numFmtId="164" fontId="14" fillId="0" borderId="55" applyAlignment="1" pivotButton="0" quotePrefix="0" xfId="0">
      <alignment horizontal="center" vertical="center"/>
    </xf>
    <xf numFmtId="164" fontId="27" fillId="0" borderId="55" applyAlignment="1" pivotButton="0" quotePrefix="0" xfId="0">
      <alignment horizontal="center" vertical="center"/>
    </xf>
    <xf numFmtId="164" fontId="33" fillId="0" borderId="55" applyAlignment="1" pivotButton="0" quotePrefix="0" xfId="0">
      <alignment horizontal="center" vertical="center"/>
    </xf>
    <xf numFmtId="164" fontId="12" fillId="0" borderId="39" applyAlignment="1" pivotButton="0" quotePrefix="0" xfId="0">
      <alignment horizontal="center" vertical="center"/>
    </xf>
    <xf numFmtId="164" fontId="5" fillId="0" borderId="36" applyAlignment="1" pivotButton="0" quotePrefix="0" xfId="0">
      <alignment horizontal="right" vertical="center"/>
    </xf>
    <xf numFmtId="164" fontId="27" fillId="0" borderId="54" applyAlignment="1" pivotButton="0" quotePrefix="0" xfId="0">
      <alignment horizontal="center" vertical="center"/>
    </xf>
    <xf numFmtId="164" fontId="3" fillId="0" borderId="54" applyAlignment="1" pivotButton="0" quotePrefix="0" xfId="0">
      <alignment vertical="center"/>
    </xf>
    <xf numFmtId="164" fontId="33" fillId="0" borderId="41" applyAlignment="1" pivotButton="0" quotePrefix="0" xfId="0">
      <alignment horizontal="center" vertical="center"/>
    </xf>
    <xf numFmtId="164" fontId="12" fillId="0" borderId="41" applyAlignment="1" pivotButton="0" quotePrefix="0" xfId="0">
      <alignment horizontal="center" vertical="center"/>
    </xf>
    <xf numFmtId="164" fontId="27" fillId="0" borderId="41" applyAlignment="1" pivotButton="0" quotePrefix="0" xfId="0">
      <alignment horizontal="center" vertical="center"/>
    </xf>
    <xf numFmtId="164" fontId="3" fillId="0" borderId="43" applyAlignment="1" pivotButton="0" quotePrefix="0" xfId="0">
      <alignment horizontal="center" vertical="center"/>
    </xf>
    <xf numFmtId="164" fontId="34" fillId="0" borderId="54" applyAlignment="1" pivotButton="0" quotePrefix="0" xfId="0">
      <alignment vertical="center"/>
    </xf>
    <xf numFmtId="164" fontId="36" fillId="0" borderId="54" applyAlignment="1" pivotButton="0" quotePrefix="0" xfId="0">
      <alignment horizontal="center" vertical="center"/>
    </xf>
    <xf numFmtId="164" fontId="33" fillId="0" borderId="40" applyAlignment="1" pivotButton="0" quotePrefix="0" xfId="0">
      <alignment horizontal="center" vertical="center"/>
    </xf>
    <xf numFmtId="164" fontId="30" fillId="0" borderId="41" applyAlignment="1" pivotButton="0" quotePrefix="0" xfId="0">
      <alignment horizontal="center" vertical="center"/>
    </xf>
    <xf numFmtId="0" fontId="7" fillId="9" borderId="44" applyAlignment="1" pivotButton="0" quotePrefix="0" xfId="0">
      <alignment horizontal="center" vertical="center"/>
    </xf>
    <xf numFmtId="164" fontId="39" fillId="0" borderId="39" applyAlignment="1" pivotButton="0" quotePrefix="0" xfId="0">
      <alignment horizontal="center" vertical="center"/>
    </xf>
    <xf numFmtId="164" fontId="12" fillId="0" borderId="40" applyAlignment="1" pivotButton="0" quotePrefix="0" xfId="0">
      <alignment horizontal="center" vertical="center"/>
    </xf>
    <xf numFmtId="164" fontId="39" fillId="0" borderId="40" applyAlignment="1" pivotButton="0" quotePrefix="0" xfId="0">
      <alignment horizontal="center" vertical="center"/>
    </xf>
    <xf numFmtId="164" fontId="27" fillId="0" borderId="40" applyAlignment="1" pivotButton="0" quotePrefix="0" xfId="0">
      <alignment horizontal="center" vertical="center"/>
    </xf>
    <xf numFmtId="0" fontId="7" fillId="10" borderId="44" applyAlignment="1" pivotButton="0" quotePrefix="0" xfId="0">
      <alignment horizontal="center" vertical="center"/>
    </xf>
    <xf numFmtId="164" fontId="43" fillId="0" borderId="39" applyAlignment="1" pivotButton="0" quotePrefix="0" xfId="0">
      <alignment horizontal="center" vertical="center"/>
    </xf>
    <xf numFmtId="164" fontId="28" fillId="0" borderId="41" applyAlignment="1" pivotButton="0" quotePrefix="0" xfId="0">
      <alignment horizontal="center" vertical="center"/>
    </xf>
    <xf numFmtId="164" fontId="29" fillId="0" borderId="41" applyAlignment="1" pivotButton="0" quotePrefix="0" xfId="0">
      <alignment horizontal="center" vertical="center"/>
    </xf>
    <xf numFmtId="164" fontId="3" fillId="0" borderId="42" applyAlignment="1" pivotButton="0" quotePrefix="0" xfId="0">
      <alignment vertical="center"/>
    </xf>
    <xf numFmtId="164" fontId="28" fillId="0" borderId="40" applyAlignment="1" pivotButton="0" quotePrefix="0" xfId="0">
      <alignment horizontal="center" vertical="center"/>
    </xf>
    <xf numFmtId="164" fontId="47" fillId="0" borderId="42" applyAlignment="1" pivotButton="0" quotePrefix="0" xfId="0">
      <alignment horizontal="center" vertical="center"/>
    </xf>
    <xf numFmtId="164" fontId="46" fillId="0" borderId="42" applyAlignment="1" pivotButton="0" quotePrefix="0" xfId="0">
      <alignment horizontal="center" vertical="center"/>
    </xf>
    <xf numFmtId="164" fontId="14" fillId="0" borderId="43" applyAlignment="1" pivotButton="0" quotePrefix="0" xfId="0">
      <alignment horizontal="center" vertical="center"/>
    </xf>
    <xf numFmtId="164" fontId="46" fillId="0" borderId="43" applyAlignment="1" pivotButton="0" quotePrefix="0" xfId="0">
      <alignment horizontal="center" vertical="center"/>
    </xf>
    <xf numFmtId="164" fontId="3" fillId="0" borderId="43" applyAlignment="1" pivotButton="0" quotePrefix="0" xfId="0">
      <alignment vertical="center"/>
    </xf>
    <xf numFmtId="164" fontId="28" fillId="0" borderId="39" applyAlignment="1" pivotButton="0" quotePrefix="0" xfId="0">
      <alignment horizontal="center" vertical="center"/>
    </xf>
    <xf numFmtId="164" fontId="2" fillId="0" borderId="55" applyAlignment="1" pivotButton="0" quotePrefix="0" xfId="0">
      <alignment vertical="center"/>
    </xf>
    <xf numFmtId="164" fontId="12" fillId="0" borderId="55" applyAlignment="1" pivotButton="0" quotePrefix="0" xfId="0">
      <alignment horizontal="center" vertical="center"/>
    </xf>
    <xf numFmtId="164" fontId="3" fillId="0" borderId="55" applyAlignment="1" pivotButton="0" quotePrefix="0" xfId="0">
      <alignment vertical="center"/>
    </xf>
    <xf numFmtId="0" fontId="0" fillId="0" borderId="42" pivotButton="0" quotePrefix="0" xfId="0"/>
    <xf numFmtId="164" fontId="30" fillId="0" borderId="39" applyAlignment="1" pivotButton="0" quotePrefix="0" xfId="0">
      <alignment horizontal="center" vertical="center"/>
    </xf>
    <xf numFmtId="164" fontId="30" fillId="0" borderId="42" applyAlignment="1" pivotButton="0" quotePrefix="0" xfId="0">
      <alignment horizontal="center" vertical="center"/>
    </xf>
    <xf numFmtId="164" fontId="30" fillId="0" borderId="54" applyAlignment="1" pivotButton="0" quotePrefix="0" xfId="0">
      <alignment horizontal="center" vertical="center"/>
    </xf>
    <xf numFmtId="164" fontId="30" fillId="0" borderId="55" applyAlignment="1" pivotButton="0" quotePrefix="0" xfId="0">
      <alignment horizontal="center" vertical="center"/>
    </xf>
    <xf numFmtId="0" fontId="7" fillId="14" borderId="44" applyAlignment="1" pivotButton="0" quotePrefix="0" xfId="0">
      <alignment horizontal="center" vertical="center"/>
    </xf>
    <xf numFmtId="164" fontId="41" fillId="0" borderId="39" applyAlignment="1" pivotButton="0" quotePrefix="0" xfId="0">
      <alignment vertical="center"/>
    </xf>
    <xf numFmtId="0" fontId="0" fillId="0" borderId="19" pivotButton="0" quotePrefix="0" xfId="0"/>
    <xf numFmtId="164" fontId="2" fillId="0" borderId="44" applyAlignment="1" pivotButton="0" quotePrefix="0" xfId="0">
      <alignment vertical="center"/>
    </xf>
    <xf numFmtId="164" fontId="33" fillId="0" borderId="44" applyAlignment="1" pivotButton="0" quotePrefix="0" xfId="0">
      <alignment horizontal="center" vertical="center"/>
    </xf>
    <xf numFmtId="164" fontId="12" fillId="0" borderId="44" applyAlignment="1" pivotButton="0" quotePrefix="0" xfId="0">
      <alignment horizontal="center" vertical="center"/>
    </xf>
    <xf numFmtId="164" fontId="14" fillId="0" borderId="44" applyAlignment="1" pivotButton="0" quotePrefix="0" xfId="0">
      <alignment horizontal="center" vertical="center"/>
    </xf>
    <xf numFmtId="164" fontId="28" fillId="0" borderId="44" applyAlignment="1" pivotButton="0" quotePrefix="0" xfId="0">
      <alignment horizontal="center" vertical="center"/>
    </xf>
    <xf numFmtId="164" fontId="3" fillId="0" borderId="44" applyAlignment="1" pivotButton="0" quotePrefix="0" xfId="0">
      <alignment vertical="center"/>
    </xf>
    <xf numFmtId="164" fontId="3" fillId="0" borderId="44" applyAlignment="1" pivotButton="0" quotePrefix="0" xfId="0">
      <alignment horizontal="center" vertical="center"/>
    </xf>
    <xf numFmtId="164" fontId="5" fillId="0" borderId="23" applyAlignment="1" pivotButton="0" quotePrefix="0" xfId="0">
      <alignment horizontal="right" vertical="center"/>
    </xf>
    <xf numFmtId="0" fontId="7" fillId="16" borderId="104" applyAlignment="1" pivotButton="0" quotePrefix="0" xfId="0">
      <alignment horizontal="center" vertical="center" wrapText="1"/>
    </xf>
    <xf numFmtId="0" fontId="0" fillId="0" borderId="92" pivotButton="0" quotePrefix="0" xfId="0"/>
    <xf numFmtId="164" fontId="12" fillId="0" borderId="39" applyAlignment="1" pivotButton="0" quotePrefix="0" xfId="0">
      <alignment horizontal="right" vertical="center"/>
    </xf>
    <xf numFmtId="164" fontId="29" fillId="0" borderId="40" applyAlignment="1" pivotButton="0" quotePrefix="0" xfId="0">
      <alignment horizontal="center" vertical="center"/>
    </xf>
    <xf numFmtId="164" fontId="29" fillId="0" borderId="39" applyAlignment="1" pivotButton="0" quotePrefix="0" xfId="0">
      <alignment horizontal="center" vertical="center"/>
    </xf>
    <xf numFmtId="164" fontId="28" fillId="0" borderId="84" applyAlignment="1" pivotButton="0" quotePrefix="0" xfId="0">
      <alignment horizontal="center" vertical="center"/>
    </xf>
    <xf numFmtId="164" fontId="45" fillId="0" borderId="42" applyAlignment="1" pivotButton="0" quotePrefix="0" xfId="0">
      <alignment horizontal="center" vertical="center"/>
    </xf>
    <xf numFmtId="0" fontId="18" fillId="16" borderId="104" applyAlignment="1" pivotButton="0" quotePrefix="0" xfId="0">
      <alignment horizontal="center" vertical="center"/>
    </xf>
    <xf numFmtId="0" fontId="23" fillId="0" borderId="44" applyAlignment="1" pivotButton="0" quotePrefix="0" xfId="0">
      <alignment horizontal="center" vertical="center"/>
    </xf>
    <xf numFmtId="0" fontId="0" fillId="0" borderId="58" pivotButton="0" quotePrefix="0" xfId="0"/>
    <xf numFmtId="164" fontId="12" fillId="0" borderId="40" applyAlignment="1" pivotButton="0" quotePrefix="0" xfId="0">
      <alignment horizontal="right" vertical="center"/>
    </xf>
    <xf numFmtId="164" fontId="29" fillId="0" borderId="42" applyAlignment="1" pivotButton="0" quotePrefix="0" xfId="0">
      <alignment horizontal="center" vertical="center"/>
    </xf>
    <xf numFmtId="164" fontId="28" fillId="0" borderId="85" applyAlignment="1" pivotButton="0" quotePrefix="0" xfId="0">
      <alignment horizontal="center" vertical="center"/>
    </xf>
    <xf numFmtId="164" fontId="45" fillId="0" borderId="40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93" pivotButton="0" quotePrefix="0" xfId="0"/>
    <xf numFmtId="164" fontId="12" fillId="0" borderId="41" applyAlignment="1" pivotButton="0" quotePrefix="0" xfId="0">
      <alignment horizontal="right" vertical="center"/>
    </xf>
    <xf numFmtId="164" fontId="29" fillId="0" borderId="55" applyAlignment="1" pivotButton="0" quotePrefix="0" xfId="0">
      <alignment horizontal="center" vertical="center"/>
    </xf>
    <xf numFmtId="0" fontId="0" fillId="0" borderId="23" pivotButton="0" quotePrefix="0" xfId="0"/>
    <xf numFmtId="0" fontId="21" fillId="13" borderId="99" applyAlignment="1" pivotButton="0" quotePrefix="0" xfId="0">
      <alignment horizontal="center" vertical="center" shrinkToFit="1"/>
    </xf>
    <xf numFmtId="0" fontId="7" fillId="0" borderId="85" applyAlignment="1" pivotButton="0" quotePrefix="0" xfId="0">
      <alignment horizontal="left" vertical="top" wrapText="1"/>
    </xf>
    <xf numFmtId="166" fontId="2" fillId="0" borderId="85" applyAlignment="1" pivotButton="0" quotePrefix="0" xfId="0">
      <alignment horizontal="left" vertical="center" shrinkToFit="1"/>
    </xf>
    <xf numFmtId="0" fontId="2" fillId="2" borderId="105" applyAlignment="1" pivotButton="0" quotePrefix="0" xfId="0">
      <alignment horizontal="center" vertical="center" shrinkToFit="1"/>
    </xf>
    <xf numFmtId="164" fontId="6" fillId="7" borderId="6" applyAlignment="1" pivotButton="0" quotePrefix="0" xfId="0">
      <alignment horizontal="right" vertical="center"/>
    </xf>
    <xf numFmtId="164" fontId="5" fillId="3" borderId="6" applyAlignment="1" pivotButton="0" quotePrefix="0" xfId="0">
      <alignment horizontal="right" vertical="center"/>
    </xf>
    <xf numFmtId="0" fontId="7" fillId="0" borderId="106" applyAlignment="1" pivotButton="0" quotePrefix="0" xfId="0">
      <alignment horizontal="center" vertical="center"/>
    </xf>
    <xf numFmtId="0" fontId="0" fillId="0" borderId="64" pivotButton="0" quotePrefix="0" xfId="0"/>
    <xf numFmtId="164" fontId="5" fillId="3" borderId="18" applyAlignment="1" pivotButton="0" quotePrefix="0" xfId="0">
      <alignment horizontal="right" vertical="center"/>
    </xf>
    <xf numFmtId="164" fontId="16" fillId="0" borderId="39" applyAlignment="1" pivotButton="0" quotePrefix="0" xfId="0">
      <alignment horizontal="center" vertical="center"/>
    </xf>
    <xf numFmtId="164" fontId="5" fillId="3" borderId="39" applyAlignment="1" pivotButton="0" quotePrefix="0" xfId="0">
      <alignment horizontal="right" vertical="center"/>
    </xf>
    <xf numFmtId="164" fontId="16" fillId="0" borderId="40" applyAlignment="1" pivotButton="0" quotePrefix="0" xfId="0">
      <alignment horizontal="center" vertical="center"/>
    </xf>
    <xf numFmtId="164" fontId="5" fillId="3" borderId="40" applyAlignment="1" pivotButton="0" quotePrefix="0" xfId="0">
      <alignment horizontal="right" vertical="center"/>
    </xf>
    <xf numFmtId="164" fontId="16" fillId="0" borderId="41" applyAlignment="1" pivotButton="0" quotePrefix="0" xfId="0">
      <alignment horizontal="center" vertical="center"/>
    </xf>
    <xf numFmtId="164" fontId="28" fillId="0" borderId="55" applyAlignment="1" pivotButton="0" quotePrefix="0" xfId="0">
      <alignment horizontal="center" vertical="center"/>
    </xf>
    <xf numFmtId="164" fontId="3" fillId="0" borderId="55" applyAlignment="1" pivotButton="0" quotePrefix="0" xfId="0">
      <alignment horizontal="center" vertical="center"/>
    </xf>
    <xf numFmtId="164" fontId="5" fillId="3" borderId="41" applyAlignment="1" pivotButton="0" quotePrefix="0" xfId="0">
      <alignment horizontal="right" vertical="center"/>
    </xf>
    <xf numFmtId="164" fontId="5" fillId="3" borderId="42" applyAlignment="1" pivotButton="0" quotePrefix="0" xfId="0">
      <alignment horizontal="right" vertical="center"/>
    </xf>
    <xf numFmtId="164" fontId="5" fillId="3" borderId="43" applyAlignment="1" pivotButton="0" quotePrefix="0" xfId="0">
      <alignment horizontal="right" vertical="center"/>
    </xf>
    <xf numFmtId="164" fontId="15" fillId="0" borderId="39" applyAlignment="1" pivotButton="0" quotePrefix="0" xfId="0">
      <alignment horizontal="center" vertical="center"/>
    </xf>
    <xf numFmtId="164" fontId="15" fillId="0" borderId="42" applyAlignment="1" pivotButton="0" quotePrefix="0" xfId="0">
      <alignment horizontal="center" vertical="center"/>
    </xf>
    <xf numFmtId="164" fontId="30" fillId="0" borderId="40" applyAlignment="1" pivotButton="0" quotePrefix="0" xfId="0">
      <alignment horizontal="center" vertical="center"/>
    </xf>
    <xf numFmtId="164" fontId="30" fillId="0" borderId="43" applyAlignment="1" pivotButton="0" quotePrefix="0" xfId="0">
      <alignment horizontal="center" vertical="center"/>
    </xf>
    <xf numFmtId="164" fontId="15" fillId="0" borderId="55" applyAlignment="1" pivotButton="0" quotePrefix="0" xfId="0">
      <alignment horizontal="center" vertical="center"/>
    </xf>
    <xf numFmtId="164" fontId="15" fillId="0" borderId="54" applyAlignment="1" pivotButton="0" quotePrefix="0" xfId="0">
      <alignment horizontal="center" vertical="center"/>
    </xf>
    <xf numFmtId="164" fontId="3" fillId="0" borderId="92" applyAlignment="1" pivotButton="0" quotePrefix="0" xfId="0">
      <alignment horizontal="center" vertical="center"/>
    </xf>
    <xf numFmtId="0" fontId="7" fillId="12" borderId="44" applyAlignment="1" pivotButton="0" quotePrefix="0" xfId="0">
      <alignment horizontal="center" vertical="center"/>
    </xf>
    <xf numFmtId="164" fontId="15" fillId="0" borderId="41" applyAlignment="1" pivotButton="0" quotePrefix="0" xfId="0">
      <alignment horizontal="center" vertical="center"/>
    </xf>
    <xf numFmtId="164" fontId="17" fillId="0" borderId="39" applyAlignment="1" pivotButton="0" quotePrefix="0" xfId="0">
      <alignment horizontal="center" vertical="center"/>
    </xf>
    <xf numFmtId="164" fontId="15" fillId="0" borderId="40" applyAlignment="1" pivotButton="0" quotePrefix="0" xfId="0">
      <alignment horizontal="center" vertical="center"/>
    </xf>
    <xf numFmtId="164" fontId="15" fillId="0" borderId="44" applyAlignment="1" pivotButton="0" quotePrefix="0" xfId="0">
      <alignment horizontal="center" vertical="center"/>
    </xf>
    <xf numFmtId="164" fontId="30" fillId="0" borderId="44" applyAlignment="1" pivotButton="0" quotePrefix="0" xfId="0">
      <alignment horizontal="center" vertical="center"/>
    </xf>
    <xf numFmtId="164" fontId="14" fillId="0" borderId="53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/>
    </xf>
    <xf numFmtId="164" fontId="24" fillId="0" borderId="55" applyAlignment="1" pivotButton="0" quotePrefix="0" xfId="0">
      <alignment horizontal="center" vertical="center"/>
    </xf>
    <xf numFmtId="0" fontId="18" fillId="0" borderId="70" applyAlignment="1" pivotButton="0" quotePrefix="0" xfId="0">
      <alignment horizontal="center" vertical="center"/>
    </xf>
    <xf numFmtId="0" fontId="18" fillId="0" borderId="106" applyAlignment="1" pivotButton="0" quotePrefix="0" xfId="0">
      <alignment horizontal="center" vertical="center"/>
    </xf>
    <xf numFmtId="164" fontId="38" fillId="0" borderId="40" applyAlignment="1" pivotButton="0" quotePrefix="0" xfId="0">
      <alignment horizontal="center" vertical="center"/>
    </xf>
    <xf numFmtId="164" fontId="38" fillId="0" borderId="41" applyAlignment="1" pivotButton="0" quotePrefix="0" xfId="0">
      <alignment horizontal="center" vertical="center"/>
    </xf>
    <xf numFmtId="164" fontId="28" fillId="0" borderId="53" applyAlignment="1" pivotButton="0" quotePrefix="0" xfId="0">
      <alignment horizontal="center" vertical="center"/>
    </xf>
    <xf numFmtId="164" fontId="37" fillId="0" borderId="39" applyAlignment="1" pivotButton="0" quotePrefix="0" xfId="0">
      <alignment horizontal="center" vertical="center"/>
    </xf>
    <xf numFmtId="164" fontId="42" fillId="0" borderId="39" applyAlignment="1" pivotButton="0" quotePrefix="0" xfId="0">
      <alignment horizontal="center" vertical="center"/>
    </xf>
    <xf numFmtId="164" fontId="42" fillId="0" borderId="54" applyAlignment="1" pivotButton="0" quotePrefix="0" xfId="0">
      <alignment horizontal="center" vertical="center"/>
    </xf>
    <xf numFmtId="164" fontId="42" fillId="0" borderId="41" applyAlignment="1" pivotButton="0" quotePrefix="0" xfId="0">
      <alignment horizontal="center" vertical="center"/>
    </xf>
    <xf numFmtId="164" fontId="27" fillId="0" borderId="44" applyAlignment="1" pivotButton="0" quotePrefix="0" xfId="0">
      <alignment horizontal="center" vertical="center"/>
    </xf>
    <xf numFmtId="164" fontId="27" fillId="0" borderId="84" applyAlignment="1" pivotButton="0" quotePrefix="0" xfId="0">
      <alignment horizontal="center" vertical="center"/>
    </xf>
    <xf numFmtId="164" fontId="14" fillId="0" borderId="85" applyAlignment="1" pivotButton="0" quotePrefix="0" xfId="0">
      <alignment horizontal="center" vertical="center"/>
    </xf>
    <xf numFmtId="0" fontId="20" fillId="13" borderId="107" applyAlignment="1" pivotButton="0" quotePrefix="0" xfId="0">
      <alignment horizontal="center" vertical="center" shrinkToFit="1"/>
    </xf>
    <xf numFmtId="0" fontId="20" fillId="13" borderId="45" applyAlignment="1" pivotButton="0" quotePrefix="0" xfId="0">
      <alignment horizontal="center" vertical="center" shrinkToFit="1"/>
    </xf>
    <xf numFmtId="0" fontId="0" fillId="0" borderId="79" pivotButton="0" quotePrefix="0" xfId="0"/>
    <xf numFmtId="165" fontId="7" fillId="0" borderId="24" applyAlignment="1" pivotButton="0" quotePrefix="0" xfId="0">
      <alignment horizontal="center" vertical="center" shrinkToFit="1"/>
    </xf>
    <xf numFmtId="166" fontId="2" fillId="0" borderId="46" applyAlignment="1" pivotButton="0" quotePrefix="0" xfId="0">
      <alignment horizontal="center" vertical="center" shrinkToFit="1"/>
    </xf>
    <xf numFmtId="165" fontId="7" fillId="0" borderId="25" applyAlignment="1" pivotButton="0" quotePrefix="0" xfId="0">
      <alignment horizontal="center" vertical="center" shrinkToFit="1"/>
    </xf>
    <xf numFmtId="166" fontId="2" fillId="0" borderId="25" applyAlignment="1" pivotButton="0" quotePrefix="0" xfId="0">
      <alignment horizontal="center" vertical="center" shrinkToFit="1"/>
    </xf>
    <xf numFmtId="166" fontId="2" fillId="0" borderId="26" applyAlignment="1" pivotButton="0" quotePrefix="0" xfId="0">
      <alignment horizontal="center" vertical="center" shrinkToFit="1"/>
    </xf>
    <xf numFmtId="0" fontId="6" fillId="0" borderId="24" applyAlignment="1" pivotButton="0" quotePrefix="0" xfId="0">
      <alignment horizontal="center" vertical="center" shrinkToFit="1"/>
    </xf>
    <xf numFmtId="0" fontId="6" fillId="0" borderId="6" applyAlignment="1" pivotButton="0" quotePrefix="0" xfId="0">
      <alignment horizontal="center" vertical="center" shrinkToFit="1"/>
    </xf>
    <xf numFmtId="167" fontId="7" fillId="7" borderId="24" applyAlignment="1" pivotButton="0" quotePrefix="0" xfId="0">
      <alignment horizontal="center" vertical="center"/>
    </xf>
    <xf numFmtId="167" fontId="7" fillId="7" borderId="25" applyAlignment="1" pivotButton="0" quotePrefix="0" xfId="0">
      <alignment horizontal="center" vertical="center"/>
    </xf>
    <xf numFmtId="167" fontId="7" fillId="7" borderId="6" applyAlignment="1" pivotButton="0" quotePrefix="0" xfId="0">
      <alignment horizontal="center" vertical="center"/>
    </xf>
    <xf numFmtId="164" fontId="8" fillId="0" borderId="24" applyAlignment="1" pivotButton="0" quotePrefix="0" xfId="0">
      <alignment horizontal="center" vertical="center"/>
    </xf>
    <xf numFmtId="164" fontId="8" fillId="0" borderId="25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164" fontId="2" fillId="0" borderId="2" applyAlignment="1" pivotButton="0" quotePrefix="0" xfId="0">
      <alignment vertical="center"/>
    </xf>
    <xf numFmtId="164" fontId="14" fillId="0" borderId="2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vertical="center"/>
    </xf>
    <xf numFmtId="164" fontId="3" fillId="0" borderId="2" applyAlignment="1" pivotButton="0" quotePrefix="0" xfId="0">
      <alignment horizontal="center" vertical="center"/>
    </xf>
    <xf numFmtId="164" fontId="2" fillId="0" borderId="12" applyAlignment="1" pivotButton="0" quotePrefix="0" xfId="0">
      <alignment vertical="center"/>
    </xf>
    <xf numFmtId="164" fontId="3" fillId="0" borderId="27" applyAlignment="1" pivotButton="0" quotePrefix="0" xfId="0">
      <alignment horizontal="center" vertical="center"/>
    </xf>
    <xf numFmtId="164" fontId="2" fillId="0" borderId="3" applyAlignment="1" pivotButton="0" quotePrefix="0" xfId="0">
      <alignment vertical="center"/>
    </xf>
    <xf numFmtId="164" fontId="14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3" fillId="0" borderId="3" applyAlignment="1" pivotButton="0" quotePrefix="0" xfId="0">
      <alignment vertical="center"/>
    </xf>
    <xf numFmtId="164" fontId="3" fillId="0" borderId="3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3" fillId="0" borderId="28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4" fontId="14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4" fontId="2" fillId="0" borderId="8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horizontal="center" vertical="center"/>
    </xf>
    <xf numFmtId="164" fontId="3" fillId="0" borderId="29" applyAlignment="1" pivotButton="0" quotePrefix="0" xfId="0">
      <alignment horizontal="center" vertical="center"/>
    </xf>
    <xf numFmtId="164" fontId="5" fillId="0" borderId="22" applyAlignment="1" pivotButton="0" quotePrefix="0" xfId="0">
      <alignment horizontal="right" vertical="center"/>
    </xf>
    <xf numFmtId="164" fontId="28" fillId="0" borderId="2" applyAlignment="1" pivotButton="0" quotePrefix="0" xfId="0">
      <alignment horizontal="center" vertical="center"/>
    </xf>
    <xf numFmtId="164" fontId="12" fillId="0" borderId="4" applyAlignment="1" pivotButton="0" quotePrefix="0" xfId="0">
      <alignment horizontal="center" vertical="center"/>
    </xf>
    <xf numFmtId="164" fontId="30" fillId="0" borderId="2" applyAlignment="1" pivotButton="0" quotePrefix="0" xfId="0">
      <alignment horizontal="center" vertical="center"/>
    </xf>
    <xf numFmtId="164" fontId="28" fillId="0" borderId="50" applyAlignment="1" pivotButton="0" quotePrefix="0" xfId="0">
      <alignment horizontal="center" vertical="center"/>
    </xf>
    <xf numFmtId="164" fontId="14" fillId="0" borderId="4" applyAlignment="1" pivotButton="0" quotePrefix="0" xfId="0">
      <alignment horizontal="center" vertical="center"/>
    </xf>
    <xf numFmtId="164" fontId="30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vertical="center"/>
    </xf>
    <xf numFmtId="164" fontId="3" fillId="0" borderId="4" applyAlignment="1" pivotButton="0" quotePrefix="0" xfId="0">
      <alignment horizontal="center" vertical="center"/>
    </xf>
    <xf numFmtId="164" fontId="3" fillId="0" borderId="30" applyAlignment="1" pivotButton="0" quotePrefix="0" xfId="0">
      <alignment horizontal="center" vertical="center"/>
    </xf>
    <xf numFmtId="164" fontId="14" fillId="0" borderId="48" applyAlignment="1" pivotButton="0" quotePrefix="0" xfId="0">
      <alignment horizontal="center" vertical="center"/>
    </xf>
    <xf numFmtId="164" fontId="28" fillId="0" borderId="4" applyAlignment="1" pivotButton="0" quotePrefix="0" xfId="0">
      <alignment horizontal="center" vertical="center"/>
    </xf>
    <xf numFmtId="164" fontId="2" fillId="0" borderId="9" applyAlignment="1" pivotButton="0" quotePrefix="0" xfId="0">
      <alignment vertical="center"/>
    </xf>
    <xf numFmtId="164" fontId="2" fillId="0" borderId="10" applyAlignment="1" pivotButton="0" quotePrefix="0" xfId="0">
      <alignment vertical="center"/>
    </xf>
    <xf numFmtId="164" fontId="2" fillId="0" borderId="14" applyAlignment="1" pivotButton="0" quotePrefix="0" xfId="0">
      <alignment vertical="center"/>
    </xf>
    <xf numFmtId="164" fontId="14" fillId="0" borderId="30" applyAlignment="1" pivotButton="0" quotePrefix="0" xfId="0">
      <alignment horizontal="center" vertical="center"/>
    </xf>
    <xf numFmtId="164" fontId="28" fillId="0" borderId="82" applyAlignment="1" pivotButton="0" quotePrefix="0" xfId="0">
      <alignment horizontal="center" vertical="center"/>
    </xf>
    <xf numFmtId="164" fontId="14" fillId="0" borderId="82" applyAlignment="1" pivotButton="0" quotePrefix="0" xfId="0">
      <alignment horizontal="center" vertical="center"/>
    </xf>
    <xf numFmtId="164" fontId="14" fillId="0" borderId="47" applyAlignment="1" pivotButton="0" quotePrefix="0" xfId="0">
      <alignment horizontal="center" vertical="center"/>
    </xf>
    <xf numFmtId="164" fontId="14" fillId="0" borderId="27" applyAlignment="1" pivotButton="0" quotePrefix="0" xfId="0">
      <alignment horizontal="center" vertical="center"/>
    </xf>
    <xf numFmtId="164" fontId="14" fillId="0" borderId="10" applyAlignment="1" pivotButton="0" quotePrefix="0" xfId="0">
      <alignment horizontal="center" vertical="center"/>
    </xf>
    <xf numFmtId="164" fontId="12" fillId="0" borderId="10" applyAlignment="1" pivotButton="0" quotePrefix="0" xfId="0">
      <alignment horizontal="center" vertical="center"/>
    </xf>
    <xf numFmtId="164" fontId="30" fillId="0" borderId="10" applyAlignment="1" pivotButton="0" quotePrefix="0" xfId="0">
      <alignment horizontal="center" vertical="center"/>
    </xf>
    <xf numFmtId="164" fontId="2" fillId="0" borderId="16" applyAlignment="1" pivotButton="0" quotePrefix="0" xfId="0">
      <alignment vertical="center"/>
    </xf>
    <xf numFmtId="164" fontId="14" fillId="0" borderId="31" applyAlignment="1" pivotButton="0" quotePrefix="0" xfId="0">
      <alignment horizontal="center" vertical="center"/>
    </xf>
    <xf numFmtId="164" fontId="30" fillId="0" borderId="1" applyAlignment="1" pivotButton="0" quotePrefix="0" xfId="0">
      <alignment horizontal="center" vertical="center"/>
    </xf>
    <xf numFmtId="164" fontId="14" fillId="0" borderId="29" applyAlignment="1" pivotButton="0" quotePrefix="0" xfId="0">
      <alignment horizontal="center" vertical="center"/>
    </xf>
    <xf numFmtId="164" fontId="15" fillId="0" borderId="49" applyAlignment="1" pivotButton="0" quotePrefix="0" xfId="0">
      <alignment horizontal="center" vertical="center"/>
    </xf>
    <xf numFmtId="164" fontId="15" fillId="0" borderId="50" applyAlignment="1" pivotButton="0" quotePrefix="0" xfId="0">
      <alignment horizontal="center" vertical="center"/>
    </xf>
    <xf numFmtId="164" fontId="30" fillId="0" borderId="3" applyAlignment="1" pivotButton="0" quotePrefix="0" xfId="0">
      <alignment horizontal="center" vertical="center"/>
    </xf>
    <xf numFmtId="164" fontId="14" fillId="0" borderId="28" applyAlignment="1" pivotButton="0" quotePrefix="0" xfId="0">
      <alignment horizontal="center" vertical="center"/>
    </xf>
    <xf numFmtId="164" fontId="28" fillId="0" borderId="48" applyAlignment="1" pivotButton="0" quotePrefix="0" xfId="0">
      <alignment horizontal="center" vertical="center"/>
    </xf>
    <xf numFmtId="164" fontId="28" fillId="0" borderId="47" applyAlignment="1" pivotButton="0" quotePrefix="0" xfId="0">
      <alignment horizontal="center" vertical="center"/>
    </xf>
    <xf numFmtId="164" fontId="29" fillId="0" borderId="50" applyAlignment="1" pivotButton="0" quotePrefix="0" xfId="0">
      <alignment horizontal="center" vertical="center"/>
    </xf>
    <xf numFmtId="164" fontId="29" fillId="0" borderId="48" applyAlignment="1" pivotButton="0" quotePrefix="0" xfId="0">
      <alignment horizontal="center" vertical="center"/>
    </xf>
    <xf numFmtId="164" fontId="29" fillId="0" borderId="47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164" fontId="28" fillId="0" borderId="3" applyAlignment="1" pivotButton="0" quotePrefix="0" xfId="0">
      <alignment horizontal="center" vertical="center"/>
    </xf>
    <xf numFmtId="164" fontId="14" fillId="0" borderId="9" applyAlignment="1" pivotButton="0" quotePrefix="0" xfId="0">
      <alignment horizontal="center" vertical="center"/>
    </xf>
    <xf numFmtId="164" fontId="30" fillId="0" borderId="9" applyAlignment="1" pivotButton="0" quotePrefix="0" xfId="0">
      <alignment horizontal="center" vertical="center"/>
    </xf>
    <xf numFmtId="164" fontId="14" fillId="0" borderId="33" applyAlignment="1" pivotButton="0" quotePrefix="0" xfId="0">
      <alignment horizontal="center" vertical="center"/>
    </xf>
    <xf numFmtId="0" fontId="7" fillId="11" borderId="44" applyAlignment="1" pivotButton="0" quotePrefix="0" xfId="0">
      <alignment horizontal="center" vertical="center"/>
    </xf>
    <xf numFmtId="164" fontId="28" fillId="0" borderId="49" applyAlignment="1" pivotButton="0" quotePrefix="0" xfId="0">
      <alignment horizontal="center" vertical="center"/>
    </xf>
    <xf numFmtId="164" fontId="29" fillId="0" borderId="2" applyAlignment="1" pivotButton="0" quotePrefix="0" xfId="0">
      <alignment horizontal="center" vertical="center"/>
    </xf>
    <xf numFmtId="164" fontId="2" fillId="0" borderId="11" applyAlignment="1" pivotButton="0" quotePrefix="0" xfId="0">
      <alignment vertical="center"/>
    </xf>
    <xf numFmtId="164" fontId="15" fillId="0" borderId="5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164" fontId="2" fillId="0" borderId="17" applyAlignment="1" pivotButton="0" quotePrefix="0" xfId="0">
      <alignment vertical="center"/>
    </xf>
    <xf numFmtId="164" fontId="2" fillId="0" borderId="13" applyAlignment="1" pivotButton="0" quotePrefix="0" xfId="0">
      <alignment vertical="center"/>
    </xf>
    <xf numFmtId="164" fontId="29" fillId="0" borderId="4" applyAlignment="1" pivotButton="0" quotePrefix="0" xfId="0">
      <alignment horizontal="center" vertical="center"/>
    </xf>
    <xf numFmtId="164" fontId="15" fillId="0" borderId="82" applyAlignment="1" pivotButton="0" quotePrefix="0" xfId="0">
      <alignment horizontal="center" vertical="center"/>
    </xf>
    <xf numFmtId="164" fontId="5" fillId="0" borderId="60" applyAlignment="1" pivotButton="0" quotePrefix="0" xfId="0">
      <alignment horizontal="right" vertical="center"/>
    </xf>
    <xf numFmtId="164" fontId="15" fillId="0" borderId="47" applyAlignment="1" pivotButton="0" quotePrefix="0" xfId="0">
      <alignment horizontal="center" vertical="center"/>
    </xf>
    <xf numFmtId="164" fontId="17" fillId="0" borderId="49" applyAlignment="1" pivotButton="0" quotePrefix="0" xfId="0">
      <alignment horizontal="center" vertical="center"/>
    </xf>
    <xf numFmtId="164" fontId="29" fillId="0" borderId="27" applyAlignment="1" pivotButton="0" quotePrefix="0" xfId="0">
      <alignment horizontal="center" vertical="center"/>
    </xf>
    <xf numFmtId="164" fontId="15" fillId="0" borderId="48" applyAlignment="1" pivotButton="0" quotePrefix="0" xfId="0">
      <alignment horizontal="center" vertical="center"/>
    </xf>
    <xf numFmtId="164" fontId="29" fillId="0" borderId="3" applyAlignment="1" pivotButton="0" quotePrefix="0" xfId="0">
      <alignment horizontal="center" vertical="center"/>
    </xf>
    <xf numFmtId="164" fontId="29" fillId="0" borderId="28" applyAlignment="1" pivotButton="0" quotePrefix="0" xfId="0">
      <alignment horizontal="center" vertical="center"/>
    </xf>
    <xf numFmtId="164" fontId="2" fillId="0" borderId="5" applyAlignment="1" pivotButton="0" quotePrefix="0" xfId="0">
      <alignment vertical="center"/>
    </xf>
    <xf numFmtId="164" fontId="15" fillId="0" borderId="52" applyAlignment="1" pivotButton="0" quotePrefix="0" xfId="0">
      <alignment horizontal="center" vertical="center"/>
    </xf>
    <xf numFmtId="164" fontId="12" fillId="0" borderId="5" applyAlignment="1" pivotButton="0" quotePrefix="0" xfId="0">
      <alignment horizontal="center" vertical="center"/>
    </xf>
    <xf numFmtId="164" fontId="30" fillId="0" borderId="5" applyAlignment="1" pivotButton="0" quotePrefix="0" xfId="0">
      <alignment horizontal="center" vertical="center"/>
    </xf>
    <xf numFmtId="164" fontId="29" fillId="0" borderId="5" applyAlignment="1" pivotButton="0" quotePrefix="0" xfId="0">
      <alignment horizontal="center" vertical="center"/>
    </xf>
    <xf numFmtId="164" fontId="2" fillId="0" borderId="19" applyAlignment="1" pivotButton="0" quotePrefix="0" xfId="0">
      <alignment vertical="center"/>
    </xf>
    <xf numFmtId="164" fontId="14" fillId="0" borderId="5" applyAlignment="1" pivotButton="0" quotePrefix="0" xfId="0">
      <alignment horizontal="center" vertical="center"/>
    </xf>
    <xf numFmtId="164" fontId="29" fillId="0" borderId="32" applyAlignment="1" pivotButton="0" quotePrefix="0" xfId="0">
      <alignment horizontal="center" vertical="center"/>
    </xf>
    <xf numFmtId="0" fontId="7" fillId="16" borderId="44" applyAlignment="1" pivotButton="0" quotePrefix="0" xfId="0">
      <alignment horizontal="center" vertical="center" wrapText="1"/>
    </xf>
    <xf numFmtId="164" fontId="12" fillId="0" borderId="2" applyAlignment="1" pivotButton="0" quotePrefix="0" xfId="0">
      <alignment horizontal="right" vertical="center"/>
    </xf>
    <xf numFmtId="164" fontId="14" fillId="0" borderId="49" applyAlignment="1" pivotButton="0" quotePrefix="0" xfId="0">
      <alignment horizontal="center" vertical="center"/>
    </xf>
    <xf numFmtId="164" fontId="12" fillId="0" borderId="12" applyAlignment="1" pivotButton="0" quotePrefix="0" xfId="0">
      <alignment horizontal="right" vertical="center"/>
    </xf>
    <xf numFmtId="164" fontId="12" fillId="0" borderId="3" applyAlignment="1" pivotButton="0" quotePrefix="0" xfId="0">
      <alignment horizontal="right" vertical="center"/>
    </xf>
    <xf numFmtId="164" fontId="12" fillId="0" borderId="7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164" fontId="12" fillId="0" borderId="8" applyAlignment="1" pivotButton="0" quotePrefix="0" xfId="0">
      <alignment horizontal="right" vertical="center"/>
    </xf>
    <xf numFmtId="164" fontId="30" fillId="0" borderId="29" applyAlignment="1" pivotButton="0" quotePrefix="0" xfId="0">
      <alignment horizontal="center" vertical="center"/>
    </xf>
    <xf numFmtId="166" fontId="2" fillId="0" borderId="26" applyAlignment="1" pivotButton="0" quotePrefix="0" xfId="0">
      <alignment horizontal="left" vertical="center" shrinkToFit="1"/>
    </xf>
    <xf numFmtId="0" fontId="1" fillId="17" borderId="44" applyAlignment="1" pivotButton="0" quotePrefix="0" xfId="0">
      <alignment horizontal="center" vertical="center" wrapText="1"/>
    </xf>
    <xf numFmtId="164" fontId="3" fillId="0" borderId="12" applyAlignment="1" pivotButton="0" quotePrefix="0" xfId="0">
      <alignment vertical="center"/>
    </xf>
    <xf numFmtId="164" fontId="3" fillId="0" borderId="12" applyAlignment="1" pivotButton="0" quotePrefix="0" xfId="0">
      <alignment horizontal="center" vertical="center"/>
    </xf>
    <xf numFmtId="164" fontId="3" fillId="0" borderId="27" applyAlignment="1" pivotButton="0" quotePrefix="0" xfId="0">
      <alignment horizontal="left" vertical="center"/>
    </xf>
    <xf numFmtId="164" fontId="3" fillId="0" borderId="7" applyAlignment="1" pivotButton="0" quotePrefix="0" xfId="0">
      <alignment vertical="center"/>
    </xf>
    <xf numFmtId="164" fontId="3" fillId="0" borderId="7" applyAlignment="1" pivotButton="0" quotePrefix="0" xfId="0">
      <alignment horizontal="center" vertical="center"/>
    </xf>
    <xf numFmtId="164" fontId="3" fillId="0" borderId="28" applyAlignment="1" pivotButton="0" quotePrefix="0" xfId="0">
      <alignment horizontal="left" vertical="center"/>
    </xf>
    <xf numFmtId="164" fontId="3" fillId="0" borderId="8" applyAlignment="1" pivotButton="0" quotePrefix="0" xfId="0">
      <alignment vertical="center"/>
    </xf>
    <xf numFmtId="164" fontId="3" fillId="0" borderId="8" applyAlignment="1" pivotButton="0" quotePrefix="0" xfId="0">
      <alignment horizontal="center" vertical="center"/>
    </xf>
    <xf numFmtId="164" fontId="3" fillId="0" borderId="29" applyAlignment="1" pivotButton="0" quotePrefix="0" xfId="0">
      <alignment horizontal="left" vertical="center"/>
    </xf>
    <xf numFmtId="164" fontId="3" fillId="0" borderId="4" applyAlignment="1" pivotButton="0" quotePrefix="0" xfId="0">
      <alignment vertical="center"/>
    </xf>
    <xf numFmtId="164" fontId="3" fillId="0" borderId="13" applyAlignment="1" pivotButton="0" quotePrefix="0" xfId="0">
      <alignment horizontal="center" vertical="center"/>
    </xf>
    <xf numFmtId="164" fontId="3" fillId="0" borderId="30" applyAlignment="1" pivotButton="0" quotePrefix="0" xfId="0">
      <alignment horizontal="left" vertical="center"/>
    </xf>
    <xf numFmtId="164" fontId="3" fillId="0" borderId="13" applyAlignment="1" pivotButton="0" quotePrefix="0" xfId="0">
      <alignment vertical="center"/>
    </xf>
    <xf numFmtId="164" fontId="3" fillId="0" borderId="10" applyAlignment="1" pivotButton="0" quotePrefix="0" xfId="0">
      <alignment vertical="center"/>
    </xf>
    <xf numFmtId="164" fontId="3" fillId="0" borderId="10" applyAlignment="1" pivotButton="0" quotePrefix="0" xfId="0">
      <alignment horizontal="center" vertical="center"/>
    </xf>
    <xf numFmtId="164" fontId="3" fillId="0" borderId="16" applyAlignment="1" pivotButton="0" quotePrefix="0" xfId="0">
      <alignment horizontal="center" vertical="center"/>
    </xf>
    <xf numFmtId="164" fontId="3" fillId="0" borderId="31" applyAlignment="1" pivotButton="0" quotePrefix="0" xfId="0">
      <alignment horizontal="left" vertical="center"/>
    </xf>
    <xf numFmtId="164" fontId="3" fillId="0" borderId="9" applyAlignment="1" pivotButton="0" quotePrefix="0" xfId="0">
      <alignment vertical="center"/>
    </xf>
    <xf numFmtId="164" fontId="3" fillId="0" borderId="19" applyAlignment="1" pivotButton="0" quotePrefix="0" xfId="0">
      <alignment vertical="center"/>
    </xf>
    <xf numFmtId="164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vertical="center"/>
    </xf>
    <xf numFmtId="164" fontId="3" fillId="0" borderId="19" applyAlignment="1" pivotButton="0" quotePrefix="0" xfId="0">
      <alignment horizontal="center" vertical="center"/>
    </xf>
    <xf numFmtId="164" fontId="3" fillId="0" borderId="32" applyAlignment="1" pivotButton="0" quotePrefix="0" xfId="0">
      <alignment horizontal="left" vertical="center"/>
    </xf>
    <xf numFmtId="164" fontId="5" fillId="3" borderId="38" applyAlignment="1" pivotButton="0" quotePrefix="0" xfId="0">
      <alignment horizontal="right" vertical="center"/>
    </xf>
    <xf numFmtId="0" fontId="0" fillId="9" borderId="44" applyAlignment="1" pivotButton="0" quotePrefix="0" xfId="0">
      <alignment horizontal="center" vertical="center"/>
    </xf>
    <xf numFmtId="0" fontId="0" fillId="10" borderId="4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164" fontId="3" fillId="0" borderId="14" applyAlignment="1" pivotButton="0" quotePrefix="0" xfId="0">
      <alignment vertical="center"/>
    </xf>
    <xf numFmtId="164" fontId="3" fillId="0" borderId="9" applyAlignment="1" pivotButton="0" quotePrefix="0" xfId="0">
      <alignment horizontal="center" vertical="center"/>
    </xf>
    <xf numFmtId="164" fontId="3" fillId="0" borderId="14" applyAlignment="1" pivotButton="0" quotePrefix="0" xfId="0">
      <alignment horizontal="center" vertical="center"/>
    </xf>
    <xf numFmtId="164" fontId="3" fillId="0" borderId="33" applyAlignment="1" pivotButton="0" quotePrefix="0" xfId="0">
      <alignment horizontal="left" vertical="center"/>
    </xf>
    <xf numFmtId="0" fontId="0" fillId="11" borderId="44" applyAlignment="1" pivotButton="0" quotePrefix="0" xfId="0">
      <alignment horizontal="center" vertical="center"/>
    </xf>
    <xf numFmtId="164" fontId="3" fillId="0" borderId="15" applyAlignment="1" pivotButton="0" quotePrefix="0" xfId="0">
      <alignment vertical="center"/>
    </xf>
    <xf numFmtId="164" fontId="3" fillId="0" borderId="11" applyAlignment="1" pivotButton="0" quotePrefix="0" xfId="0">
      <alignment vertical="center"/>
    </xf>
    <xf numFmtId="164" fontId="3" fillId="0" borderId="11" applyAlignment="1" pivotButton="0" quotePrefix="0" xfId="0">
      <alignment horizontal="center" vertical="center"/>
    </xf>
    <xf numFmtId="164" fontId="3" fillId="0" borderId="17" applyAlignment="1" pivotButton="0" quotePrefix="0" xfId="0">
      <alignment horizontal="center" vertical="center"/>
    </xf>
    <xf numFmtId="164" fontId="3" fillId="0" borderId="34" applyAlignment="1" pivotButton="0" quotePrefix="0" xfId="0">
      <alignment horizontal="left" vertical="center"/>
    </xf>
    <xf numFmtId="164" fontId="3" fillId="0" borderId="16" applyAlignment="1" pivotButton="0" quotePrefix="0" xfId="0">
      <alignment vertical="center"/>
    </xf>
    <xf numFmtId="164" fontId="5" fillId="3" borderId="54" applyAlignment="1" pivotButton="0" quotePrefix="0" xfId="0">
      <alignment horizontal="right" vertical="center"/>
    </xf>
    <xf numFmtId="0" fontId="0" fillId="14" borderId="44" applyAlignment="1" pivotButton="0" quotePrefix="0" xfId="0">
      <alignment horizontal="center" vertical="center"/>
    </xf>
    <xf numFmtId="164" fontId="5" fillId="3" borderId="37" applyAlignment="1" pivotButton="0" quotePrefix="0" xfId="0">
      <alignment horizontal="right" vertical="center"/>
    </xf>
    <xf numFmtId="0" fontId="0" fillId="16" borderId="44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right" vertical="center"/>
    </xf>
    <xf numFmtId="0" fontId="2" fillId="16" borderId="104" applyAlignment="1" pivotButton="0" quotePrefix="0" xfId="0">
      <alignment horizontal="center" vertical="center"/>
    </xf>
    <xf numFmtId="164" fontId="3" fillId="0" borderId="7" applyAlignment="1" pivotButton="0" quotePrefix="0" xfId="0">
      <alignment horizontal="right" vertical="center"/>
    </xf>
    <xf numFmtId="164" fontId="3" fillId="0" borderId="3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22" fillId="13" borderId="107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shrinkToFit="1"/>
    </xf>
    <xf numFmtId="0" fontId="19" fillId="0" borderId="6" applyAlignment="1" pivotButton="0" quotePrefix="0" xfId="0">
      <alignment horizontal="center" vertical="center" shrinkToFit="1"/>
    </xf>
    <xf numFmtId="0" fontId="0" fillId="17" borderId="44" applyAlignment="1" pivotButton="0" quotePrefix="0" xfId="0">
      <alignment horizontal="center" vertical="center" wrapText="1"/>
    </xf>
    <xf numFmtId="0" fontId="2" fillId="17" borderId="44" applyAlignment="1" pivotButton="0" quotePrefix="0" xfId="0">
      <alignment horizontal="center" vertical="center" wrapText="1"/>
    </xf>
    <xf numFmtId="164" fontId="13" fillId="0" borderId="2" applyAlignment="1" pivotButton="0" quotePrefix="0" xfId="0">
      <alignment horizontal="center" vertical="center"/>
    </xf>
    <xf numFmtId="164" fontId="13" fillId="0" borderId="4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 vertical="center"/>
    </xf>
    <xf numFmtId="164" fontId="4" fillId="0" borderId="10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13" fillId="0" borderId="5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2" fillId="9" borderId="44" applyAlignment="1" pivotButton="0" quotePrefix="0" xfId="0">
      <alignment horizontal="center" vertical="center"/>
    </xf>
    <xf numFmtId="164" fontId="11" fillId="0" borderId="12" applyAlignment="1" pivotButton="0" quotePrefix="0" xfId="0">
      <alignment horizontal="center" vertical="center"/>
    </xf>
    <xf numFmtId="0" fontId="2" fillId="10" borderId="44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164" fontId="11" fillId="0" borderId="7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/>
    </xf>
    <xf numFmtId="164" fontId="2" fillId="0" borderId="4" applyAlignment="1" pivotButton="0" quotePrefix="0" xfId="0">
      <alignment horizontal="right" vertical="center"/>
    </xf>
    <xf numFmtId="164" fontId="4" fillId="0" borderId="9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2" fillId="0" borderId="15" applyAlignment="1" pivotButton="0" quotePrefix="0" xfId="0">
      <alignment vertical="center"/>
    </xf>
    <xf numFmtId="164" fontId="2" fillId="0" borderId="11" applyAlignment="1" pivotButton="0" quotePrefix="0" xfId="0">
      <alignment horizontal="center" vertical="center"/>
    </xf>
    <xf numFmtId="164" fontId="4" fillId="0" borderId="17" applyAlignment="1" pivotButton="0" quotePrefix="0" xfId="0">
      <alignment horizontal="center" vertical="center"/>
    </xf>
    <xf numFmtId="0" fontId="0" fillId="12" borderId="44" applyAlignment="1" pivotButton="0" quotePrefix="0" xfId="0">
      <alignment horizontal="center" vertical="center"/>
    </xf>
    <xf numFmtId="0" fontId="2" fillId="12" borderId="44" applyAlignment="1" pivotButton="0" quotePrefix="0" xfId="0">
      <alignment horizontal="center" vertical="center"/>
    </xf>
    <xf numFmtId="164" fontId="4" fillId="0" borderId="12" applyAlignment="1" pivotButton="0" quotePrefix="0" xfId="0">
      <alignment horizontal="center" vertical="center"/>
    </xf>
    <xf numFmtId="0" fontId="2" fillId="14" borderId="44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4" fillId="0" borderId="19" applyAlignment="1" pivotButton="0" quotePrefix="0" xfId="0">
      <alignment horizontal="center" vertical="center"/>
    </xf>
    <xf numFmtId="164" fontId="4" fillId="0" borderId="32" applyAlignment="1" pivotButton="0" quotePrefix="0" xfId="0">
      <alignment horizontal="left" vertical="center"/>
    </xf>
    <xf numFmtId="164" fontId="3" fillId="0" borderId="12" applyAlignment="1" pivotButton="0" quotePrefix="0" xfId="0">
      <alignment horizontal="right" vertical="center"/>
    </xf>
    <xf numFmtId="164" fontId="2" fillId="0" borderId="7" applyAlignment="1" pivotButton="0" quotePrefix="0" xfId="0">
      <alignment horizontal="right" vertical="center"/>
    </xf>
    <xf numFmtId="164" fontId="13" fillId="0" borderId="3" applyAlignment="1" pivotButton="0" quotePrefix="0" xfId="0">
      <alignment horizontal="center" vertical="center"/>
    </xf>
    <xf numFmtId="164" fontId="2" fillId="0" borderId="2" applyAlignment="1" pivotButton="0" quotePrefix="0" xfId="0">
      <alignment horizontal="right" vertical="center"/>
    </xf>
    <xf numFmtId="164" fontId="2" fillId="0" borderId="12" applyAlignment="1" pivotButton="0" quotePrefix="0" xfId="0">
      <alignment horizontal="center" vertical="center"/>
    </xf>
    <xf numFmtId="164" fontId="2" fillId="0" borderId="3" applyAlignment="1" pivotButton="0" quotePrefix="0" xfId="0">
      <alignment horizontal="right" vertical="center"/>
    </xf>
    <xf numFmtId="164" fontId="2" fillId="0" borderId="7" applyAlignment="1" pivotButton="0" quotePrefix="0" xfId="0">
      <alignment horizontal="center" vertical="center"/>
    </xf>
    <xf numFmtId="164" fontId="4" fillId="0" borderId="28" applyAlignment="1" pivotButton="0" quotePrefix="0" xfId="0">
      <alignment horizontal="left" vertical="center"/>
    </xf>
    <xf numFmtId="164" fontId="2" fillId="0" borderId="8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4" fillId="0" borderId="8" applyAlignment="1" pivotButton="0" quotePrefix="0" xfId="0">
      <alignment horizontal="center" vertical="center"/>
    </xf>
    <xf numFmtId="164" fontId="4" fillId="0" borderId="29" applyAlignment="1" pivotButton="0" quotePrefix="0" xfId="0">
      <alignment horizontal="left" vertical="center"/>
    </xf>
    <xf numFmtId="164" fontId="13" fillId="0" borderId="7" applyAlignment="1" pivotButton="0" quotePrefix="0" xfId="0">
      <alignment horizontal="center" vertical="center"/>
    </xf>
    <xf numFmtId="164" fontId="13" fillId="0" borderId="12" applyAlignment="1" pivotButton="0" quotePrefix="0" xfId="0">
      <alignment horizontal="center" vertical="center"/>
    </xf>
    <xf numFmtId="166" fontId="2" fillId="0" borderId="24" applyAlignment="1" pivotButton="0" quotePrefix="0" xfId="0">
      <alignment horizontal="center" vertical="center" shrinkToFit="1"/>
    </xf>
    <xf numFmtId="164" fontId="8" fillId="0" borderId="62" applyAlignment="1" pivotButton="0" quotePrefix="0" xfId="0">
      <alignment horizontal="center" vertical="center"/>
    </xf>
    <xf numFmtId="164" fontId="16" fillId="0" borderId="2" applyAlignment="1" pivotButton="0" quotePrefix="0" xfId="0">
      <alignment horizontal="center" vertical="center"/>
    </xf>
    <xf numFmtId="164" fontId="16" fillId="0" borderId="3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164" fontId="14" fillId="0" borderId="50" applyAlignment="1" pivotButton="0" quotePrefix="0" xfId="0">
      <alignment horizontal="center" vertical="center"/>
    </xf>
    <xf numFmtId="164" fontId="27" fillId="0" borderId="82" applyAlignment="1" pivotButton="0" quotePrefix="0" xfId="0">
      <alignment horizontal="center" vertical="center"/>
    </xf>
    <xf numFmtId="164" fontId="27" fillId="0" borderId="50" applyAlignment="1" pivotButton="0" quotePrefix="0" xfId="0">
      <alignment horizontal="center" vertical="center"/>
    </xf>
    <xf numFmtId="164" fontId="17" fillId="0" borderId="11" applyAlignment="1" pivotButton="0" quotePrefix="0" xfId="0">
      <alignment horizontal="center" vertical="center"/>
    </xf>
    <xf numFmtId="164" fontId="30" fillId="0" borderId="11" applyAlignment="1" pivotButton="0" quotePrefix="0" xfId="0">
      <alignment horizontal="center" vertical="center"/>
    </xf>
    <xf numFmtId="164" fontId="14" fillId="0" borderId="34" applyAlignment="1" pivotButton="0" quotePrefix="0" xfId="0">
      <alignment horizontal="center" vertical="center"/>
    </xf>
    <xf numFmtId="164" fontId="2" fillId="0" borderId="81" applyAlignment="1" pivotButton="0" quotePrefix="0" xfId="0">
      <alignment vertical="center"/>
    </xf>
    <xf numFmtId="164" fontId="14" fillId="0" borderId="32" applyAlignment="1" pivotButton="0" quotePrefix="0" xfId="0">
      <alignment horizontal="center" vertical="center"/>
    </xf>
    <xf numFmtId="164" fontId="14" fillId="0" borderId="81" applyAlignment="1" pivotButton="0" quotePrefix="0" xfId="0">
      <alignment horizontal="center" vertical="center"/>
    </xf>
    <xf numFmtId="164" fontId="30" fillId="0" borderId="30" applyAlignment="1" pivotButton="0" quotePrefix="0" xfId="0">
      <alignment horizontal="center" vertical="center"/>
    </xf>
    <xf numFmtId="164" fontId="14" fillId="0" borderId="24" applyAlignment="1" pivotButton="0" quotePrefix="0" xfId="0">
      <alignment horizontal="center" vertical="center"/>
    </xf>
    <xf numFmtId="164" fontId="30" fillId="0" borderId="28" applyAlignment="1" pivotButton="0" quotePrefix="0" xfId="0">
      <alignment horizontal="center" vertical="center"/>
    </xf>
    <xf numFmtId="164" fontId="24" fillId="0" borderId="11" applyAlignment="1" pivotButton="0" quotePrefix="0" xfId="0">
      <alignment horizontal="center" vertical="center"/>
    </xf>
    <xf numFmtId="164" fontId="13" fillId="0" borderId="27" applyAlignment="1" pivotButton="0" quotePrefix="0" xfId="0">
      <alignment horizontal="center" vertical="center"/>
    </xf>
    <xf numFmtId="164" fontId="13" fillId="0" borderId="13" applyAlignment="1" pivotButton="0" quotePrefix="0" xfId="0">
      <alignment horizontal="center" vertical="center"/>
    </xf>
    <xf numFmtId="164" fontId="13" fillId="0" borderId="30" applyAlignment="1" pivotButton="0" quotePrefix="0" xfId="0">
      <alignment horizontal="center" vertical="center"/>
    </xf>
    <xf numFmtId="164" fontId="3" fillId="0" borderId="31" applyAlignment="1" pivotButton="0" quotePrefix="0" xfId="0">
      <alignment horizontal="center" vertical="center"/>
    </xf>
    <xf numFmtId="164" fontId="3" fillId="0" borderId="34" applyAlignment="1" pivotButton="0" quotePrefix="0" xfId="0">
      <alignment horizontal="center" vertical="center"/>
    </xf>
    <xf numFmtId="164" fontId="3" fillId="0" borderId="33" applyAlignment="1" pivotButton="0" quotePrefix="0" xfId="0">
      <alignment horizontal="center" vertical="center"/>
    </xf>
    <xf numFmtId="164" fontId="3" fillId="0" borderId="32" applyAlignment="1" pivotButton="0" quotePrefix="0" xfId="0">
      <alignment horizontal="center" vertical="center"/>
    </xf>
    <xf numFmtId="164" fontId="13" fillId="0" borderId="28" applyAlignment="1" pivotButton="0" quotePrefix="0" xfId="0">
      <alignment horizontal="center" vertical="center"/>
    </xf>
    <xf numFmtId="164" fontId="3" fillId="0" borderId="8" applyAlignment="1" pivotButton="0" quotePrefix="0" xfId="0">
      <alignment horizontal="right" vertical="center"/>
    </xf>
    <xf numFmtId="164" fontId="4" fillId="0" borderId="11" applyAlignment="1" pivotButton="0" quotePrefix="0" xfId="0">
      <alignment horizontal="center" vertical="center"/>
    </xf>
    <xf numFmtId="164" fontId="4" fillId="0" borderId="27" applyAlignment="1" pivotButton="0" quotePrefix="0" xfId="0">
      <alignment horizontal="left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7375E"/>
    <outlinePr summaryBelow="1" summaryRight="1"/>
    <pageSetUpPr fitToPage="1"/>
  </sheetPr>
  <dimension ref="A1:U315"/>
  <sheetViews>
    <sheetView tabSelected="1" view="pageBreakPreview" zoomScaleNormal="100" zoomScaleSheetLayoutView="100" workbookViewId="0">
      <pane ySplit="11" topLeftCell="A12" activePane="bottomLeft" state="frozen"/>
      <selection pane="bottomLeft" activeCell="I9" sqref="I9:J9"/>
    </sheetView>
  </sheetViews>
  <sheetFormatPr baseColWidth="8" defaultColWidth="8.625" defaultRowHeight="14.1" customHeight="1"/>
  <cols>
    <col width="7.625" customWidth="1" style="5" min="1" max="1"/>
    <col width="12.25" customWidth="1" style="3" min="2" max="2"/>
    <col width="14.625" customWidth="1" style="3" min="3" max="3"/>
    <col width="5.25" customWidth="1" style="16" min="4" max="4"/>
    <col width="14.625" customWidth="1" style="3" min="5" max="5"/>
    <col width="5.25" customWidth="1" style="16" min="6" max="6"/>
    <col width="14.625" customWidth="1" style="3" min="7" max="7"/>
    <col width="5.25" customWidth="1" style="16" min="8" max="8"/>
    <col width="14.625" customWidth="1" style="4" min="9" max="9"/>
    <col width="5.25" customWidth="1" style="16" min="10" max="10"/>
    <col width="14.625" customWidth="1" style="185" min="11" max="11"/>
    <col width="5.25" customWidth="1" style="16" min="12" max="12"/>
    <col width="14.625" customWidth="1" style="16" min="13" max="13"/>
    <col width="5.25" customWidth="1" style="16" min="14" max="14"/>
    <col width="14.625" customWidth="1" style="4" min="15" max="15"/>
    <col width="5.25" customWidth="1" style="78" min="16" max="16"/>
    <col width="3.625" customWidth="1" style="4" min="17" max="17"/>
    <col width="8.5" customWidth="1" style="5" min="18" max="18"/>
    <col width="12.5" customWidth="1" style="3" min="19" max="19"/>
    <col width="11.625" customWidth="1" style="17" min="20" max="20"/>
  </cols>
  <sheetData>
    <row r="1" ht="19.5" customFormat="1" customHeight="1" s="1">
      <c r="A1" s="652" t="inlineStr">
        <is>
          <t>박관수님 보장분석</t>
        </is>
      </c>
      <c r="B1" s="793" t="n"/>
      <c r="C1" s="649" t="inlineStr">
        <is>
          <t>메리츠화재</t>
        </is>
      </c>
      <c r="D1" s="794" t="n"/>
      <c r="E1" s="649" t="inlineStr">
        <is>
          <t>메리츠화재</t>
        </is>
      </c>
      <c r="F1" s="794" t="n"/>
      <c r="G1" s="649" t="inlineStr">
        <is>
          <t>신한라이프</t>
        </is>
      </c>
      <c r="H1" s="794" t="n"/>
      <c r="I1" s="649" t="inlineStr">
        <is>
          <t>라이나생명</t>
        </is>
      </c>
      <c r="J1" s="794" t="n"/>
      <c r="K1" s="649" t="n"/>
      <c r="L1" s="794" t="n"/>
      <c r="M1" s="649" t="n"/>
      <c r="N1" s="794" t="n"/>
      <c r="O1" s="649" t="n"/>
      <c r="P1" s="794" t="n"/>
      <c r="Q1" s="136" t="n"/>
      <c r="R1" s="795" t="inlineStr">
        <is>
          <t>평가 기준일</t>
        </is>
      </c>
      <c r="S1" s="796" t="n"/>
      <c r="T1" s="137">
        <f>TODAY()</f>
        <v/>
      </c>
    </row>
    <row r="2" ht="14.1" customHeight="1" s="797">
      <c r="A2" s="647" t="inlineStr">
        <is>
          <t>상품명</t>
        </is>
      </c>
      <c r="B2" s="798" t="n"/>
      <c r="C2" s="645" t="inlineStr">
        <is>
          <t>나만의 보험(실손)</t>
        </is>
      </c>
      <c r="D2" s="799" t="n"/>
      <c r="E2" s="645" t="inlineStr">
        <is>
          <t>케어프리(건강)</t>
        </is>
      </c>
      <c r="F2" s="799" t="n"/>
      <c r="G2" s="645" t="inlineStr">
        <is>
          <t>참좋은치아보험</t>
        </is>
      </c>
      <c r="H2" s="799" t="n"/>
      <c r="I2" s="645" t="inlineStr">
        <is>
          <t>건강한치아보험</t>
        </is>
      </c>
      <c r="J2" s="799" t="n"/>
      <c r="K2" s="645" t="n"/>
      <c r="L2" s="799" t="n"/>
      <c r="M2" s="645" t="n"/>
      <c r="N2" s="799" t="n"/>
      <c r="O2" s="645" t="n"/>
      <c r="P2" s="799" t="n"/>
      <c r="Q2" s="25" t="n"/>
      <c r="R2" s="800" t="n"/>
      <c r="S2" s="801" t="n"/>
      <c r="T2" s="802" t="n"/>
    </row>
    <row r="3" ht="14.1" customHeight="1" s="797">
      <c r="A3" s="637" t="inlineStr">
        <is>
          <t>계약자 / 피보험자</t>
        </is>
      </c>
      <c r="B3" s="803" t="n"/>
      <c r="C3" s="645" t="inlineStr">
        <is>
          <t>서*향/박관수</t>
        </is>
      </c>
      <c r="D3" s="799" t="n"/>
      <c r="E3" s="645" t="inlineStr">
        <is>
          <t>서*향/박관수</t>
        </is>
      </c>
      <c r="F3" s="799" t="n"/>
      <c r="G3" s="645" t="inlineStr">
        <is>
          <t>서*향/박관수</t>
        </is>
      </c>
      <c r="H3" s="799" t="n"/>
      <c r="I3" s="645" t="inlineStr">
        <is>
          <t>서*향/박관수</t>
        </is>
      </c>
      <c r="J3" s="799" t="n"/>
      <c r="K3" s="645" t="n"/>
      <c r="L3" s="799" t="n"/>
      <c r="M3" s="645" t="n"/>
      <c r="N3" s="799" t="n"/>
      <c r="O3" s="645" t="n"/>
      <c r="P3" s="799" t="n"/>
      <c r="Q3" s="25" t="n"/>
      <c r="R3" s="804" t="n"/>
      <c r="T3" s="805" t="n"/>
    </row>
    <row r="4" ht="14.1" customHeight="1" s="797">
      <c r="A4" s="647" t="inlineStr">
        <is>
          <t>계약일자</t>
        </is>
      </c>
      <c r="B4" s="798" t="n"/>
      <c r="C4" s="646" t="n">
        <v>40336</v>
      </c>
      <c r="D4" s="799" t="n"/>
      <c r="E4" s="646" t="n">
        <v>41855</v>
      </c>
      <c r="F4" s="799" t="n"/>
      <c r="G4" s="646" t="n">
        <v>43587</v>
      </c>
      <c r="H4" s="799" t="n"/>
      <c r="I4" s="646" t="n">
        <v>43910</v>
      </c>
      <c r="J4" s="799" t="n"/>
      <c r="K4" s="646" t="n"/>
      <c r="L4" s="799" t="n"/>
      <c r="M4" s="646" t="n"/>
      <c r="N4" s="799" t="n"/>
      <c r="O4" s="646" t="n"/>
      <c r="P4" s="799" t="n"/>
      <c r="Q4" s="25" t="n"/>
      <c r="R4" s="804" t="n"/>
      <c r="T4" s="805" t="n"/>
    </row>
    <row r="5" ht="14.1" customHeight="1" s="797">
      <c r="A5" s="647" t="inlineStr">
        <is>
          <t>납입기간 / 기납입기간</t>
        </is>
      </c>
      <c r="B5" s="798" t="n"/>
      <c r="C5" s="806" t="n">
        <v>20</v>
      </c>
      <c r="D5" s="807" t="n">
        <v>189</v>
      </c>
      <c r="E5" s="806" t="n">
        <v>30</v>
      </c>
      <c r="F5" s="807" t="n">
        <v>139</v>
      </c>
      <c r="G5" s="806" t="n">
        <v>10</v>
      </c>
      <c r="H5" s="807" t="n">
        <v>83</v>
      </c>
      <c r="I5" s="806" t="n">
        <v>10</v>
      </c>
      <c r="J5" s="807" t="n">
        <v>73</v>
      </c>
      <c r="K5" s="806" t="n"/>
      <c r="L5" s="807">
        <f>IF(DATEDIF(K4,$T$1,"m")&lt;K5*12,DATEDIF(K4,$T$1,"m"),K5*12)</f>
        <v/>
      </c>
      <c r="M5" s="806" t="n"/>
      <c r="N5" s="807">
        <f>IF(DATEDIF(M4,$T$1,"m")&lt;M5*12,DATEDIF(M4,$T$1,"m"),M5*12)</f>
        <v/>
      </c>
      <c r="O5" s="806" t="n"/>
      <c r="P5" s="807">
        <f>IF(DATEDIF(O4,$T$1,"m")&lt;O5*12,DATEDIF(O4,$T$1,"m"),O5*12)</f>
        <v/>
      </c>
      <c r="Q5" s="25" t="n"/>
      <c r="R5" s="804" t="n"/>
      <c r="T5" s="805" t="n"/>
    </row>
    <row r="6" ht="14.1" customHeight="1" s="797">
      <c r="A6" s="647" t="inlineStr">
        <is>
          <t>보장기간</t>
        </is>
      </c>
      <c r="B6" s="798" t="n"/>
      <c r="C6" s="645" t="inlineStr">
        <is>
          <t>100세</t>
        </is>
      </c>
      <c r="D6" s="799" t="n"/>
      <c r="E6" s="645" t="inlineStr">
        <is>
          <t>100세</t>
        </is>
      </c>
      <c r="F6" s="799" t="n"/>
      <c r="G6" s="645" t="inlineStr">
        <is>
          <t>10년</t>
        </is>
      </c>
      <c r="H6" s="799" t="n"/>
      <c r="I6" s="645" t="inlineStr">
        <is>
          <t>10년</t>
        </is>
      </c>
      <c r="J6" s="799" t="n"/>
      <c r="K6" s="645" t="n"/>
      <c r="L6" s="799" t="n"/>
      <c r="M6" s="645" t="n"/>
      <c r="N6" s="799" t="n"/>
      <c r="O6" s="645" t="n"/>
      <c r="P6" s="799" t="n"/>
      <c r="Q6" s="25" t="n"/>
      <c r="R6" s="808" t="n"/>
      <c r="S6" s="809" t="n"/>
      <c r="T6" s="810" t="n"/>
    </row>
    <row r="7" ht="14.1" customHeight="1" s="797">
      <c r="A7" s="632" t="inlineStr">
        <is>
          <t>비고 / 갱신종류</t>
        </is>
      </c>
      <c r="B7" s="811" t="n"/>
      <c r="C7" s="642" t="inlineStr">
        <is>
          <t>일부갱신형</t>
        </is>
      </c>
      <c r="D7" s="799" t="n"/>
      <c r="E7" s="642" t="inlineStr">
        <is>
          <t>일부갱신형</t>
        </is>
      </c>
      <c r="F7" s="799" t="n"/>
      <c r="G7" s="642" t="inlineStr">
        <is>
          <t>10년갱신형</t>
        </is>
      </c>
      <c r="H7" s="799" t="n"/>
      <c r="I7" s="642" t="inlineStr">
        <is>
          <t>10년갱신형</t>
        </is>
      </c>
      <c r="J7" s="799" t="n"/>
      <c r="K7" s="642" t="n"/>
      <c r="L7" s="799" t="n"/>
      <c r="M7" s="642" t="n"/>
      <c r="N7" s="799" t="n"/>
      <c r="O7" s="642" t="n"/>
      <c r="P7" s="799" t="n"/>
      <c r="Q7" s="25" t="n"/>
      <c r="R7" s="812" t="n"/>
      <c r="S7" s="799" t="n"/>
      <c r="T7" s="478" t="inlineStr">
        <is>
          <t>총 보장 (원)</t>
        </is>
      </c>
    </row>
    <row r="8" ht="14.1" customHeight="1" s="797">
      <c r="A8" s="639" t="inlineStr">
        <is>
          <t>월 보험료</t>
        </is>
      </c>
      <c r="B8" s="798" t="n"/>
      <c r="C8" s="813" t="n">
        <v>67900</v>
      </c>
      <c r="D8" s="799" t="n"/>
      <c r="E8" s="813" t="n">
        <v>61430</v>
      </c>
      <c r="F8" s="799" t="n"/>
      <c r="G8" s="813" t="n">
        <v>21520</v>
      </c>
      <c r="H8" s="799" t="n"/>
      <c r="I8" s="813" t="n">
        <v>32500</v>
      </c>
      <c r="J8" s="799" t="n"/>
      <c r="K8" s="813" t="n"/>
      <c r="L8" s="799" t="n"/>
      <c r="M8" s="813" t="n"/>
      <c r="N8" s="799" t="n"/>
      <c r="O8" s="813" t="n"/>
      <c r="P8" s="799" t="n"/>
      <c r="Q8" s="814" t="n"/>
      <c r="R8" s="815" t="inlineStr">
        <is>
          <t>합산 월 보험료</t>
        </is>
      </c>
      <c r="S8" s="799" t="n"/>
      <c r="T8" s="816">
        <f>SUM(B8:P8)</f>
        <v/>
      </c>
    </row>
    <row r="9" ht="14.1" customHeight="1" s="797">
      <c r="A9" s="637" t="inlineStr">
        <is>
          <t>보험료 총액</t>
        </is>
      </c>
      <c r="B9" s="803" t="n"/>
      <c r="C9" s="817">
        <f>C8*C5*12</f>
        <v/>
      </c>
      <c r="D9" s="799" t="n"/>
      <c r="E9" s="817">
        <f>E8*E5*12</f>
        <v/>
      </c>
      <c r="F9" s="799" t="n"/>
      <c r="G9" s="817">
        <f>G8*G5*12</f>
        <v/>
      </c>
      <c r="H9" s="799" t="n"/>
      <c r="I9" s="817">
        <f>I8*I5*12</f>
        <v/>
      </c>
      <c r="J9" s="799" t="n"/>
      <c r="K9" s="817">
        <f>K8*K5*12</f>
        <v/>
      </c>
      <c r="L9" s="799" t="n"/>
      <c r="M9" s="817">
        <f>M8*M5*12</f>
        <v/>
      </c>
      <c r="N9" s="799" t="n"/>
      <c r="O9" s="817">
        <f>O8*O5*12</f>
        <v/>
      </c>
      <c r="P9" s="799" t="n"/>
      <c r="Q9" s="814" t="n"/>
      <c r="R9" s="815" t="inlineStr">
        <is>
          <t>합산 보험료 총액</t>
        </is>
      </c>
      <c r="S9" s="799" t="n"/>
      <c r="T9" s="818">
        <f>SUM(B9:P9)</f>
        <v/>
      </c>
    </row>
    <row r="10" ht="14.1" customHeight="1" s="797">
      <c r="A10" s="637" t="inlineStr">
        <is>
          <t>기 납입금</t>
        </is>
      </c>
      <c r="B10" s="803" t="n"/>
      <c r="C10" s="817">
        <f>C8*D5</f>
        <v/>
      </c>
      <c r="D10" s="799" t="n"/>
      <c r="E10" s="817">
        <f>E8*F5</f>
        <v/>
      </c>
      <c r="F10" s="799" t="n"/>
      <c r="G10" s="817">
        <f>G8*H5</f>
        <v/>
      </c>
      <c r="H10" s="799" t="n"/>
      <c r="I10" s="817">
        <f>I8*J5</f>
        <v/>
      </c>
      <c r="J10" s="799" t="n"/>
      <c r="K10" s="817">
        <f>K8*L5</f>
        <v/>
      </c>
      <c r="L10" s="799" t="n"/>
      <c r="M10" s="817">
        <f>M8*N5</f>
        <v/>
      </c>
      <c r="N10" s="799" t="n"/>
      <c r="O10" s="817">
        <f>O8*P5</f>
        <v/>
      </c>
      <c r="P10" s="799" t="n"/>
      <c r="Q10" s="814" t="n"/>
      <c r="R10" s="815" t="inlineStr">
        <is>
          <t>합산 기 납입금</t>
        </is>
      </c>
      <c r="S10" s="799" t="n"/>
      <c r="T10" s="818">
        <f>SUM(B10:P10)</f>
        <v/>
      </c>
    </row>
    <row r="11" ht="14.1" customHeight="1" s="797" thickBot="1">
      <c r="A11" s="632" t="inlineStr">
        <is>
          <t>미 납입금</t>
        </is>
      </c>
      <c r="B11" s="811" t="n"/>
      <c r="C11" s="817">
        <f>C9-C10</f>
        <v/>
      </c>
      <c r="D11" s="799" t="n"/>
      <c r="E11" s="817">
        <f>E9-E10</f>
        <v/>
      </c>
      <c r="F11" s="799" t="n"/>
      <c r="G11" s="817">
        <f>G9-G10</f>
        <v/>
      </c>
      <c r="H11" s="799" t="n"/>
      <c r="I11" s="817">
        <f>I9-I10</f>
        <v/>
      </c>
      <c r="J11" s="799" t="n"/>
      <c r="K11" s="817">
        <f>K9-K10</f>
        <v/>
      </c>
      <c r="L11" s="799" t="n"/>
      <c r="M11" s="817">
        <f>M9-M10</f>
        <v/>
      </c>
      <c r="N11" s="799" t="n"/>
      <c r="O11" s="817">
        <f>O9-O10</f>
        <v/>
      </c>
      <c r="P11" s="799" t="n"/>
      <c r="Q11" s="814" t="n"/>
      <c r="R11" s="819" t="inlineStr">
        <is>
          <t>합산 미 납입금</t>
        </is>
      </c>
      <c r="S11" s="820" t="n"/>
      <c r="T11" s="818">
        <f>SUM(B11:P11)</f>
        <v/>
      </c>
    </row>
    <row r="12" ht="14.1" customHeight="1" s="797" thickBot="1">
      <c r="A12" s="821" t="inlineStr">
        <is>
          <t>실비
(갱신)</t>
        </is>
      </c>
      <c r="B12" s="457" t="inlineStr">
        <is>
          <t>질병입원의료비</t>
        </is>
      </c>
      <c r="C12" s="822" t="n">
        <v>50000000</v>
      </c>
      <c r="D12" s="823" t="inlineStr">
        <is>
          <t>3년갱신</t>
        </is>
      </c>
      <c r="E12" s="822" t="n"/>
      <c r="F12" s="824" t="n"/>
      <c r="G12" s="822" t="n"/>
      <c r="H12" s="825" t="n"/>
      <c r="I12" s="826" t="n"/>
      <c r="J12" s="827" t="n"/>
      <c r="K12" s="828" t="n"/>
      <c r="L12" s="829" t="n"/>
      <c r="M12" s="828" t="n"/>
      <c r="N12" s="827" t="n"/>
      <c r="O12" s="826" t="n"/>
      <c r="P12" s="827" t="n"/>
      <c r="Q12" s="830" t="n"/>
      <c r="R12" s="821" t="inlineStr">
        <is>
          <t>실비
(갱신)</t>
        </is>
      </c>
      <c r="S12" s="352" t="inlineStr">
        <is>
          <t>질병입원의료비</t>
        </is>
      </c>
      <c r="T12" s="831">
        <f>C12+E12+G12+I12+K12+M12+O12</f>
        <v/>
      </c>
    </row>
    <row r="13" ht="14.1" customHeight="1" s="797" thickBot="1">
      <c r="A13" s="832" t="n"/>
      <c r="B13" s="458" t="inlineStr">
        <is>
          <t>질병통원의료비</t>
        </is>
      </c>
      <c r="C13" s="833" t="n">
        <v>300000</v>
      </c>
      <c r="D13" s="823" t="inlineStr">
        <is>
          <t>3년갱신</t>
        </is>
      </c>
      <c r="E13" s="833" t="n"/>
      <c r="F13" s="834" t="n"/>
      <c r="G13" s="833" t="n"/>
      <c r="H13" s="835" t="n"/>
      <c r="I13" s="836" t="n"/>
      <c r="J13" s="837" t="n"/>
      <c r="K13" s="838" t="n"/>
      <c r="L13" s="839" t="n"/>
      <c r="M13" s="838" t="n"/>
      <c r="N13" s="837" t="n"/>
      <c r="O13" s="836" t="n"/>
      <c r="P13" s="837" t="n"/>
      <c r="Q13" s="830" t="n"/>
      <c r="R13" s="832" t="n"/>
      <c r="S13" s="353" t="inlineStr">
        <is>
          <t>질병통원의료비</t>
        </is>
      </c>
      <c r="T13" s="840">
        <f>C13+E13+G13+I13+K13+M13+O13</f>
        <v/>
      </c>
    </row>
    <row r="14" ht="14.1" customHeight="1" s="797" thickBot="1">
      <c r="A14" s="832" t="n"/>
      <c r="B14" s="458" t="inlineStr">
        <is>
          <t>상해입원의료비</t>
        </is>
      </c>
      <c r="C14" s="833" t="n">
        <v>50000000</v>
      </c>
      <c r="D14" s="823" t="inlineStr">
        <is>
          <t>3년갱신</t>
        </is>
      </c>
      <c r="E14" s="833" t="n"/>
      <c r="F14" s="834" t="n"/>
      <c r="G14" s="833" t="n"/>
      <c r="H14" s="835" t="n"/>
      <c r="I14" s="836" t="n"/>
      <c r="J14" s="837" t="n"/>
      <c r="K14" s="838" t="n"/>
      <c r="L14" s="839" t="n"/>
      <c r="M14" s="838" t="n"/>
      <c r="N14" s="837" t="n"/>
      <c r="O14" s="836" t="n"/>
      <c r="P14" s="837" t="n"/>
      <c r="Q14" s="830" t="n"/>
      <c r="R14" s="832" t="n"/>
      <c r="S14" s="353" t="inlineStr">
        <is>
          <t>상해입원의료비</t>
        </is>
      </c>
      <c r="T14" s="840">
        <f>C14+E14+G14+I14+K14+M14+O14</f>
        <v/>
      </c>
    </row>
    <row r="15" ht="14.1" customHeight="1" s="797" thickBot="1">
      <c r="A15" s="832" t="n"/>
      <c r="B15" s="458" t="inlineStr">
        <is>
          <t>상해통원의료비</t>
        </is>
      </c>
      <c r="C15" s="833" t="n">
        <v>300000</v>
      </c>
      <c r="D15" s="823" t="inlineStr">
        <is>
          <t>3년갱신</t>
        </is>
      </c>
      <c r="E15" s="833" t="n"/>
      <c r="F15" s="834" t="n"/>
      <c r="G15" s="833" t="n"/>
      <c r="H15" s="835" t="n"/>
      <c r="I15" s="836" t="n"/>
      <c r="J15" s="837" t="n"/>
      <c r="K15" s="838" t="n"/>
      <c r="L15" s="839" t="n"/>
      <c r="M15" s="838" t="n"/>
      <c r="N15" s="837" t="n"/>
      <c r="O15" s="836" t="n"/>
      <c r="P15" s="837" t="n"/>
      <c r="Q15" s="830" t="n"/>
      <c r="R15" s="832" t="n"/>
      <c r="S15" s="353" t="inlineStr">
        <is>
          <t>상해통원의료비</t>
        </is>
      </c>
      <c r="T15" s="840">
        <f>C15+E15+G15+I15+K15+M15+O15</f>
        <v/>
      </c>
    </row>
    <row r="16" ht="14.1" customHeight="1" s="797" thickBot="1">
      <c r="A16" s="841" t="n"/>
      <c r="B16" s="459" t="inlineStr">
        <is>
          <t>3대비급여 의료비</t>
        </is>
      </c>
      <c r="C16" s="842" t="n"/>
      <c r="D16" s="823" t="inlineStr">
        <is>
          <t>3년갱신</t>
        </is>
      </c>
      <c r="E16" s="842" t="n"/>
      <c r="F16" s="843" t="n"/>
      <c r="G16" s="842" t="n"/>
      <c r="H16" s="844" t="n"/>
      <c r="I16" s="845" t="n"/>
      <c r="J16" s="846" t="n"/>
      <c r="K16" s="847" t="n"/>
      <c r="L16" s="848" t="n"/>
      <c r="M16" s="847" t="n"/>
      <c r="N16" s="846" t="n"/>
      <c r="O16" s="845" t="n"/>
      <c r="P16" s="846" t="n"/>
      <c r="Q16" s="830" t="n"/>
      <c r="R16" s="841" t="n"/>
      <c r="S16" s="354" t="inlineStr">
        <is>
          <t>3대비급여 의료비</t>
        </is>
      </c>
      <c r="T16" s="849">
        <f>C16+E16+G16+I16+K16+M16+O16</f>
        <v/>
      </c>
    </row>
    <row r="17" ht="14.1" customHeight="1" s="797">
      <c r="A17" s="624" t="inlineStr">
        <is>
          <t>암</t>
        </is>
      </c>
      <c r="B17" s="460" t="inlineStr">
        <is>
          <t>암진단</t>
        </is>
      </c>
      <c r="C17" s="828" t="n"/>
      <c r="D17" s="850" t="n"/>
      <c r="E17" s="822" t="n">
        <v>30000000</v>
      </c>
      <c r="F17" s="851" t="n"/>
      <c r="G17" s="838" t="n"/>
      <c r="H17" s="850" t="n"/>
      <c r="I17" s="838" t="n"/>
      <c r="J17" s="852" t="n"/>
      <c r="K17" s="838" t="n"/>
      <c r="L17" s="850" t="n"/>
      <c r="M17" s="828" t="n"/>
      <c r="N17" s="853" t="n"/>
      <c r="O17" s="828" t="n"/>
      <c r="P17" s="827" t="n"/>
      <c r="Q17" s="830" t="n"/>
      <c r="R17" s="624" t="inlineStr">
        <is>
          <t>암</t>
        </is>
      </c>
      <c r="S17" s="490" t="inlineStr">
        <is>
          <t>암진단</t>
        </is>
      </c>
      <c r="T17" s="854">
        <f>C17+E17+G17+I17+K17+M17+O17</f>
        <v/>
      </c>
    </row>
    <row r="18" ht="14.1" customHeight="1" s="797">
      <c r="A18" s="832" t="n"/>
      <c r="B18" s="481" t="inlineStr">
        <is>
          <t>유사암진단</t>
        </is>
      </c>
      <c r="C18" s="838" t="n"/>
      <c r="D18" s="855" t="n"/>
      <c r="E18" s="838" t="n">
        <v>3000000</v>
      </c>
      <c r="F18" s="855" t="n"/>
      <c r="G18" s="838" t="n"/>
      <c r="H18" s="855" t="n"/>
      <c r="I18" s="838" t="n"/>
      <c r="J18" s="852" t="n"/>
      <c r="K18" s="838" t="n"/>
      <c r="L18" s="855" t="n"/>
      <c r="M18" s="856" t="n"/>
      <c r="N18" s="853" t="n"/>
      <c r="O18" s="856" t="n"/>
      <c r="P18" s="857" t="n"/>
      <c r="Q18" s="830" t="n"/>
      <c r="R18" s="832" t="n"/>
      <c r="S18" s="491" t="inlineStr">
        <is>
          <t>유사암진단</t>
        </is>
      </c>
      <c r="T18" s="858">
        <f>C18+E18+G18+I18+K18+M18+O18</f>
        <v/>
      </c>
    </row>
    <row r="19" ht="14.1" customHeight="1" s="797" thickBot="1">
      <c r="A19" s="832" t="n"/>
      <c r="B19" s="553" t="inlineStr">
        <is>
          <t>전이암진단</t>
        </is>
      </c>
      <c r="C19" s="859" t="n"/>
      <c r="D19" s="860" t="n"/>
      <c r="E19" s="859" t="n">
        <v>30000000</v>
      </c>
      <c r="F19" s="861" t="n"/>
      <c r="G19" s="862" t="n"/>
      <c r="H19" s="863" t="n"/>
      <c r="I19" s="859" t="n"/>
      <c r="J19" s="863" t="n"/>
      <c r="K19" s="862" t="n"/>
      <c r="L19" s="861" t="n"/>
      <c r="M19" s="859" t="n"/>
      <c r="N19" s="860" t="n"/>
      <c r="O19" s="859" t="n"/>
      <c r="P19" s="864" t="n"/>
      <c r="Q19" s="830" t="n"/>
      <c r="R19" s="832" t="n"/>
      <c r="S19" s="552" t="inlineStr">
        <is>
          <t>전이암진단</t>
        </is>
      </c>
      <c r="T19" s="865">
        <f>C19+E19+G19+I19+K19+M19+O19</f>
        <v/>
      </c>
    </row>
    <row r="20" ht="14.1" customHeight="1" s="797">
      <c r="A20" s="832" t="n"/>
      <c r="B20" s="554" t="inlineStr">
        <is>
          <t>암수술</t>
        </is>
      </c>
      <c r="C20" s="822" t="n"/>
      <c r="D20" s="824" t="n"/>
      <c r="E20" s="822" t="n">
        <v>4000000</v>
      </c>
      <c r="F20" s="851" t="n"/>
      <c r="G20" s="822" t="n"/>
      <c r="H20" s="824" t="n"/>
      <c r="I20" s="828" t="n"/>
      <c r="J20" s="866" t="n"/>
      <c r="K20" s="828" t="n"/>
      <c r="L20" s="850" t="n"/>
      <c r="M20" s="828" t="n"/>
      <c r="N20" s="850" t="n"/>
      <c r="O20" s="828" t="n"/>
      <c r="P20" s="827" t="n"/>
      <c r="Q20" s="830" t="n"/>
      <c r="R20" s="832" t="n"/>
      <c r="S20" s="554" t="inlineStr">
        <is>
          <t>암수술</t>
        </is>
      </c>
      <c r="T20" s="854">
        <f>C20+E20+G20+I20+K20+M20+O20</f>
        <v/>
      </c>
    </row>
    <row r="21" ht="14.1" customHeight="1" s="797">
      <c r="A21" s="832" t="n"/>
      <c r="B21" s="555" t="inlineStr">
        <is>
          <t>다빈치로봇수술</t>
        </is>
      </c>
      <c r="C21" s="867" t="n"/>
      <c r="D21" s="868" t="n"/>
      <c r="E21" s="867" t="n"/>
      <c r="F21" s="869" t="n"/>
      <c r="G21" s="867" t="n"/>
      <c r="H21" s="870" t="n"/>
      <c r="I21" s="856" t="n"/>
      <c r="J21" s="871" t="n"/>
      <c r="K21" s="838" t="n"/>
      <c r="L21" s="871" t="n"/>
      <c r="M21" s="838" t="n"/>
      <c r="N21" s="872" t="n"/>
      <c r="O21" s="856" t="n"/>
      <c r="P21" s="857" t="n"/>
      <c r="Q21" s="830" t="n"/>
      <c r="R21" s="832" t="n"/>
      <c r="S21" s="555" t="inlineStr">
        <is>
          <t>다빈치로봇수술</t>
        </is>
      </c>
      <c r="T21" s="858">
        <f>C21+E21+G21+I21+K21+M21+O21</f>
        <v/>
      </c>
    </row>
    <row r="22" ht="14.1" customHeight="1" s="797">
      <c r="A22" s="832" t="n"/>
      <c r="B22" s="556" t="inlineStr">
        <is>
          <t>항암방사선</t>
        </is>
      </c>
      <c r="C22" s="838" t="n"/>
      <c r="D22" s="873" t="n"/>
      <c r="E22" s="856" t="n"/>
      <c r="F22" s="855" t="n"/>
      <c r="G22" s="856" t="n"/>
      <c r="H22" s="857" t="n"/>
      <c r="I22" s="856" t="n"/>
      <c r="J22" s="871" t="n"/>
      <c r="K22" s="838" t="n"/>
      <c r="L22" s="855" t="n"/>
      <c r="M22" s="838" t="n"/>
      <c r="N22" s="855" t="n"/>
      <c r="O22" s="856" t="n"/>
      <c r="P22" s="857" t="n"/>
      <c r="Q22" s="830" t="n"/>
      <c r="R22" s="832" t="n"/>
      <c r="S22" s="556" t="inlineStr">
        <is>
          <t>항암방사선</t>
        </is>
      </c>
      <c r="T22" s="858">
        <f>C22+E22+G22+I22+K22+M22+O22</f>
        <v/>
      </c>
    </row>
    <row r="23" ht="14.1" customHeight="1" s="797">
      <c r="A23" s="832" t="n"/>
      <c r="B23" s="555" t="inlineStr">
        <is>
          <t>중입자방사선</t>
        </is>
      </c>
      <c r="C23" s="838" t="n"/>
      <c r="D23" s="873" t="n"/>
      <c r="E23" s="856" t="n"/>
      <c r="F23" s="855" t="n"/>
      <c r="G23" s="856" t="n"/>
      <c r="H23" s="857" t="n"/>
      <c r="I23" s="856" t="n"/>
      <c r="J23" s="874" t="n"/>
      <c r="K23" s="838" t="n"/>
      <c r="L23" s="855" t="n"/>
      <c r="M23" s="838" t="n"/>
      <c r="N23" s="855" t="n"/>
      <c r="O23" s="856" t="n"/>
      <c r="P23" s="857" t="n"/>
      <c r="Q23" s="830" t="n"/>
      <c r="R23" s="832" t="n"/>
      <c r="S23" s="555" t="inlineStr">
        <is>
          <t>중입자방사선</t>
        </is>
      </c>
      <c r="T23" s="858">
        <f>C23+E23+G23+I23+K23+M23+O23</f>
        <v/>
      </c>
    </row>
    <row r="24" ht="14.1" customHeight="1" s="797">
      <c r="A24" s="832" t="n"/>
      <c r="B24" s="555" t="inlineStr">
        <is>
          <t>양성자방사선</t>
        </is>
      </c>
      <c r="C24" s="838" t="n"/>
      <c r="D24" s="873" t="n"/>
      <c r="E24" s="856" t="n"/>
      <c r="F24" s="855" t="n"/>
      <c r="G24" s="856" t="n"/>
      <c r="H24" s="857" t="n"/>
      <c r="I24" s="856" t="n"/>
      <c r="J24" s="871" t="n"/>
      <c r="K24" s="838" t="n"/>
      <c r="L24" s="855" t="n"/>
      <c r="M24" s="838" t="n"/>
      <c r="N24" s="855" t="n"/>
      <c r="O24" s="856" t="n"/>
      <c r="P24" s="857" t="n"/>
      <c r="Q24" s="830" t="n"/>
      <c r="R24" s="832" t="n"/>
      <c r="S24" s="555" t="inlineStr">
        <is>
          <t>양성자방사선</t>
        </is>
      </c>
      <c r="T24" s="858">
        <f>C24+E24+G24+I24+K24+M24+O24</f>
        <v/>
      </c>
    </row>
    <row r="25" ht="14.1" customHeight="1" s="797">
      <c r="A25" s="832" t="n"/>
      <c r="B25" s="555" t="inlineStr">
        <is>
          <t>세기조절방사선</t>
        </is>
      </c>
      <c r="C25" s="838" t="n"/>
      <c r="D25" s="873" t="n"/>
      <c r="E25" s="856" t="n"/>
      <c r="F25" s="855" t="n"/>
      <c r="G25" s="856" t="n"/>
      <c r="H25" s="871" t="n"/>
      <c r="I25" s="856" t="n"/>
      <c r="J25" s="871" t="n"/>
      <c r="K25" s="838" t="n"/>
      <c r="L25" s="855" t="n"/>
      <c r="M25" s="838" t="n"/>
      <c r="N25" s="855" t="n"/>
      <c r="O25" s="856" t="n"/>
      <c r="P25" s="857" t="n"/>
      <c r="Q25" s="830" t="n"/>
      <c r="R25" s="832" t="n"/>
      <c r="S25" s="555" t="inlineStr">
        <is>
          <t>세기조절방사선</t>
        </is>
      </c>
      <c r="T25" s="858">
        <f>C25+E25+G25+I25+K25+M25+O25</f>
        <v/>
      </c>
    </row>
    <row r="26" ht="14.1" customHeight="1" s="797">
      <c r="A26" s="832" t="n"/>
      <c r="B26" s="556" t="inlineStr">
        <is>
          <t>항암약물</t>
        </is>
      </c>
      <c r="C26" s="838" t="n"/>
      <c r="D26" s="873" t="n"/>
      <c r="E26" s="859" t="n"/>
      <c r="F26" s="855" t="n"/>
      <c r="G26" s="859" t="n"/>
      <c r="H26" s="855" t="n"/>
      <c r="I26" s="859" t="n"/>
      <c r="J26" s="871" t="n"/>
      <c r="K26" s="862" t="n"/>
      <c r="L26" s="875" t="n"/>
      <c r="M26" s="862" t="n"/>
      <c r="N26" s="875" t="n"/>
      <c r="O26" s="856" t="n"/>
      <c r="P26" s="857" t="n"/>
      <c r="Q26" s="830" t="n"/>
      <c r="R26" s="832" t="n"/>
      <c r="S26" s="556" t="inlineStr">
        <is>
          <t>항암약물</t>
        </is>
      </c>
      <c r="T26" s="858">
        <f>C26+E26+G26+I26+K26+M26+O26</f>
        <v/>
      </c>
    </row>
    <row r="27" ht="14.1" customHeight="1" s="797">
      <c r="A27" s="832" t="n"/>
      <c r="B27" s="555" t="inlineStr">
        <is>
          <t>표적항암약물</t>
        </is>
      </c>
      <c r="C27" s="862" t="n"/>
      <c r="D27" s="876" t="n"/>
      <c r="E27" s="859" t="n"/>
      <c r="F27" s="855" t="n"/>
      <c r="G27" s="859" t="n"/>
      <c r="H27" s="871" t="n"/>
      <c r="I27" s="859" t="n"/>
      <c r="J27" s="871" t="n"/>
      <c r="K27" s="862" t="n"/>
      <c r="L27" s="871" t="n"/>
      <c r="M27" s="862" t="n"/>
      <c r="N27" s="871" t="n"/>
      <c r="O27" s="859" t="n"/>
      <c r="P27" s="864" t="n"/>
      <c r="Q27" s="830" t="n"/>
      <c r="R27" s="832" t="n"/>
      <c r="S27" s="555" t="inlineStr">
        <is>
          <t>표적항암약물</t>
        </is>
      </c>
      <c r="T27" s="858">
        <f>C27+E27+G27+I27+K27+M27+O27</f>
        <v/>
      </c>
    </row>
    <row r="28" ht="14.1" customHeight="1" s="797" thickBot="1">
      <c r="A28" s="832" t="n"/>
      <c r="B28" s="557" t="inlineStr">
        <is>
          <t>카티항암약물</t>
        </is>
      </c>
      <c r="C28" s="847" t="n"/>
      <c r="D28" s="848" t="n"/>
      <c r="E28" s="847" t="n"/>
      <c r="F28" s="877" t="n"/>
      <c r="G28" s="847" t="n"/>
      <c r="H28" s="878" t="n"/>
      <c r="I28" s="847" t="n"/>
      <c r="J28" s="878" t="n"/>
      <c r="K28" s="847" t="n"/>
      <c r="L28" s="879" t="n"/>
      <c r="M28" s="847" t="n"/>
      <c r="N28" s="879" t="n"/>
      <c r="O28" s="845" t="n"/>
      <c r="P28" s="846" t="n"/>
      <c r="Q28" s="830" t="n"/>
      <c r="R28" s="832" t="n"/>
      <c r="S28" s="557" t="inlineStr">
        <is>
          <t>카티항암약물</t>
        </is>
      </c>
      <c r="T28" s="865">
        <f>C28+E28+G28+I28+K28+M28+O28</f>
        <v/>
      </c>
    </row>
    <row r="29" ht="14.1" customHeight="1" s="797">
      <c r="A29" s="628" t="inlineStr">
        <is>
          <t>2대
질병</t>
        </is>
      </c>
      <c r="B29" s="461" t="inlineStr">
        <is>
          <t>뇌혈관진단</t>
        </is>
      </c>
      <c r="C29" s="838" t="n"/>
      <c r="D29" s="829" t="n"/>
      <c r="E29" s="838" t="n"/>
      <c r="F29" s="880" t="n"/>
      <c r="G29" s="838" t="n"/>
      <c r="H29" s="850" t="n"/>
      <c r="I29" s="838" t="n"/>
      <c r="J29" s="866" t="n"/>
      <c r="K29" s="838" t="n"/>
      <c r="L29" s="850" t="n"/>
      <c r="M29" s="828" t="n"/>
      <c r="N29" s="829" t="n"/>
      <c r="O29" s="836" t="n"/>
      <c r="P29" s="827" t="n"/>
      <c r="Q29" s="830" t="n"/>
      <c r="R29" s="630" t="inlineStr">
        <is>
          <t>2대
질병</t>
        </is>
      </c>
      <c r="S29" s="492" t="inlineStr">
        <is>
          <t>뇌혈관진단</t>
        </is>
      </c>
      <c r="T29" s="881">
        <f>C29+E29+G29+I29+K29+M29+O29</f>
        <v/>
      </c>
    </row>
    <row r="30" ht="14.1" customHeight="1" s="797">
      <c r="A30" s="832" t="n"/>
      <c r="B30" s="462" t="inlineStr">
        <is>
          <t>뇌졸증진단</t>
        </is>
      </c>
      <c r="C30" s="838" t="n"/>
      <c r="D30" s="855" t="n"/>
      <c r="E30" s="856" t="n">
        <v>30000000</v>
      </c>
      <c r="F30" s="852" t="n"/>
      <c r="G30" s="838" t="n"/>
      <c r="H30" s="855" t="n"/>
      <c r="I30" s="838" t="n"/>
      <c r="J30" s="871" t="n"/>
      <c r="K30" s="838" t="n"/>
      <c r="L30" s="855" t="n"/>
      <c r="M30" s="856" t="n"/>
      <c r="N30" s="853" t="n"/>
      <c r="O30" s="836" t="n"/>
      <c r="P30" s="857" t="n"/>
      <c r="Q30" s="830" t="n"/>
      <c r="R30" s="832" t="n"/>
      <c r="S30" s="493" t="inlineStr">
        <is>
          <t>뇌졸증진단</t>
        </is>
      </c>
      <c r="T30" s="840">
        <f>C30+E30+G30+I30+K30+M30+O30</f>
        <v/>
      </c>
    </row>
    <row r="31" ht="14.1" customHeight="1" s="797" thickBot="1">
      <c r="A31" s="832" t="n"/>
      <c r="B31" s="463" t="inlineStr">
        <is>
          <t>뇌출혈진단</t>
        </is>
      </c>
      <c r="C31" s="859" t="n"/>
      <c r="D31" s="861" t="n"/>
      <c r="E31" s="859" t="n"/>
      <c r="F31" s="863" t="n"/>
      <c r="G31" s="859" t="n"/>
      <c r="H31" s="861" t="n"/>
      <c r="I31" s="859" t="n"/>
      <c r="J31" s="882" t="n"/>
      <c r="K31" s="859" t="n"/>
      <c r="L31" s="861" t="n"/>
      <c r="M31" s="859" t="n"/>
      <c r="N31" s="860" t="n"/>
      <c r="O31" s="883" t="n"/>
      <c r="P31" s="864" t="n"/>
      <c r="Q31" s="830" t="n"/>
      <c r="R31" s="832" t="n"/>
      <c r="S31" s="494" t="inlineStr">
        <is>
          <t>뇌출혈진단</t>
        </is>
      </c>
      <c r="T31" s="849">
        <f>C31+E31+G31+I31+K31+M31+O31</f>
        <v/>
      </c>
    </row>
    <row r="32" ht="14.1" customHeight="1" s="797">
      <c r="A32" s="832" t="n"/>
      <c r="B32" s="461" t="inlineStr">
        <is>
          <t>심장질환진단</t>
        </is>
      </c>
      <c r="C32" s="828" t="n"/>
      <c r="D32" s="850" t="n"/>
      <c r="E32" s="828" t="n"/>
      <c r="F32" s="880" t="n"/>
      <c r="G32" s="828" t="n"/>
      <c r="H32" s="850" t="n"/>
      <c r="I32" s="828" t="n"/>
      <c r="J32" s="866" t="n"/>
      <c r="K32" s="828" t="n"/>
      <c r="L32" s="850" t="n"/>
      <c r="M32" s="828" t="n"/>
      <c r="N32" s="829" t="n"/>
      <c r="O32" s="826" t="n"/>
      <c r="P32" s="827" t="n"/>
      <c r="Q32" s="830" t="n"/>
      <c r="R32" s="832" t="n"/>
      <c r="S32" s="492" t="inlineStr">
        <is>
          <t>심장질환진단</t>
        </is>
      </c>
      <c r="T32" s="854">
        <f>C32+E32+G32+I32+K32+M32+O32</f>
        <v/>
      </c>
    </row>
    <row r="33" ht="14.1" customHeight="1" s="797">
      <c r="A33" s="832" t="n"/>
      <c r="B33" s="488" t="inlineStr">
        <is>
          <t>허혈성심장진단</t>
        </is>
      </c>
      <c r="C33" s="838" t="n"/>
      <c r="D33" s="855" t="n"/>
      <c r="E33" s="838" t="n"/>
      <c r="F33" s="852" t="n"/>
      <c r="G33" s="838" t="n"/>
      <c r="H33" s="855" t="n"/>
      <c r="I33" s="838" t="n"/>
      <c r="J33" s="871" t="n"/>
      <c r="K33" s="838" t="n"/>
      <c r="L33" s="855" t="n"/>
      <c r="M33" s="838" t="n"/>
      <c r="N33" s="853" t="n"/>
      <c r="O33" s="836" t="n"/>
      <c r="P33" s="857" t="n"/>
      <c r="Q33" s="830" t="n"/>
      <c r="R33" s="832" t="n"/>
      <c r="S33" s="495" t="inlineStr">
        <is>
          <t>허혈성심장진단</t>
        </is>
      </c>
      <c r="T33" s="858">
        <f>C33+E33+G33+I33+K33+M33+O33</f>
        <v/>
      </c>
    </row>
    <row r="34" ht="14.1" customHeight="1" s="797" thickBot="1">
      <c r="A34" s="832" t="n"/>
      <c r="B34" s="489" t="inlineStr">
        <is>
          <t>급성심근경색진단</t>
        </is>
      </c>
      <c r="C34" s="847" t="n"/>
      <c r="D34" s="884" t="n"/>
      <c r="E34" s="847" t="n">
        <v>30000000</v>
      </c>
      <c r="F34" s="885" t="n"/>
      <c r="G34" s="847" t="n"/>
      <c r="H34" s="884" t="n"/>
      <c r="I34" s="847" t="n"/>
      <c r="J34" s="886" t="n"/>
      <c r="K34" s="847" t="n"/>
      <c r="L34" s="884" t="n"/>
      <c r="M34" s="847" t="n"/>
      <c r="N34" s="848" t="n"/>
      <c r="O34" s="845" t="n"/>
      <c r="P34" s="887" t="n"/>
      <c r="Q34" s="830" t="n"/>
      <c r="R34" s="832" t="n"/>
      <c r="S34" s="496" t="inlineStr">
        <is>
          <t>급성심근경색진단</t>
        </is>
      </c>
      <c r="T34" s="865">
        <f>C34+E34+G34+I34+K34+M34+O34</f>
        <v/>
      </c>
    </row>
    <row r="35" ht="14.1" customHeight="1" s="797">
      <c r="A35" s="832" t="n"/>
      <c r="B35" s="461" t="inlineStr">
        <is>
          <t>수술/시술비</t>
        </is>
      </c>
      <c r="C35" s="828" t="n"/>
      <c r="D35" s="850" t="n"/>
      <c r="E35" s="888" t="n"/>
      <c r="F35" s="889" t="n"/>
      <c r="G35" s="828" t="n"/>
      <c r="H35" s="850" t="n"/>
      <c r="I35" s="828" t="n"/>
      <c r="J35" s="866" t="n"/>
      <c r="K35" s="828" t="n"/>
      <c r="L35" s="850" t="n"/>
      <c r="M35" s="828" t="n"/>
      <c r="N35" s="829" t="n"/>
      <c r="O35" s="826" t="n"/>
      <c r="P35" s="827" t="n"/>
      <c r="Q35" s="830" t="n"/>
      <c r="R35" s="832" t="n"/>
      <c r="S35" s="492" t="inlineStr">
        <is>
          <t>수술/시술비</t>
        </is>
      </c>
      <c r="T35" s="881">
        <f>C35+E35+G35+I35+K35+M35+O35</f>
        <v/>
      </c>
    </row>
    <row r="36" ht="14.1" customHeight="1" s="797">
      <c r="A36" s="832" t="n"/>
      <c r="B36" s="488" t="inlineStr">
        <is>
          <t>혈전용해치료</t>
        </is>
      </c>
      <c r="C36" s="838" t="n"/>
      <c r="D36" s="855" t="n"/>
      <c r="E36" s="838" t="n"/>
      <c r="F36" s="890" t="n"/>
      <c r="G36" s="838" t="n"/>
      <c r="H36" s="855" t="n"/>
      <c r="I36" s="838" t="n"/>
      <c r="J36" s="871" t="n"/>
      <c r="K36" s="838" t="n"/>
      <c r="L36" s="855" t="n"/>
      <c r="M36" s="838" t="n"/>
      <c r="N36" s="853" t="n"/>
      <c r="O36" s="836" t="n"/>
      <c r="P36" s="857" t="n"/>
      <c r="Q36" s="830" t="n"/>
      <c r="R36" s="832" t="n"/>
      <c r="S36" s="495" t="inlineStr">
        <is>
          <t>혈전용해치료</t>
        </is>
      </c>
      <c r="T36" s="840">
        <f>C36+E36+G36+I36+K36+M36+O36</f>
        <v/>
      </c>
    </row>
    <row r="37" ht="14.1" customHeight="1" s="797" thickBot="1">
      <c r="A37" s="832" t="n"/>
      <c r="B37" s="463" t="inlineStr">
        <is>
          <t>중환자실치료</t>
        </is>
      </c>
      <c r="C37" s="847" t="n"/>
      <c r="D37" s="884" t="n"/>
      <c r="E37" s="847" t="n"/>
      <c r="F37" s="891" t="n"/>
      <c r="G37" s="847" t="n"/>
      <c r="H37" s="884" t="n"/>
      <c r="I37" s="847" t="n"/>
      <c r="J37" s="886" t="n"/>
      <c r="K37" s="847" t="n"/>
      <c r="L37" s="884" t="n"/>
      <c r="M37" s="847" t="n"/>
      <c r="N37" s="848" t="n"/>
      <c r="O37" s="845" t="n"/>
      <c r="P37" s="887" t="n"/>
      <c r="Q37" s="830" t="n"/>
      <c r="R37" s="832" t="n"/>
      <c r="S37" s="496" t="inlineStr">
        <is>
          <t>중환자실치료</t>
        </is>
      </c>
      <c r="T37" s="849">
        <f>C37+E37+G37+I37+K37+M37+O37</f>
        <v/>
      </c>
    </row>
    <row r="38" ht="14.1" customHeight="1" s="797">
      <c r="A38" s="892" t="inlineStr">
        <is>
          <t>후유장해</t>
        </is>
      </c>
      <c r="B38" s="464" t="inlineStr">
        <is>
          <t>질병 80% 이상</t>
        </is>
      </c>
      <c r="C38" s="828" t="n">
        <v>10000000</v>
      </c>
      <c r="D38" s="850" t="n"/>
      <c r="E38" s="828" t="n"/>
      <c r="F38" s="880" t="n"/>
      <c r="G38" s="828" t="n"/>
      <c r="H38" s="850" t="n"/>
      <c r="I38" s="828" t="n"/>
      <c r="J38" s="893" t="n"/>
      <c r="K38" s="828" t="n"/>
      <c r="L38" s="850" t="n"/>
      <c r="M38" s="828" t="n"/>
      <c r="N38" s="829" t="n"/>
      <c r="O38" s="826" t="n"/>
      <c r="P38" s="827" t="n"/>
      <c r="Q38" s="830" t="n"/>
      <c r="R38" s="892" t="inlineStr">
        <is>
          <t>후유장해</t>
        </is>
      </c>
      <c r="S38" s="497" t="inlineStr">
        <is>
          <t>질병 80% 이상</t>
        </is>
      </c>
      <c r="T38" s="854">
        <f>C38+E38+G38+I38+K38+M38+O38</f>
        <v/>
      </c>
    </row>
    <row r="39" ht="14.1" customHeight="1" s="797">
      <c r="A39" s="832" t="n"/>
      <c r="B39" s="465" t="inlineStr">
        <is>
          <t>질병 3% ~80%</t>
        </is>
      </c>
      <c r="C39" s="838" t="n"/>
      <c r="D39" s="855" t="n"/>
      <c r="E39" s="838" t="n"/>
      <c r="F39" s="894" t="n"/>
      <c r="G39" s="838" t="n"/>
      <c r="H39" s="890" t="n"/>
      <c r="I39" s="838" t="n"/>
      <c r="J39" s="895" t="n"/>
      <c r="K39" s="838" t="n"/>
      <c r="L39" s="890" t="n"/>
      <c r="M39" s="838" t="n"/>
      <c r="N39" s="839" t="n"/>
      <c r="O39" s="836" t="n"/>
      <c r="P39" s="837" t="n"/>
      <c r="Q39" s="830" t="n"/>
      <c r="R39" s="832" t="n"/>
      <c r="S39" s="498" t="inlineStr">
        <is>
          <t>질병 3% ~80%</t>
        </is>
      </c>
      <c r="T39" s="858">
        <f>C39+E39+G39+I39+K39+M39+O39</f>
        <v/>
      </c>
    </row>
    <row r="40" ht="14.1" customHeight="1" s="797">
      <c r="A40" s="832" t="n"/>
      <c r="B40" s="465" t="inlineStr">
        <is>
          <t>상해 80% 이상</t>
        </is>
      </c>
      <c r="C40" s="838" t="n"/>
      <c r="D40" s="890" t="n"/>
      <c r="E40" s="838" t="n"/>
      <c r="F40" s="894" t="n"/>
      <c r="G40" s="838" t="n"/>
      <c r="H40" s="890" t="n"/>
      <c r="I40" s="838" t="n"/>
      <c r="J40" s="896" t="n"/>
      <c r="K40" s="838" t="n"/>
      <c r="L40" s="890" t="n"/>
      <c r="M40" s="838" t="n"/>
      <c r="N40" s="839" t="n"/>
      <c r="O40" s="836" t="n"/>
      <c r="P40" s="837" t="n"/>
      <c r="Q40" s="830" t="n"/>
      <c r="R40" s="832" t="n"/>
      <c r="S40" s="498" t="inlineStr">
        <is>
          <t>상해 80% 이상</t>
        </is>
      </c>
      <c r="T40" s="858">
        <f>C40+E40+G40+I40+K40+M40+O40</f>
        <v/>
      </c>
    </row>
    <row r="41" ht="14.1" customHeight="1" s="797" thickBot="1">
      <c r="A41" s="841" t="n"/>
      <c r="B41" s="466" t="inlineStr">
        <is>
          <t>상해 3% ~ 80%</t>
        </is>
      </c>
      <c r="C41" s="847" t="n">
        <v>50000000</v>
      </c>
      <c r="D41" s="884" t="n"/>
      <c r="E41" s="847" t="n">
        <v>100000000</v>
      </c>
      <c r="F41" s="885" t="n"/>
      <c r="G41" s="838" t="n"/>
      <c r="H41" s="884" t="n"/>
      <c r="I41" s="838" t="n"/>
      <c r="J41" s="886" t="n"/>
      <c r="K41" s="838" t="n"/>
      <c r="L41" s="884" t="n"/>
      <c r="M41" s="847" t="n"/>
      <c r="N41" s="848" t="n"/>
      <c r="O41" s="845" t="n"/>
      <c r="P41" s="846" t="n"/>
      <c r="Q41" s="830" t="n"/>
      <c r="R41" s="841" t="n"/>
      <c r="S41" s="499" t="inlineStr">
        <is>
          <t>상해 3% ~ 80%</t>
        </is>
      </c>
      <c r="T41" s="865">
        <f>C41+E41+G41+I41+K41+M41+O41</f>
        <v/>
      </c>
    </row>
    <row r="42" ht="14.1" customHeight="1" s="797">
      <c r="A42" s="897" t="inlineStr">
        <is>
          <t>사망</t>
        </is>
      </c>
      <c r="B42" s="467" t="inlineStr">
        <is>
          <t>일반</t>
        </is>
      </c>
      <c r="C42" s="856" t="n"/>
      <c r="D42" s="855" t="n"/>
      <c r="E42" s="828" t="n"/>
      <c r="F42" s="880" t="n"/>
      <c r="G42" s="828" t="n"/>
      <c r="H42" s="850" t="n"/>
      <c r="I42" s="828" t="n"/>
      <c r="J42" s="898" t="n"/>
      <c r="K42" s="828" t="n"/>
      <c r="L42" s="829" t="n"/>
      <c r="M42" s="828" t="n"/>
      <c r="N42" s="829" t="n"/>
      <c r="O42" s="826" t="n"/>
      <c r="P42" s="827" t="n"/>
      <c r="Q42" s="830" t="n"/>
      <c r="R42" s="897" t="inlineStr">
        <is>
          <t>사망</t>
        </is>
      </c>
      <c r="S42" s="500" t="inlineStr">
        <is>
          <t>일반</t>
        </is>
      </c>
      <c r="T42" s="881">
        <f>C42+E42+G42+I42+K42+M42+O42</f>
        <v/>
      </c>
    </row>
    <row r="43" ht="14.1" customHeight="1" s="797">
      <c r="A43" s="832" t="n"/>
      <c r="B43" s="468" t="inlineStr">
        <is>
          <t>질병</t>
        </is>
      </c>
      <c r="C43" s="838" t="n">
        <v>30000000</v>
      </c>
      <c r="D43" s="890" t="n"/>
      <c r="E43" s="838" t="n">
        <v>100000000</v>
      </c>
      <c r="F43" s="894" t="n"/>
      <c r="G43" s="838" t="n"/>
      <c r="H43" s="890" t="n"/>
      <c r="I43" s="838" t="n"/>
      <c r="J43" s="896" t="n"/>
      <c r="K43" s="838" t="n"/>
      <c r="L43" s="839" t="n"/>
      <c r="M43" s="838" t="n"/>
      <c r="N43" s="839" t="n"/>
      <c r="O43" s="836" t="n"/>
      <c r="P43" s="837" t="n"/>
      <c r="Q43" s="830" t="n"/>
      <c r="R43" s="832" t="n"/>
      <c r="S43" s="501" t="inlineStr">
        <is>
          <t>질병</t>
        </is>
      </c>
      <c r="T43" s="840">
        <f>C43+E43+G43+I43+K43+M43+O43</f>
        <v/>
      </c>
    </row>
    <row r="44" ht="14.1" customHeight="1" s="797" thickBot="1">
      <c r="A44" s="841" t="n"/>
      <c r="B44" s="469" t="inlineStr">
        <is>
          <t>상해</t>
        </is>
      </c>
      <c r="C44" s="847" t="n">
        <v>50000000</v>
      </c>
      <c r="D44" s="884" t="n"/>
      <c r="E44" s="847" t="n">
        <v>100000000</v>
      </c>
      <c r="F44" s="885" t="n"/>
      <c r="G44" s="847" t="n"/>
      <c r="H44" s="884" t="n"/>
      <c r="I44" s="847" t="n"/>
      <c r="J44" s="899" t="n"/>
      <c r="K44" s="847" t="n"/>
      <c r="L44" s="900" t="n"/>
      <c r="M44" s="847" t="n"/>
      <c r="N44" s="848" t="n"/>
      <c r="O44" s="901" t="n"/>
      <c r="P44" s="857" t="n"/>
      <c r="Q44" s="830" t="n"/>
      <c r="R44" s="841" t="n"/>
      <c r="S44" s="502" t="inlineStr">
        <is>
          <t>상해</t>
        </is>
      </c>
      <c r="T44" s="849">
        <f>C44+E44+G44+I44+K44+M44+O44</f>
        <v/>
      </c>
      <c r="U44" s="2" t="n"/>
    </row>
    <row r="45" ht="14.1" customHeight="1" s="797">
      <c r="A45" s="617" t="inlineStr">
        <is>
          <t>수술비</t>
        </is>
      </c>
      <c r="B45" s="470" t="inlineStr">
        <is>
          <t>질병</t>
        </is>
      </c>
      <c r="C45" s="828" t="n"/>
      <c r="D45" s="850" t="n"/>
      <c r="E45" s="828" t="n">
        <v>30</v>
      </c>
      <c r="F45" s="852" t="n"/>
      <c r="G45" s="828" t="n"/>
      <c r="H45" s="855" t="n"/>
      <c r="I45" s="828" t="n"/>
      <c r="J45" s="873" t="n"/>
      <c r="K45" s="828" t="n"/>
      <c r="L45" s="829" t="n"/>
      <c r="M45" s="856" t="n"/>
      <c r="N45" s="853" t="n"/>
      <c r="O45" s="826" t="n"/>
      <c r="P45" s="827" t="n"/>
      <c r="Q45" s="830" t="n"/>
      <c r="R45" s="617" t="inlineStr">
        <is>
          <t>수술비</t>
        </is>
      </c>
      <c r="S45" s="480" t="inlineStr">
        <is>
          <t>질병</t>
        </is>
      </c>
      <c r="T45" s="854">
        <f>C45+E45+G45+I45+K45+M45+O45</f>
        <v/>
      </c>
    </row>
    <row r="46" ht="14.1" customHeight="1" s="797">
      <c r="A46" s="832" t="n"/>
      <c r="B46" s="470" t="inlineStr">
        <is>
          <t>상해</t>
        </is>
      </c>
      <c r="C46" s="838" t="n"/>
      <c r="D46" s="890" t="n"/>
      <c r="E46" s="838" t="n">
        <v>30</v>
      </c>
      <c r="F46" s="894" t="n"/>
      <c r="G46" s="838" t="n"/>
      <c r="H46" s="890" t="n"/>
      <c r="I46" s="838" t="n"/>
      <c r="J46" s="902" t="n"/>
      <c r="K46" s="838" t="n"/>
      <c r="L46" s="839" t="n"/>
      <c r="M46" s="838" t="n"/>
      <c r="N46" s="903" t="n"/>
      <c r="O46" s="836" t="n"/>
      <c r="P46" s="837" t="n"/>
      <c r="Q46" s="830" t="n"/>
      <c r="R46" s="832" t="n"/>
      <c r="S46" s="480" t="inlineStr">
        <is>
          <t>상해</t>
        </is>
      </c>
      <c r="T46" s="858">
        <f>C46+E46+G46+I46+K46+M46+O46</f>
        <v/>
      </c>
    </row>
    <row r="47" ht="14.1" customHeight="1" s="797">
      <c r="A47" s="832" t="n"/>
      <c r="B47" s="470" t="inlineStr">
        <is>
          <t>1-5종</t>
        </is>
      </c>
      <c r="C47" s="838" t="n"/>
      <c r="D47" s="890" t="n"/>
      <c r="E47" s="838" t="n"/>
      <c r="F47" s="852" t="n"/>
      <c r="G47" s="838" t="n"/>
      <c r="H47" s="853" t="n"/>
      <c r="I47" s="838" t="n"/>
      <c r="J47" s="873" t="n"/>
      <c r="K47" s="838" t="n"/>
      <c r="L47" s="853" t="n"/>
      <c r="M47" s="838" t="n"/>
      <c r="N47" s="904" t="n"/>
      <c r="O47" s="836" t="n"/>
      <c r="P47" s="837" t="n"/>
      <c r="Q47" s="830" t="n"/>
      <c r="R47" s="832" t="n"/>
      <c r="S47" s="480" t="inlineStr">
        <is>
          <t>1-5종</t>
        </is>
      </c>
      <c r="T47" s="858">
        <f>C47+E47+G47+I47+K47+M47+O47</f>
        <v/>
      </c>
    </row>
    <row r="48" ht="14.1" customHeight="1" s="797" thickBot="1">
      <c r="A48" s="832" t="n"/>
      <c r="B48" s="471" t="inlineStr">
        <is>
          <t>111대질병</t>
        </is>
      </c>
      <c r="C48" s="862" t="n"/>
      <c r="D48" s="884" t="n"/>
      <c r="E48" s="862" t="n"/>
      <c r="F48" s="863" t="n"/>
      <c r="G48" s="862" t="n"/>
      <c r="H48" s="861" t="n"/>
      <c r="I48" s="862" t="n"/>
      <c r="J48" s="876" t="n"/>
      <c r="K48" s="862" t="n"/>
      <c r="L48" s="905" t="n"/>
      <c r="M48" s="862" t="n"/>
      <c r="N48" s="906" t="n"/>
      <c r="O48" s="907" t="n"/>
      <c r="P48" s="887" t="n"/>
      <c r="Q48" s="830" t="n"/>
      <c r="R48" s="832" t="n"/>
      <c r="S48" s="513" t="inlineStr">
        <is>
          <t>N대질병</t>
        </is>
      </c>
      <c r="T48" s="865">
        <f>C48+E48+G48+I48+K48+M48+O48</f>
        <v/>
      </c>
    </row>
    <row r="49" ht="14.1" customHeight="1" s="797">
      <c r="A49" s="603" t="inlineStr">
        <is>
          <t>상해진단</t>
        </is>
      </c>
      <c r="B49" s="472" t="inlineStr">
        <is>
          <t>골절</t>
        </is>
      </c>
      <c r="C49" s="828" t="n">
        <v>20</v>
      </c>
      <c r="D49" s="850" t="n"/>
      <c r="E49" s="828" t="n">
        <v>20</v>
      </c>
      <c r="F49" s="880" t="n"/>
      <c r="G49" s="828" t="n"/>
      <c r="H49" s="850" t="n"/>
      <c r="I49" s="828" t="n"/>
      <c r="J49" s="908" t="n"/>
      <c r="K49" s="828" t="n"/>
      <c r="L49" s="880" t="n"/>
      <c r="M49" s="828" t="n"/>
      <c r="N49" s="850" t="n"/>
      <c r="O49" s="826" t="n"/>
      <c r="P49" s="827" t="n"/>
      <c r="Q49" s="830" t="n"/>
      <c r="R49" s="603" t="inlineStr">
        <is>
          <t>상해진단</t>
        </is>
      </c>
      <c r="S49" s="483" t="inlineStr">
        <is>
          <t>골절</t>
        </is>
      </c>
      <c r="T49" s="881">
        <f>C49+E49+G49+I49+K49+M49+O49</f>
        <v/>
      </c>
    </row>
    <row r="50" ht="14.1" customHeight="1" s="797" thickBot="1">
      <c r="A50" s="832" t="n"/>
      <c r="B50" s="482" t="inlineStr">
        <is>
          <t>화상</t>
        </is>
      </c>
      <c r="C50" s="909" t="n"/>
      <c r="D50" s="879" t="n"/>
      <c r="E50" s="909" t="n"/>
      <c r="F50" s="885" t="n"/>
      <c r="G50" s="909" t="n"/>
      <c r="H50" s="848" t="n"/>
      <c r="I50" s="909" t="n"/>
      <c r="J50" s="899" t="n"/>
      <c r="K50" s="909" t="n"/>
      <c r="L50" s="910" t="n"/>
      <c r="M50" s="909" t="n"/>
      <c r="N50" s="879" t="n"/>
      <c r="O50" s="911" t="n"/>
      <c r="P50" s="846" t="n"/>
      <c r="Q50" s="830" t="n"/>
      <c r="R50" s="832" t="n"/>
      <c r="S50" s="503" t="inlineStr">
        <is>
          <t>화상</t>
        </is>
      </c>
      <c r="T50" s="849">
        <f>C50+E50+G50+I50+K50+M50+O50</f>
        <v/>
      </c>
    </row>
    <row r="51" ht="14.1" customHeight="1" s="797">
      <c r="A51" s="605" t="inlineStr">
        <is>
          <t>입원비</t>
        </is>
      </c>
      <c r="B51" s="484" t="inlineStr">
        <is>
          <t>질병</t>
        </is>
      </c>
      <c r="C51" s="856" t="n">
        <v>3</v>
      </c>
      <c r="D51" s="855" t="n"/>
      <c r="E51" s="856" t="n">
        <v>3</v>
      </c>
      <c r="F51" s="852" t="n"/>
      <c r="G51" s="856" t="n"/>
      <c r="H51" s="853" t="n"/>
      <c r="I51" s="856" t="n"/>
      <c r="J51" s="873" t="n"/>
      <c r="K51" s="856" t="n"/>
      <c r="L51" s="852" t="n"/>
      <c r="M51" s="856" t="n"/>
      <c r="N51" s="855" t="n"/>
      <c r="O51" s="883" t="n"/>
      <c r="P51" s="864" t="n"/>
      <c r="Q51" s="830" t="n"/>
      <c r="R51" s="605" t="inlineStr">
        <is>
          <t>입원비</t>
        </is>
      </c>
      <c r="S51" s="486" t="inlineStr">
        <is>
          <t>질병</t>
        </is>
      </c>
      <c r="T51" s="854">
        <f>C51+E51+G51+I51+K51+M51+O51</f>
        <v/>
      </c>
    </row>
    <row r="52" ht="14.1" customHeight="1" s="797" thickBot="1">
      <c r="A52" s="912" t="n"/>
      <c r="B52" s="485" t="inlineStr">
        <is>
          <t>상해</t>
        </is>
      </c>
      <c r="C52" s="847" t="n">
        <v>3</v>
      </c>
      <c r="D52" s="884" t="n"/>
      <c r="E52" s="847" t="n">
        <v>3</v>
      </c>
      <c r="F52" s="852" t="n"/>
      <c r="G52" s="847" t="n"/>
      <c r="H52" s="853" t="n"/>
      <c r="I52" s="847" t="n"/>
      <c r="J52" s="873" t="n"/>
      <c r="K52" s="847" t="n"/>
      <c r="L52" s="885" t="n"/>
      <c r="M52" s="847" t="n"/>
      <c r="N52" s="884" t="n"/>
      <c r="O52" s="883" t="n"/>
      <c r="P52" s="864" t="n"/>
      <c r="Q52" s="830" t="n"/>
      <c r="R52" s="912" t="n"/>
      <c r="S52" s="487" t="inlineStr">
        <is>
          <t>상해</t>
        </is>
      </c>
      <c r="T52" s="865">
        <f>C52+E52+G52+I52+K52+M52+O52</f>
        <v/>
      </c>
    </row>
    <row r="53" ht="14.1" customHeight="1" s="797">
      <c r="A53" s="609" t="inlineStr">
        <is>
          <t>간병인</t>
        </is>
      </c>
      <c r="B53" s="473" t="inlineStr">
        <is>
          <t>병원사용</t>
        </is>
      </c>
      <c r="C53" s="828" t="n"/>
      <c r="D53" s="850" t="n"/>
      <c r="E53" s="828" t="n"/>
      <c r="F53" s="913" t="n"/>
      <c r="G53" s="828" t="n"/>
      <c r="H53" s="913" t="n"/>
      <c r="I53" s="828" t="n"/>
      <c r="J53" s="908" t="n"/>
      <c r="K53" s="828" t="n"/>
      <c r="L53" s="913" t="n"/>
      <c r="M53" s="828" t="n"/>
      <c r="N53" s="850" t="n"/>
      <c r="O53" s="826" t="n"/>
      <c r="P53" s="827" t="n"/>
      <c r="Q53" s="830" t="n"/>
      <c r="R53" s="609" t="inlineStr">
        <is>
          <t>간병인</t>
        </is>
      </c>
      <c r="S53" s="504" t="inlineStr">
        <is>
          <t>병원사용</t>
        </is>
      </c>
      <c r="T53" s="881">
        <f>C53+E53+G53+I53+K53+M53+O53</f>
        <v/>
      </c>
    </row>
    <row r="54" ht="14.1" customHeight="1" s="797">
      <c r="A54" s="832" t="n"/>
      <c r="B54" s="474" t="inlineStr">
        <is>
          <t>요양병원사용</t>
        </is>
      </c>
      <c r="C54" s="859" t="n"/>
      <c r="D54" s="861" t="n"/>
      <c r="E54" s="859" t="n"/>
      <c r="F54" s="914" t="n"/>
      <c r="G54" s="859" t="n"/>
      <c r="H54" s="853" t="n"/>
      <c r="I54" s="859" t="n"/>
      <c r="J54" s="876" t="n"/>
      <c r="K54" s="859" t="n"/>
      <c r="L54" s="915" t="n"/>
      <c r="M54" s="859" t="n"/>
      <c r="N54" s="861" t="n"/>
      <c r="O54" s="883" t="n"/>
      <c r="P54" s="864" t="n"/>
      <c r="Q54" s="830" t="n"/>
      <c r="R54" s="832" t="n"/>
      <c r="S54" s="504" t="inlineStr">
        <is>
          <t>요양병원사용</t>
        </is>
      </c>
      <c r="T54" s="840">
        <f>C54+E54+G54+I54+K54+M54+O54</f>
        <v/>
      </c>
    </row>
    <row r="55" ht="14.1" customHeight="1" s="797" thickBot="1">
      <c r="A55" s="841" t="n"/>
      <c r="B55" s="475" t="inlineStr">
        <is>
          <t>간호간병통합사용</t>
        </is>
      </c>
      <c r="C55" s="847" t="n"/>
      <c r="D55" s="884" t="n"/>
      <c r="E55" s="847" t="n"/>
      <c r="F55" s="916" t="n"/>
      <c r="G55" s="847" t="n"/>
      <c r="H55" s="877" t="n"/>
      <c r="I55" s="847" t="n"/>
      <c r="J55" s="899" t="n"/>
      <c r="K55" s="847" t="n"/>
      <c r="L55" s="891" t="n"/>
      <c r="M55" s="847" t="n"/>
      <c r="N55" s="884" t="n"/>
      <c r="O55" s="845" t="n"/>
      <c r="P55" s="846" t="n"/>
      <c r="Q55" s="830" t="n"/>
      <c r="R55" s="841" t="n"/>
      <c r="S55" s="505" t="inlineStr">
        <is>
          <t>간호간병통합사용</t>
        </is>
      </c>
      <c r="T55" s="849">
        <f>C55+E55+G55+I55+K55+M55+O55</f>
        <v/>
      </c>
    </row>
    <row r="56" ht="14.1" customHeight="1" s="797">
      <c r="A56" s="917" t="inlineStr">
        <is>
          <t>운전자</t>
        </is>
      </c>
      <c r="B56" s="476" t="inlineStr">
        <is>
          <t>벌금</t>
        </is>
      </c>
      <c r="C56" s="918" t="n"/>
      <c r="D56" s="850" t="n"/>
      <c r="E56" s="826" t="n"/>
      <c r="F56" s="880" t="n"/>
      <c r="G56" s="828" t="n"/>
      <c r="H56" s="829" t="n"/>
      <c r="I56" s="828" t="n"/>
      <c r="J56" s="908" t="n"/>
      <c r="K56" s="828" t="n"/>
      <c r="L56" s="880" t="n"/>
      <c r="M56" s="828" t="n"/>
      <c r="N56" s="850" t="n"/>
      <c r="O56" s="836" t="n"/>
      <c r="P56" s="827" t="n"/>
      <c r="Q56" s="830" t="n"/>
      <c r="R56" s="917" t="inlineStr">
        <is>
          <t>운전자</t>
        </is>
      </c>
      <c r="S56" s="506" t="inlineStr">
        <is>
          <t>벌금</t>
        </is>
      </c>
      <c r="T56" s="854">
        <f>C56+E56+G56+I56+K56+M56+O56</f>
        <v/>
      </c>
    </row>
    <row r="57" ht="14.1" customHeight="1" s="797">
      <c r="A57" s="832" t="n"/>
      <c r="B57" s="476" t="inlineStr">
        <is>
          <t>변호사선임</t>
        </is>
      </c>
      <c r="C57" s="838" t="n"/>
      <c r="D57" s="890" t="n"/>
      <c r="E57" s="836" t="n"/>
      <c r="F57" s="894" t="n"/>
      <c r="G57" s="838" t="n"/>
      <c r="H57" s="839" t="n"/>
      <c r="I57" s="838" t="n"/>
      <c r="J57" s="902" t="n"/>
      <c r="K57" s="838" t="n"/>
      <c r="L57" s="894" t="n"/>
      <c r="M57" s="838" t="n"/>
      <c r="N57" s="890" t="n"/>
      <c r="O57" s="836" t="n"/>
      <c r="P57" s="837" t="n"/>
      <c r="Q57" s="830" t="n"/>
      <c r="R57" s="832" t="n"/>
      <c r="S57" s="506" t="inlineStr">
        <is>
          <t>변호사선임</t>
        </is>
      </c>
      <c r="T57" s="858">
        <f>C57+E57+G57+I57+K57+M57+O57</f>
        <v/>
      </c>
    </row>
    <row r="58" ht="14.1" customHeight="1" s="797" thickBot="1">
      <c r="A58" s="841" t="n"/>
      <c r="B58" s="477" t="inlineStr">
        <is>
          <t>교통사고처리지원</t>
        </is>
      </c>
      <c r="C58" s="856" t="n"/>
      <c r="D58" s="855" t="n"/>
      <c r="E58" s="901" t="n"/>
      <c r="F58" s="852" t="n"/>
      <c r="G58" s="856" t="n"/>
      <c r="H58" s="853" t="n"/>
      <c r="I58" s="856" t="n"/>
      <c r="J58" s="873" t="n"/>
      <c r="K58" s="856" t="n"/>
      <c r="L58" s="852" t="n"/>
      <c r="M58" s="856" t="n"/>
      <c r="N58" s="855" t="n"/>
      <c r="O58" s="836" t="n"/>
      <c r="P58" s="837" t="n"/>
      <c r="Q58" s="830" t="n"/>
      <c r="R58" s="841" t="n"/>
      <c r="S58" s="507" t="inlineStr">
        <is>
          <t>교통사고처리지원</t>
        </is>
      </c>
      <c r="T58" s="865">
        <f>C58+E58+G58+I58+K58+M58+O58</f>
        <v/>
      </c>
    </row>
    <row r="59" ht="14.1" customHeight="1" s="797" thickBot="1">
      <c r="A59" s="585" t="inlineStr">
        <is>
          <t>일상생활배상책임</t>
        </is>
      </c>
      <c r="B59" s="919" t="n"/>
      <c r="C59" s="920" t="n">
        <v>100000000</v>
      </c>
      <c r="D59" s="921" t="n"/>
      <c r="E59" s="920" t="n"/>
      <c r="F59" s="922" t="n"/>
      <c r="G59" s="920" t="n"/>
      <c r="H59" s="923" t="n"/>
      <c r="I59" s="920" t="n"/>
      <c r="J59" s="924" t="n"/>
      <c r="K59" s="920" t="n"/>
      <c r="L59" s="922" t="n"/>
      <c r="M59" s="920" t="n"/>
      <c r="N59" s="921" t="n"/>
      <c r="O59" s="925" t="n"/>
      <c r="P59" s="926" t="n"/>
      <c r="Q59" s="830" t="n"/>
      <c r="R59" s="585" t="inlineStr">
        <is>
          <t>일상생활배상책임</t>
        </is>
      </c>
      <c r="S59" s="919" t="n"/>
      <c r="T59" s="927">
        <f>C59+E59+G59+I59+K59+M59+O59</f>
        <v/>
      </c>
    </row>
    <row r="60" ht="14.1" customHeight="1" s="797">
      <c r="A60" s="928" t="inlineStr">
        <is>
          <t>기타</t>
        </is>
      </c>
      <c r="B60" s="929" t="n"/>
      <c r="C60" s="930" t="n"/>
      <c r="D60" s="850" t="n"/>
      <c r="E60" s="930" t="inlineStr">
        <is>
          <t>7대질병수술비</t>
        </is>
      </c>
      <c r="F60" s="931" t="inlineStr">
        <is>
          <t>250만</t>
        </is>
      </c>
      <c r="G60" s="930" t="n"/>
      <c r="H60" s="932" t="n"/>
      <c r="I60" s="930" t="n"/>
      <c r="J60" s="933" t="n"/>
      <c r="K60" s="930" t="n"/>
      <c r="L60" s="932" t="n"/>
      <c r="M60" s="930" t="n"/>
      <c r="N60" s="934" t="n"/>
      <c r="O60" s="930" t="n"/>
      <c r="P60" s="827" t="n"/>
      <c r="Q60" s="830" t="n"/>
      <c r="R60" s="935" t="inlineStr">
        <is>
          <t>기타</t>
        </is>
      </c>
      <c r="S60" s="936" t="n"/>
      <c r="T60" s="937" t="n"/>
    </row>
    <row r="61" ht="14.1" customHeight="1" s="797">
      <c r="A61" s="804" t="n"/>
      <c r="C61" s="938" t="n"/>
      <c r="D61" s="890" t="n"/>
      <c r="E61" s="938" t="inlineStr">
        <is>
          <t>항암방사선약물</t>
        </is>
      </c>
      <c r="F61" s="939" t="inlineStr">
        <is>
          <t>200만</t>
        </is>
      </c>
      <c r="G61" s="938" t="n"/>
      <c r="H61" s="931" t="n"/>
      <c r="I61" s="938" t="n"/>
      <c r="J61" s="940" t="n"/>
      <c r="K61" s="938" t="n"/>
      <c r="L61" s="931" t="n"/>
      <c r="M61" s="938" t="n"/>
      <c r="N61" s="941" t="n"/>
      <c r="O61" s="938" t="n"/>
      <c r="P61" s="837" t="n"/>
      <c r="Q61" s="830" t="n"/>
      <c r="R61" s="804" t="n"/>
      <c r="S61" s="804" t="n"/>
      <c r="T61" s="805" t="n"/>
    </row>
    <row r="62" ht="14.1" customHeight="1" s="797">
      <c r="A62" s="804" t="n"/>
      <c r="C62" s="938" t="n"/>
      <c r="D62" s="890" t="n"/>
      <c r="E62" s="938" t="n"/>
      <c r="F62" s="939" t="n"/>
      <c r="G62" s="938" t="n"/>
      <c r="H62" s="839" t="n"/>
      <c r="I62" s="938" t="n"/>
      <c r="J62" s="873" t="n"/>
      <c r="K62" s="938" t="n"/>
      <c r="L62" s="931" t="n"/>
      <c r="M62" s="938" t="n"/>
      <c r="N62" s="904" t="n"/>
      <c r="O62" s="938" t="n"/>
      <c r="P62" s="837" t="n"/>
      <c r="Q62" s="830" t="n"/>
      <c r="R62" s="804" t="n"/>
      <c r="S62" s="804" t="n"/>
      <c r="T62" s="805" t="n"/>
    </row>
    <row r="63" ht="14.1" customHeight="1" s="797" thickBot="1">
      <c r="A63" s="942" t="n"/>
      <c r="B63" s="943" t="n"/>
      <c r="C63" s="944" t="n"/>
      <c r="D63" s="884" t="n"/>
      <c r="E63" s="944" t="n"/>
      <c r="F63" s="945" t="n"/>
      <c r="G63" s="944" t="n"/>
      <c r="H63" s="885" t="n"/>
      <c r="I63" s="944" t="n"/>
      <c r="J63" s="899" t="n"/>
      <c r="K63" s="944" t="n"/>
      <c r="L63" s="900" t="n"/>
      <c r="M63" s="944" t="n"/>
      <c r="N63" s="848" t="n"/>
      <c r="O63" s="944" t="n"/>
      <c r="P63" s="846" t="n"/>
      <c r="Q63" s="830" t="n"/>
      <c r="R63" s="942" t="n"/>
      <c r="S63" s="942" t="n"/>
      <c r="T63" s="946" t="n"/>
    </row>
    <row r="64" ht="19.5" customHeight="1" s="797">
      <c r="A64" s="947">
        <f>A1</f>
        <v/>
      </c>
      <c r="B64" s="796" t="n"/>
      <c r="C64" s="649" t="n"/>
      <c r="D64" s="794" t="n"/>
      <c r="E64" s="649" t="n"/>
      <c r="F64" s="794" t="n"/>
      <c r="G64" s="649" t="n"/>
      <c r="H64" s="794" t="n"/>
      <c r="I64" s="649" t="n"/>
      <c r="J64" s="794" t="n"/>
      <c r="K64" s="649" t="n"/>
      <c r="L64" s="794" t="n"/>
      <c r="M64" s="649" t="n"/>
      <c r="N64" s="794" t="n"/>
      <c r="O64" s="649" t="n"/>
      <c r="P64" s="794" t="n"/>
      <c r="Q64" s="138" t="n"/>
      <c r="R64" s="795" t="inlineStr">
        <is>
          <t>평가 기준일</t>
        </is>
      </c>
      <c r="S64" s="796" t="n"/>
      <c r="T64" s="137">
        <f>T1</f>
        <v/>
      </c>
    </row>
    <row r="65" ht="14.1" customHeight="1" s="797">
      <c r="A65" s="647" t="inlineStr">
        <is>
          <t>상품명</t>
        </is>
      </c>
      <c r="B65" s="798" t="n"/>
      <c r="C65" s="645" t="n"/>
      <c r="D65" s="799" t="n"/>
      <c r="E65" s="645" t="n"/>
      <c r="F65" s="799" t="n"/>
      <c r="G65" s="645" t="n"/>
      <c r="H65" s="799" t="n"/>
      <c r="I65" s="645" t="n"/>
      <c r="J65" s="799" t="n"/>
      <c r="K65" s="645" t="n"/>
      <c r="L65" s="799" t="n"/>
      <c r="M65" s="645" t="n"/>
      <c r="N65" s="799" t="n"/>
      <c r="O65" s="645" t="n"/>
      <c r="P65" s="799" t="n"/>
      <c r="Q65" s="25" t="n"/>
      <c r="R65" s="948" t="n"/>
      <c r="S65" s="801" t="n"/>
      <c r="T65" s="802" t="n"/>
    </row>
    <row r="66" ht="14.1" customHeight="1" s="797">
      <c r="A66" s="647" t="inlineStr">
        <is>
          <t>계약자 / 피보험자</t>
        </is>
      </c>
      <c r="B66" s="798" t="n"/>
      <c r="C66" s="645" t="n"/>
      <c r="D66" s="799" t="n"/>
      <c r="E66" s="645" t="n"/>
      <c r="F66" s="799" t="n"/>
      <c r="G66" s="645" t="n"/>
      <c r="H66" s="799" t="n"/>
      <c r="I66" s="645" t="n"/>
      <c r="J66" s="799" t="n"/>
      <c r="K66" s="645" t="n"/>
      <c r="L66" s="799" t="n"/>
      <c r="M66" s="645" t="n"/>
      <c r="N66" s="799" t="n"/>
      <c r="O66" s="646" t="n"/>
      <c r="P66" s="799" t="n"/>
      <c r="Q66" s="25" t="n"/>
      <c r="R66" s="804" t="n"/>
      <c r="T66" s="805" t="n"/>
    </row>
    <row r="67" ht="14.1" customHeight="1" s="797">
      <c r="A67" s="647" t="inlineStr">
        <is>
          <t>계약일자</t>
        </is>
      </c>
      <c r="B67" s="798" t="n"/>
      <c r="C67" s="646" t="n"/>
      <c r="D67" s="799" t="n"/>
      <c r="E67" s="646" t="n"/>
      <c r="F67" s="799" t="n"/>
      <c r="G67" s="646" t="n"/>
      <c r="H67" s="799" t="n"/>
      <c r="I67" s="646" t="n"/>
      <c r="J67" s="799" t="n"/>
      <c r="K67" s="646" t="n"/>
      <c r="L67" s="799" t="n"/>
      <c r="M67" s="646" t="n"/>
      <c r="N67" s="799" t="n"/>
      <c r="O67" s="646" t="n"/>
      <c r="P67" s="799" t="n"/>
      <c r="Q67" s="25" t="n"/>
      <c r="R67" s="804" t="n"/>
      <c r="T67" s="805" t="n"/>
    </row>
    <row r="68" ht="14.1" customHeight="1" s="797">
      <c r="A68" s="647" t="inlineStr">
        <is>
          <t>납입기간 / 기납입기간</t>
        </is>
      </c>
      <c r="B68" s="798" t="n"/>
      <c r="C68" s="806" t="n"/>
      <c r="D68" s="807">
        <f>IF(DATEDIF(C67,$T$1,"m")&lt;C68*12,DATEDIF(C67,$T$1,"m"),C68*12)</f>
        <v/>
      </c>
      <c r="E68" s="806" t="n"/>
      <c r="F68" s="807">
        <f>IF(DATEDIF(E67,$T$1,"m")&lt;E68*12,DATEDIF(E67,$T$1,"m"),E68*12)</f>
        <v/>
      </c>
      <c r="G68" s="806" t="n"/>
      <c r="H68" s="807">
        <f>IF(DATEDIF(G67,$T$1,"m")&lt;G68*12,DATEDIF(G67,$T$1,"m"),G68*12)</f>
        <v/>
      </c>
      <c r="I68" s="806" t="n"/>
      <c r="J68" s="807">
        <f>IF(DATEDIF(I67,$T$1,"m")&lt;I68*12,DATEDIF(I67,$T$1,"m"),I68*12)</f>
        <v/>
      </c>
      <c r="K68" s="806" t="n"/>
      <c r="L68" s="807">
        <f>IF(DATEDIF(K67,$T$1,"m")&lt;K68*12,DATEDIF(K67,$T$1,"m"),K68*12)</f>
        <v/>
      </c>
      <c r="M68" s="806" t="n"/>
      <c r="N68" s="949">
        <f>IF(DATEDIF(M67,$T$1,"m")&lt;M68*12,DATEDIF(M67,$T$1,"m"),M68*12)</f>
        <v/>
      </c>
      <c r="O68" s="806" t="n"/>
      <c r="P68" s="807">
        <f>IF(DATEDIF(O67,$T$1,"m")&lt;O68*12,DATEDIF(O67,$T$1,"m"),O68*12)</f>
        <v/>
      </c>
      <c r="Q68" s="25" t="n"/>
      <c r="R68" s="804" t="n"/>
      <c r="T68" s="805" t="n"/>
    </row>
    <row r="69" ht="14.1" customHeight="1" s="797">
      <c r="A69" s="647" t="inlineStr">
        <is>
          <t>보장기간</t>
        </is>
      </c>
      <c r="B69" s="798" t="n"/>
      <c r="C69" s="645" t="n"/>
      <c r="D69" s="799" t="n"/>
      <c r="E69" s="645" t="n"/>
      <c r="F69" s="799" t="n"/>
      <c r="G69" s="645" t="n"/>
      <c r="H69" s="799" t="n"/>
      <c r="I69" s="645" t="n"/>
      <c r="J69" s="799" t="n"/>
      <c r="K69" s="645" t="n"/>
      <c r="L69" s="799" t="n"/>
      <c r="M69" s="645" t="n"/>
      <c r="N69" s="799" t="n"/>
      <c r="O69" s="645" t="n"/>
      <c r="P69" s="799" t="n"/>
      <c r="Q69" s="25" t="n"/>
      <c r="R69" s="808" t="n"/>
      <c r="S69" s="809" t="n"/>
      <c r="T69" s="810" t="n"/>
    </row>
    <row r="70" ht="14.1" customHeight="1" s="797">
      <c r="A70" s="632" t="inlineStr">
        <is>
          <t>비고 / 갱신종류</t>
        </is>
      </c>
      <c r="B70" s="811" t="n"/>
      <c r="C70" s="642" t="n"/>
      <c r="D70" s="799" t="n"/>
      <c r="E70" s="642" t="n"/>
      <c r="F70" s="799" t="n"/>
      <c r="G70" s="642" t="n"/>
      <c r="H70" s="799" t="n"/>
      <c r="I70" s="642" t="n"/>
      <c r="J70" s="799" t="n"/>
      <c r="K70" s="642" t="n"/>
      <c r="L70" s="799" t="n"/>
      <c r="M70" s="642" t="n"/>
      <c r="N70" s="799" t="n"/>
      <c r="O70" s="642" t="n"/>
      <c r="P70" s="799" t="n"/>
      <c r="Q70" s="25" t="n"/>
      <c r="R70" s="950" t="n"/>
      <c r="S70" s="798" t="n"/>
      <c r="T70" s="27" t="inlineStr">
        <is>
          <t>총 보장 (원)</t>
        </is>
      </c>
    </row>
    <row r="71" ht="14.1" customHeight="1" s="797">
      <c r="A71" s="639" t="inlineStr">
        <is>
          <t>월 보험료</t>
        </is>
      </c>
      <c r="B71" s="798" t="n"/>
      <c r="C71" s="813" t="n"/>
      <c r="D71" s="799" t="n"/>
      <c r="E71" s="813" t="n"/>
      <c r="F71" s="799" t="n"/>
      <c r="G71" s="813" t="n"/>
      <c r="H71" s="799" t="n"/>
      <c r="I71" s="813" t="n"/>
      <c r="J71" s="799" t="n"/>
      <c r="K71" s="813" t="n"/>
      <c r="L71" s="799" t="n"/>
      <c r="M71" s="813" t="n"/>
      <c r="N71" s="799" t="n"/>
      <c r="O71" s="813" t="n"/>
      <c r="P71" s="799" t="n"/>
      <c r="Q71" s="814" t="n"/>
      <c r="R71" s="647" t="inlineStr">
        <is>
          <t>합산 월 보험료</t>
        </is>
      </c>
      <c r="S71" s="798" t="n"/>
      <c r="T71" s="951">
        <f>T8+C71+E71+G71+I71+K71+O71</f>
        <v/>
      </c>
    </row>
    <row r="72" ht="14.1" customHeight="1" s="797">
      <c r="A72" s="647" t="inlineStr">
        <is>
          <t>보험료 총액</t>
        </is>
      </c>
      <c r="B72" s="798" t="n"/>
      <c r="C72" s="817">
        <f>C71*C68*12</f>
        <v/>
      </c>
      <c r="D72" s="799" t="n"/>
      <c r="E72" s="817">
        <f>E71*E68*12</f>
        <v/>
      </c>
      <c r="F72" s="799" t="n"/>
      <c r="G72" s="817">
        <f>G71*G68*12</f>
        <v/>
      </c>
      <c r="H72" s="799" t="n"/>
      <c r="I72" s="817">
        <f>I71*I68*12</f>
        <v/>
      </c>
      <c r="J72" s="799" t="n"/>
      <c r="K72" s="817">
        <f>K71*K68*12</f>
        <v/>
      </c>
      <c r="L72" s="799" t="n"/>
      <c r="M72" s="817">
        <f>M71*M68*12</f>
        <v/>
      </c>
      <c r="N72" s="799" t="n"/>
      <c r="O72" s="817">
        <f>O71*O68*12</f>
        <v/>
      </c>
      <c r="P72" s="799" t="n"/>
      <c r="Q72" s="814" t="n"/>
      <c r="R72" s="647" t="inlineStr">
        <is>
          <t>합산 보험료 총액</t>
        </is>
      </c>
      <c r="S72" s="798" t="n"/>
      <c r="T72" s="952">
        <f>T9+C72+E72+G72+I72+K72+O72</f>
        <v/>
      </c>
    </row>
    <row r="73" ht="14.1" customHeight="1" s="797">
      <c r="A73" s="647" t="inlineStr">
        <is>
          <t>기 납입금</t>
        </is>
      </c>
      <c r="B73" s="798" t="n"/>
      <c r="C73" s="817">
        <f>C71*D68</f>
        <v/>
      </c>
      <c r="D73" s="799" t="n"/>
      <c r="E73" s="817">
        <f>E71*F68</f>
        <v/>
      </c>
      <c r="F73" s="799" t="n"/>
      <c r="G73" s="817">
        <f>G71*H68</f>
        <v/>
      </c>
      <c r="H73" s="799" t="n"/>
      <c r="I73" s="817">
        <f>I71*J68</f>
        <v/>
      </c>
      <c r="J73" s="799" t="n"/>
      <c r="K73" s="817">
        <f>K71*L68</f>
        <v/>
      </c>
      <c r="L73" s="799" t="n"/>
      <c r="M73" s="817">
        <f>M71*N68</f>
        <v/>
      </c>
      <c r="N73" s="799" t="n"/>
      <c r="O73" s="817">
        <f>O71*P68</f>
        <v/>
      </c>
      <c r="P73" s="799" t="n"/>
      <c r="Q73" s="814" t="n"/>
      <c r="R73" s="647" t="inlineStr">
        <is>
          <t>합산 기 납입금</t>
        </is>
      </c>
      <c r="S73" s="798" t="n"/>
      <c r="T73" s="952">
        <f>T10+C73+E73+G73+I73+K73+O73</f>
        <v/>
      </c>
    </row>
    <row r="74" ht="14.1" customHeight="1" s="797" thickBot="1">
      <c r="A74" s="632" t="inlineStr">
        <is>
          <t>미 납입금</t>
        </is>
      </c>
      <c r="B74" s="811" t="n"/>
      <c r="C74" s="817">
        <f>C72-C73</f>
        <v/>
      </c>
      <c r="D74" s="799" t="n"/>
      <c r="E74" s="817">
        <f>E72-E73</f>
        <v/>
      </c>
      <c r="F74" s="799" t="n"/>
      <c r="G74" s="817">
        <f>G72-G73</f>
        <v/>
      </c>
      <c r="H74" s="799" t="n"/>
      <c r="I74" s="817">
        <f>I72-I73</f>
        <v/>
      </c>
      <c r="J74" s="799" t="n"/>
      <c r="K74" s="817">
        <f>K72-K73</f>
        <v/>
      </c>
      <c r="L74" s="799" t="n"/>
      <c r="M74" s="817">
        <f>M72-M73</f>
        <v/>
      </c>
      <c r="N74" s="799" t="n"/>
      <c r="O74" s="817">
        <f>O72-O73</f>
        <v/>
      </c>
      <c r="P74" s="799" t="n"/>
      <c r="Q74" s="814" t="n"/>
      <c r="R74" s="953" t="inlineStr">
        <is>
          <t>합산 미 납입금</t>
        </is>
      </c>
      <c r="S74" s="954" t="n"/>
      <c r="T74" s="955">
        <f>T11+C74+E74+G74+I74+K74+O74</f>
        <v/>
      </c>
    </row>
    <row r="75" ht="14.1" customHeight="1" s="797">
      <c r="A75" s="821" t="inlineStr">
        <is>
          <t>실비
(갱신)</t>
        </is>
      </c>
      <c r="B75" s="457" t="inlineStr">
        <is>
          <t>질병입원의료비</t>
        </is>
      </c>
      <c r="C75" s="828" t="n"/>
      <c r="D75" s="829" t="n"/>
      <c r="E75" s="828" t="n"/>
      <c r="F75" s="956" t="n"/>
      <c r="G75" s="828" t="n"/>
      <c r="H75" s="880" t="n"/>
      <c r="I75" s="828" t="n"/>
      <c r="J75" s="880" t="n"/>
      <c r="K75" s="828" t="n"/>
      <c r="L75" s="829" t="n"/>
      <c r="M75" s="828" t="n"/>
      <c r="N75" s="827" t="n"/>
      <c r="O75" s="826" t="n"/>
      <c r="P75" s="827" t="n"/>
      <c r="Q75" s="830" t="n"/>
      <c r="R75" s="821" t="inlineStr">
        <is>
          <t>실비
(갱신)</t>
        </is>
      </c>
      <c r="S75" s="352" t="inlineStr">
        <is>
          <t>질병입원의료비</t>
        </is>
      </c>
      <c r="T75" s="957">
        <f>T12+C75+E75+G75+I75+K75+M75+O75</f>
        <v/>
      </c>
    </row>
    <row r="76" ht="14.1" customHeight="1" s="797">
      <c r="A76" s="832" t="n"/>
      <c r="B76" s="458" t="inlineStr">
        <is>
          <t>질병통원의료비</t>
        </is>
      </c>
      <c r="C76" s="838" t="n"/>
      <c r="D76" s="839" t="n"/>
      <c r="E76" s="838" t="n"/>
      <c r="F76" s="958" t="n"/>
      <c r="G76" s="838" t="n"/>
      <c r="H76" s="894" t="n"/>
      <c r="I76" s="838" t="n"/>
      <c r="J76" s="894" t="n"/>
      <c r="K76" s="838" t="n"/>
      <c r="L76" s="839" t="n"/>
      <c r="M76" s="838" t="n"/>
      <c r="N76" s="837" t="n"/>
      <c r="O76" s="836" t="n"/>
      <c r="P76" s="837" t="n"/>
      <c r="Q76" s="830" t="n"/>
      <c r="R76" s="832" t="n"/>
      <c r="S76" s="353" t="inlineStr">
        <is>
          <t>질병통원의료비</t>
        </is>
      </c>
      <c r="T76" s="959">
        <f>T13+C76+E76+G76+I76+K76+M76+O76</f>
        <v/>
      </c>
    </row>
    <row r="77" ht="14.1" customHeight="1" s="797">
      <c r="A77" s="832" t="n"/>
      <c r="B77" s="458" t="inlineStr">
        <is>
          <t>상해입원의료비</t>
        </is>
      </c>
      <c r="C77" s="838" t="n"/>
      <c r="D77" s="839" t="n"/>
      <c r="E77" s="838" t="n"/>
      <c r="F77" s="958" t="n"/>
      <c r="G77" s="838" t="n"/>
      <c r="H77" s="894" t="n"/>
      <c r="I77" s="838" t="n"/>
      <c r="J77" s="894" t="n"/>
      <c r="K77" s="838" t="n"/>
      <c r="L77" s="839" t="n"/>
      <c r="M77" s="838" t="n"/>
      <c r="N77" s="837" t="n"/>
      <c r="O77" s="836" t="n"/>
      <c r="P77" s="837" t="n"/>
      <c r="Q77" s="830" t="n"/>
      <c r="R77" s="832" t="n"/>
      <c r="S77" s="353" t="inlineStr">
        <is>
          <t>상해입원의료비</t>
        </is>
      </c>
      <c r="T77" s="959">
        <f>T14+C77+E77+G77+I77+K77+M77+O77</f>
        <v/>
      </c>
    </row>
    <row r="78" ht="14.1" customHeight="1" s="797">
      <c r="A78" s="832" t="n"/>
      <c r="B78" s="458" t="inlineStr">
        <is>
          <t>상해통원의료비</t>
        </is>
      </c>
      <c r="C78" s="838" t="n"/>
      <c r="D78" s="839" t="n"/>
      <c r="E78" s="838" t="n"/>
      <c r="F78" s="958" t="n"/>
      <c r="G78" s="838" t="n"/>
      <c r="H78" s="894" t="n"/>
      <c r="I78" s="838" t="n"/>
      <c r="J78" s="894" t="n"/>
      <c r="K78" s="838" t="n"/>
      <c r="L78" s="839" t="n"/>
      <c r="M78" s="838" t="n"/>
      <c r="N78" s="837" t="n"/>
      <c r="O78" s="836" t="n"/>
      <c r="P78" s="837" t="n"/>
      <c r="Q78" s="830" t="n"/>
      <c r="R78" s="832" t="n"/>
      <c r="S78" s="353" t="inlineStr">
        <is>
          <t>상해통원의료비</t>
        </is>
      </c>
      <c r="T78" s="959">
        <f>T15+C78+E78+G78+I78+K78+M78+O78</f>
        <v/>
      </c>
    </row>
    <row r="79" ht="14.1" customHeight="1" s="797" thickBot="1">
      <c r="A79" s="841" t="n"/>
      <c r="B79" s="459" t="inlineStr">
        <is>
          <t>3대비급여 의료비</t>
        </is>
      </c>
      <c r="C79" s="847" t="n"/>
      <c r="D79" s="848" t="n"/>
      <c r="E79" s="847" t="n"/>
      <c r="F79" s="960" t="n"/>
      <c r="G79" s="847" t="n"/>
      <c r="H79" s="885" t="n"/>
      <c r="I79" s="847" t="n"/>
      <c r="J79" s="885" t="n"/>
      <c r="K79" s="847" t="n"/>
      <c r="L79" s="848" t="n"/>
      <c r="M79" s="847" t="n"/>
      <c r="N79" s="846" t="n"/>
      <c r="O79" s="845" t="n"/>
      <c r="P79" s="846" t="n"/>
      <c r="Q79" s="830" t="n"/>
      <c r="R79" s="841" t="n"/>
      <c r="S79" s="354" t="inlineStr">
        <is>
          <t>3대비급여 의료비</t>
        </is>
      </c>
      <c r="T79" s="959">
        <f>T16+C79+E79+G79+I79+K79+M79+O79</f>
        <v/>
      </c>
    </row>
    <row r="80" ht="14.1" customHeight="1" s="797">
      <c r="A80" s="624" t="inlineStr">
        <is>
          <t>암</t>
        </is>
      </c>
      <c r="B80" s="460" t="inlineStr">
        <is>
          <t>암진단</t>
        </is>
      </c>
      <c r="C80" s="828" t="n"/>
      <c r="D80" s="908" t="n"/>
      <c r="E80" s="828" t="n"/>
      <c r="F80" s="880" t="n"/>
      <c r="G80" s="828" t="n"/>
      <c r="H80" s="880" t="n"/>
      <c r="I80" s="828" t="n"/>
      <c r="J80" s="880" t="n"/>
      <c r="K80" s="828" t="n"/>
      <c r="L80" s="913" t="n"/>
      <c r="M80" s="828" t="n"/>
      <c r="N80" s="829" t="n"/>
      <c r="O80" s="828" t="n"/>
      <c r="P80" s="827" t="n"/>
      <c r="Q80" s="830" t="n"/>
      <c r="R80" s="626" t="inlineStr">
        <is>
          <t>암</t>
        </is>
      </c>
      <c r="S80" s="490" t="inlineStr">
        <is>
          <t>암진단비</t>
        </is>
      </c>
      <c r="T80" s="957">
        <f>T17+C80+E80+G80+I80+K80+M80+O80</f>
        <v/>
      </c>
    </row>
    <row r="81" ht="14.1" customHeight="1" s="797">
      <c r="A81" s="832" t="n"/>
      <c r="B81" s="481" t="inlineStr">
        <is>
          <t>유사암진단</t>
        </is>
      </c>
      <c r="C81" s="838" t="n"/>
      <c r="D81" s="873" t="n"/>
      <c r="E81" s="838" t="n"/>
      <c r="F81" s="852" t="n"/>
      <c r="G81" s="838" t="n"/>
      <c r="H81" s="852" t="n"/>
      <c r="I81" s="838" t="n"/>
      <c r="J81" s="852" t="n"/>
      <c r="K81" s="838" t="n"/>
      <c r="L81" s="914" t="n"/>
      <c r="M81" s="838" t="n"/>
      <c r="N81" s="853" t="n"/>
      <c r="O81" s="856" t="n"/>
      <c r="P81" s="857" t="n"/>
      <c r="Q81" s="830" t="n"/>
      <c r="R81" s="832" t="n"/>
      <c r="S81" s="491" t="inlineStr">
        <is>
          <t>유사암진단</t>
        </is>
      </c>
      <c r="T81" s="959">
        <f>T18+C81+E81+G81+I81+K81+M81+O81</f>
        <v/>
      </c>
    </row>
    <row r="82" ht="14.1" customHeight="1" s="797" thickBot="1">
      <c r="A82" s="832" t="n"/>
      <c r="B82" s="553" t="inlineStr">
        <is>
          <t>전이암진단</t>
        </is>
      </c>
      <c r="C82" s="847" t="n"/>
      <c r="D82" s="961" t="n"/>
      <c r="E82" s="847" t="n"/>
      <c r="F82" s="910" t="n"/>
      <c r="G82" s="847" t="n"/>
      <c r="H82" s="910" t="n"/>
      <c r="I82" s="847" t="n"/>
      <c r="J82" s="910" t="n"/>
      <c r="K82" s="847" t="n"/>
      <c r="L82" s="916" t="n"/>
      <c r="M82" s="909" t="n"/>
      <c r="N82" s="877" t="n"/>
      <c r="O82" s="909" t="n"/>
      <c r="P82" s="962" t="n"/>
      <c r="Q82" s="830" t="n"/>
      <c r="R82" s="832" t="n"/>
      <c r="S82" s="566" t="inlineStr">
        <is>
          <t>전이암진단</t>
        </is>
      </c>
      <c r="T82" s="963">
        <f>T19+C82+E82+G82+I82+K82+M82+O82</f>
        <v/>
      </c>
    </row>
    <row r="83" ht="14.1" customHeight="1" s="797">
      <c r="A83" s="832" t="n"/>
      <c r="B83" s="554" t="inlineStr">
        <is>
          <t>암수술</t>
        </is>
      </c>
      <c r="C83" s="856" t="n"/>
      <c r="D83" s="873" t="n"/>
      <c r="E83" s="856" t="n"/>
      <c r="F83" s="852" t="n"/>
      <c r="G83" s="856" t="n"/>
      <c r="H83" s="852" t="n"/>
      <c r="I83" s="856" t="n"/>
      <c r="J83" s="852" t="n"/>
      <c r="K83" s="856" t="n"/>
      <c r="L83" s="914" t="n"/>
      <c r="M83" s="856" t="n"/>
      <c r="N83" s="853" t="n"/>
      <c r="O83" s="856" t="n"/>
      <c r="P83" s="857" t="n"/>
      <c r="Q83" s="830" t="n"/>
      <c r="R83" s="832" t="n"/>
      <c r="S83" s="343" t="inlineStr">
        <is>
          <t>암수술</t>
        </is>
      </c>
      <c r="T83" s="964">
        <f>T20+C83+E83+G83+I83+K83+M83+O83</f>
        <v/>
      </c>
    </row>
    <row r="84" ht="14.1" customHeight="1" s="797">
      <c r="A84" s="832" t="n"/>
      <c r="B84" s="555" t="inlineStr">
        <is>
          <t>다빈치로봇수술</t>
        </is>
      </c>
      <c r="C84" s="838" t="n"/>
      <c r="D84" s="873" t="n"/>
      <c r="E84" s="838" t="n"/>
      <c r="F84" s="852" t="n"/>
      <c r="G84" s="838" t="n"/>
      <c r="H84" s="852" t="n"/>
      <c r="I84" s="838" t="n"/>
      <c r="J84" s="852" t="n"/>
      <c r="K84" s="838" t="n"/>
      <c r="L84" s="914" t="n"/>
      <c r="M84" s="856" t="n"/>
      <c r="N84" s="853" t="n"/>
      <c r="O84" s="856" t="n"/>
      <c r="P84" s="857" t="n"/>
      <c r="Q84" s="830" t="n"/>
      <c r="R84" s="832" t="n"/>
      <c r="S84" s="326" t="inlineStr">
        <is>
          <t>다빈치로봇수술</t>
        </is>
      </c>
      <c r="T84" s="959">
        <f>T21+C84+E84+G84+I84+K84+M84+O84</f>
        <v/>
      </c>
    </row>
    <row r="85" ht="14.1" customHeight="1" s="797">
      <c r="A85" s="832" t="n"/>
      <c r="B85" s="556" t="inlineStr">
        <is>
          <t>항암방사선</t>
        </is>
      </c>
      <c r="C85" s="838" t="n"/>
      <c r="D85" s="873" t="n"/>
      <c r="E85" s="838" t="n"/>
      <c r="F85" s="852" t="n"/>
      <c r="G85" s="838" t="n"/>
      <c r="H85" s="852" t="n"/>
      <c r="I85" s="838" t="n"/>
      <c r="J85" s="852" t="n"/>
      <c r="K85" s="838" t="n"/>
      <c r="L85" s="914" t="n"/>
      <c r="M85" s="856" t="n"/>
      <c r="N85" s="853" t="n"/>
      <c r="O85" s="856" t="n"/>
      <c r="P85" s="857" t="n"/>
      <c r="Q85" s="830" t="n"/>
      <c r="R85" s="832" t="n"/>
      <c r="S85" s="343" t="inlineStr">
        <is>
          <t>항암방사선</t>
        </is>
      </c>
      <c r="T85" s="959">
        <f>T22+C85+E85+G85+I85+K85+M85+O85</f>
        <v/>
      </c>
    </row>
    <row r="86" ht="14.1" customHeight="1" s="797">
      <c r="A86" s="832" t="n"/>
      <c r="B86" s="555" t="inlineStr">
        <is>
          <t>중입자방사선</t>
        </is>
      </c>
      <c r="C86" s="838" t="n"/>
      <c r="D86" s="873" t="n"/>
      <c r="E86" s="838" t="n"/>
      <c r="F86" s="852" t="n"/>
      <c r="G86" s="838" t="n"/>
      <c r="H86" s="852" t="n"/>
      <c r="I86" s="838" t="n"/>
      <c r="J86" s="852" t="n"/>
      <c r="K86" s="838" t="n"/>
      <c r="L86" s="914" t="n"/>
      <c r="M86" s="856" t="n"/>
      <c r="N86" s="853" t="n"/>
      <c r="O86" s="856" t="n"/>
      <c r="P86" s="857" t="n"/>
      <c r="Q86" s="830" t="n"/>
      <c r="R86" s="832" t="n"/>
      <c r="S86" s="326" t="inlineStr">
        <is>
          <t>중입자방사선</t>
        </is>
      </c>
      <c r="T86" s="959">
        <f>T23+C86+E86+G86+I86+K86+M86+O86</f>
        <v/>
      </c>
    </row>
    <row r="87" ht="14.1" customHeight="1" s="797">
      <c r="A87" s="832" t="n"/>
      <c r="B87" s="555" t="inlineStr">
        <is>
          <t>양성자방사선</t>
        </is>
      </c>
      <c r="C87" s="838" t="n"/>
      <c r="D87" s="873" t="n"/>
      <c r="E87" s="838" t="n"/>
      <c r="F87" s="852" t="n"/>
      <c r="G87" s="838" t="n"/>
      <c r="H87" s="852" t="n"/>
      <c r="I87" s="838" t="n"/>
      <c r="J87" s="852" t="n"/>
      <c r="K87" s="838" t="n"/>
      <c r="L87" s="914" t="n"/>
      <c r="M87" s="856" t="n"/>
      <c r="N87" s="853" t="n"/>
      <c r="O87" s="856" t="n"/>
      <c r="P87" s="857" t="n"/>
      <c r="Q87" s="830" t="n"/>
      <c r="R87" s="832" t="n"/>
      <c r="S87" s="326" t="inlineStr">
        <is>
          <t>양성자방사선</t>
        </is>
      </c>
      <c r="T87" s="959">
        <f>T24+C87+E87+G87+I87+K87+M87+O87</f>
        <v/>
      </c>
    </row>
    <row r="88" ht="14.1" customHeight="1" s="797">
      <c r="A88" s="832" t="n"/>
      <c r="B88" s="555" t="inlineStr">
        <is>
          <t>세기조절방사선</t>
        </is>
      </c>
      <c r="C88" s="838" t="n"/>
      <c r="D88" s="873" t="n"/>
      <c r="E88" s="838" t="n"/>
      <c r="F88" s="852" t="n"/>
      <c r="G88" s="838" t="n"/>
      <c r="H88" s="852" t="n"/>
      <c r="I88" s="838" t="n"/>
      <c r="J88" s="852" t="n"/>
      <c r="K88" s="838" t="n"/>
      <c r="L88" s="914" t="n"/>
      <c r="M88" s="856" t="n"/>
      <c r="N88" s="853" t="n"/>
      <c r="O88" s="856" t="n"/>
      <c r="P88" s="857" t="n"/>
      <c r="Q88" s="830" t="n"/>
      <c r="R88" s="832" t="n"/>
      <c r="S88" s="326" t="inlineStr">
        <is>
          <t>세기조절방사선</t>
        </is>
      </c>
      <c r="T88" s="959">
        <f>T25+C88+E88+G88+I88+K88+M88+O88</f>
        <v/>
      </c>
    </row>
    <row r="89" ht="14.1" customHeight="1" s="797">
      <c r="A89" s="832" t="n"/>
      <c r="B89" s="556" t="inlineStr">
        <is>
          <t>항암약물</t>
        </is>
      </c>
      <c r="C89" s="838" t="n"/>
      <c r="D89" s="873" t="n"/>
      <c r="E89" s="862" t="n"/>
      <c r="F89" s="853" t="n"/>
      <c r="G89" s="862" t="n"/>
      <c r="H89" s="852" t="n"/>
      <c r="I89" s="862" t="n"/>
      <c r="J89" s="852" t="n"/>
      <c r="K89" s="862" t="n"/>
      <c r="L89" s="914" t="n"/>
      <c r="M89" s="859" t="n"/>
      <c r="N89" s="853" t="n"/>
      <c r="O89" s="856" t="n"/>
      <c r="P89" s="857" t="n"/>
      <c r="Q89" s="830" t="n"/>
      <c r="R89" s="832" t="n"/>
      <c r="S89" s="343" t="inlineStr">
        <is>
          <t>항암약물</t>
        </is>
      </c>
      <c r="T89" s="959">
        <f>T26+C89+E89+G89+I89+K89+M89+O89</f>
        <v/>
      </c>
    </row>
    <row r="90" ht="14.1" customHeight="1" s="797">
      <c r="A90" s="832" t="n"/>
      <c r="B90" s="555" t="inlineStr">
        <is>
          <t>표적항암약물</t>
        </is>
      </c>
      <c r="C90" s="862" t="n"/>
      <c r="D90" s="882" t="n"/>
      <c r="E90" s="862" t="n"/>
      <c r="F90" s="853" t="n"/>
      <c r="G90" s="862" t="n"/>
      <c r="H90" s="852" t="n"/>
      <c r="I90" s="862" t="n"/>
      <c r="J90" s="852" t="n"/>
      <c r="K90" s="862" t="n"/>
      <c r="L90" s="914" t="n"/>
      <c r="M90" s="859" t="n"/>
      <c r="N90" s="853" t="n"/>
      <c r="O90" s="859" t="n"/>
      <c r="P90" s="864" t="n"/>
      <c r="Q90" s="830" t="n"/>
      <c r="R90" s="832" t="n"/>
      <c r="S90" s="326" t="inlineStr">
        <is>
          <t>표적항암약물</t>
        </is>
      </c>
      <c r="T90" s="959">
        <f>T27+C90+E90+G90+I90+K90+M90+O90</f>
        <v/>
      </c>
    </row>
    <row r="91" ht="14.1" customHeight="1" s="797" thickBot="1">
      <c r="A91" s="832" t="n"/>
      <c r="B91" s="557" t="inlineStr">
        <is>
          <t>면역항암약물</t>
        </is>
      </c>
      <c r="C91" s="847" t="n"/>
      <c r="D91" s="848" t="n"/>
      <c r="E91" s="847" t="n"/>
      <c r="F91" s="871" t="n"/>
      <c r="G91" s="847" t="n"/>
      <c r="H91" s="852" t="n"/>
      <c r="I91" s="847" t="n"/>
      <c r="J91" s="852" t="n"/>
      <c r="K91" s="847" t="n"/>
      <c r="L91" s="914" t="n"/>
      <c r="M91" s="847" t="n"/>
      <c r="N91" s="853" t="n"/>
      <c r="O91" s="845" t="n"/>
      <c r="P91" s="846" t="n"/>
      <c r="Q91" s="830" t="n"/>
      <c r="R91" s="832" t="n"/>
      <c r="S91" s="327" t="inlineStr">
        <is>
          <t>면역항암약물</t>
        </is>
      </c>
      <c r="T91" s="965">
        <f>T28+C91+E91+G91+I91+K91+M91+O91</f>
        <v/>
      </c>
    </row>
    <row r="92" ht="14.1" customHeight="1" s="797">
      <c r="A92" s="628" t="inlineStr">
        <is>
          <t>2대
질병</t>
        </is>
      </c>
      <c r="B92" s="461" t="inlineStr">
        <is>
          <t>뇌혈관진단</t>
        </is>
      </c>
      <c r="C92" s="838" t="n"/>
      <c r="D92" s="829" t="n"/>
      <c r="E92" s="838" t="n"/>
      <c r="F92" s="880" t="n"/>
      <c r="G92" s="838" t="n"/>
      <c r="H92" s="880" t="n"/>
      <c r="I92" s="838" t="n"/>
      <c r="J92" s="880" t="n"/>
      <c r="K92" s="838" t="n"/>
      <c r="L92" s="913" t="n"/>
      <c r="M92" s="828" t="n"/>
      <c r="N92" s="829" t="n"/>
      <c r="O92" s="836" t="n"/>
      <c r="P92" s="827" t="n"/>
      <c r="Q92" s="830" t="n"/>
      <c r="R92" s="630" t="inlineStr">
        <is>
          <t>2대
질병</t>
        </is>
      </c>
      <c r="S92" s="379" t="inlineStr">
        <is>
          <t>뇌혈관</t>
        </is>
      </c>
      <c r="T92" s="957">
        <f>T29+C92+E92+G92+I92+K92+M92+O92</f>
        <v/>
      </c>
    </row>
    <row r="93" ht="14.1" customHeight="1" s="797">
      <c r="A93" s="832" t="n"/>
      <c r="B93" s="462" t="inlineStr">
        <is>
          <t>뇌졸증진단</t>
        </is>
      </c>
      <c r="C93" s="838" t="n"/>
      <c r="D93" s="853" t="n"/>
      <c r="E93" s="856" t="n"/>
      <c r="F93" s="852" t="n"/>
      <c r="G93" s="838" t="n"/>
      <c r="H93" s="852" t="n"/>
      <c r="I93" s="838" t="n"/>
      <c r="J93" s="852" t="n"/>
      <c r="K93" s="838" t="n"/>
      <c r="L93" s="914" t="n"/>
      <c r="M93" s="856" t="n"/>
      <c r="N93" s="853" t="n"/>
      <c r="O93" s="836" t="n"/>
      <c r="P93" s="857" t="n"/>
      <c r="Q93" s="830" t="n"/>
      <c r="R93" s="832" t="n"/>
      <c r="S93" s="380" t="inlineStr">
        <is>
          <t>뇌졸증</t>
        </is>
      </c>
      <c r="T93" s="959">
        <f>T30+C93+E93+G93+I93+K93+M93+O93</f>
        <v/>
      </c>
    </row>
    <row r="94" ht="14.1" customHeight="1" s="797" thickBot="1">
      <c r="A94" s="832" t="n"/>
      <c r="B94" s="463" t="inlineStr">
        <is>
          <t>뇌출혈진단</t>
        </is>
      </c>
      <c r="C94" s="859" t="n"/>
      <c r="D94" s="860" t="n"/>
      <c r="E94" s="859" t="n"/>
      <c r="F94" s="863" t="n"/>
      <c r="G94" s="859" t="n"/>
      <c r="H94" s="863" t="n"/>
      <c r="I94" s="859" t="n"/>
      <c r="J94" s="863" t="n"/>
      <c r="K94" s="859" t="n"/>
      <c r="L94" s="915" t="n"/>
      <c r="M94" s="859" t="n"/>
      <c r="N94" s="860" t="n"/>
      <c r="O94" s="883" t="n"/>
      <c r="P94" s="864" t="n"/>
      <c r="Q94" s="830" t="n"/>
      <c r="R94" s="832" t="n"/>
      <c r="S94" s="381" t="inlineStr">
        <is>
          <t>뇌출혈</t>
        </is>
      </c>
      <c r="T94" s="963">
        <f>T31+C94+E94+G94+I94+K94+M94+O94</f>
        <v/>
      </c>
    </row>
    <row r="95" ht="14.1" customHeight="1" s="797">
      <c r="A95" s="832" t="n"/>
      <c r="B95" s="461" t="inlineStr">
        <is>
          <t>심장질환진단</t>
        </is>
      </c>
      <c r="C95" s="828" t="n"/>
      <c r="D95" s="829" t="n"/>
      <c r="E95" s="828" t="n"/>
      <c r="F95" s="880" t="n"/>
      <c r="G95" s="828" t="n"/>
      <c r="H95" s="880" t="n"/>
      <c r="I95" s="828" t="n"/>
      <c r="J95" s="880" t="n"/>
      <c r="K95" s="828" t="n"/>
      <c r="L95" s="913" t="n"/>
      <c r="M95" s="828" t="n"/>
      <c r="N95" s="829" t="n"/>
      <c r="O95" s="826" t="n"/>
      <c r="P95" s="827" t="n"/>
      <c r="Q95" s="830" t="n"/>
      <c r="R95" s="832" t="n"/>
      <c r="S95" s="358" t="inlineStr">
        <is>
          <t>심장질환</t>
        </is>
      </c>
      <c r="T95" s="964">
        <f>T32+C95+E95+G95+I95+K95+M95+O95</f>
        <v/>
      </c>
    </row>
    <row r="96" ht="14.1" customHeight="1" s="797">
      <c r="A96" s="832" t="n"/>
      <c r="B96" s="488" t="inlineStr">
        <is>
          <t>허혈성심장진단</t>
        </is>
      </c>
      <c r="C96" s="838" t="n"/>
      <c r="D96" s="853" t="n"/>
      <c r="E96" s="838" t="n"/>
      <c r="F96" s="852" t="n"/>
      <c r="G96" s="838" t="n"/>
      <c r="H96" s="852" t="n"/>
      <c r="I96" s="838" t="n"/>
      <c r="J96" s="852" t="n"/>
      <c r="K96" s="838" t="n"/>
      <c r="L96" s="914" t="n"/>
      <c r="M96" s="838" t="n"/>
      <c r="N96" s="853" t="n"/>
      <c r="O96" s="836" t="n"/>
      <c r="P96" s="857" t="n"/>
      <c r="Q96" s="830" t="n"/>
      <c r="R96" s="832" t="n"/>
      <c r="S96" s="359" t="inlineStr">
        <is>
          <t>허혈성심장</t>
        </is>
      </c>
      <c r="T96" s="959">
        <f>T33+C96+E96+G96+I96+K96+M96+O96</f>
        <v/>
      </c>
    </row>
    <row r="97" ht="14.1" customHeight="1" s="797" thickBot="1">
      <c r="A97" s="832" t="n"/>
      <c r="B97" s="489" t="inlineStr">
        <is>
          <t>급성심근경색진단</t>
        </is>
      </c>
      <c r="C97" s="847" t="n"/>
      <c r="D97" s="848" t="n"/>
      <c r="E97" s="847" t="n"/>
      <c r="F97" s="885" t="n"/>
      <c r="G97" s="847" t="n"/>
      <c r="H97" s="885" t="n"/>
      <c r="I97" s="847" t="n"/>
      <c r="J97" s="885" t="n"/>
      <c r="K97" s="847" t="n"/>
      <c r="L97" s="891" t="n"/>
      <c r="M97" s="847" t="n"/>
      <c r="N97" s="848" t="n"/>
      <c r="O97" s="845" t="n"/>
      <c r="P97" s="887" t="n"/>
      <c r="Q97" s="830" t="n"/>
      <c r="R97" s="832" t="n"/>
      <c r="S97" s="360" t="inlineStr">
        <is>
          <t>급성심근경색</t>
        </is>
      </c>
      <c r="T97" s="965">
        <f>T34+C97+E97+G97+I97+K97+M97+O97</f>
        <v/>
      </c>
    </row>
    <row r="98" ht="14.1" customHeight="1" s="797">
      <c r="A98" s="832" t="n"/>
      <c r="B98" s="461" t="inlineStr">
        <is>
          <t>수술/시술비</t>
        </is>
      </c>
      <c r="C98" s="828" t="n"/>
      <c r="D98" s="829" t="n"/>
      <c r="E98" s="828" t="n"/>
      <c r="F98" s="880" t="n"/>
      <c r="G98" s="828" t="n"/>
      <c r="H98" s="880" t="n"/>
      <c r="I98" s="828" t="n"/>
      <c r="J98" s="880" t="n"/>
      <c r="K98" s="828" t="n"/>
      <c r="L98" s="913" t="n"/>
      <c r="M98" s="828" t="n"/>
      <c r="N98" s="829" t="n"/>
      <c r="O98" s="826" t="n"/>
      <c r="P98" s="827" t="n"/>
      <c r="Q98" s="830" t="n"/>
      <c r="R98" s="832" t="n"/>
      <c r="S98" s="361" t="inlineStr">
        <is>
          <t>수술비</t>
        </is>
      </c>
      <c r="T98" s="957">
        <f>T35+C98+E98+G98+I98+K98+M98+O98</f>
        <v/>
      </c>
    </row>
    <row r="99" ht="14.1" customHeight="1" s="797">
      <c r="A99" s="832" t="n"/>
      <c r="B99" s="488" t="inlineStr">
        <is>
          <t>혈전용해치료</t>
        </is>
      </c>
      <c r="C99" s="838" t="n"/>
      <c r="D99" s="853" t="n"/>
      <c r="E99" s="838" t="n"/>
      <c r="F99" s="852" t="n"/>
      <c r="G99" s="838" t="n"/>
      <c r="H99" s="852" t="n"/>
      <c r="I99" s="838" t="n"/>
      <c r="J99" s="852" t="n"/>
      <c r="K99" s="838" t="n"/>
      <c r="L99" s="914" t="n"/>
      <c r="M99" s="838" t="n"/>
      <c r="N99" s="853" t="n"/>
      <c r="O99" s="836" t="n"/>
      <c r="P99" s="857" t="n"/>
      <c r="Q99" s="830" t="n"/>
      <c r="R99" s="832" t="n"/>
      <c r="S99" s="362" t="inlineStr">
        <is>
          <t>혈전용해치료</t>
        </is>
      </c>
      <c r="T99" s="959">
        <f>T36+C99+E99+G99+I99+K99+M99+O99</f>
        <v/>
      </c>
    </row>
    <row r="100" ht="14.1" customHeight="1" s="797" thickBot="1">
      <c r="A100" s="832" t="n"/>
      <c r="B100" s="489" t="inlineStr">
        <is>
          <t>혈전제거치료</t>
        </is>
      </c>
      <c r="C100" s="847" t="n"/>
      <c r="D100" s="848" t="n"/>
      <c r="E100" s="847" t="n"/>
      <c r="F100" s="885" t="n"/>
      <c r="G100" s="847" t="n"/>
      <c r="H100" s="885" t="n"/>
      <c r="I100" s="847" t="n"/>
      <c r="J100" s="885" t="n"/>
      <c r="K100" s="847" t="n"/>
      <c r="L100" s="891" t="n"/>
      <c r="M100" s="847" t="n"/>
      <c r="N100" s="848" t="n"/>
      <c r="O100" s="845" t="n"/>
      <c r="P100" s="887" t="n"/>
      <c r="Q100" s="830" t="n"/>
      <c r="R100" s="832" t="n"/>
      <c r="S100" s="363" t="inlineStr">
        <is>
          <t>중환자실치료</t>
        </is>
      </c>
      <c r="T100" s="963">
        <f>T37+C100+E100+G100+I100+K100+M100+O100</f>
        <v/>
      </c>
    </row>
    <row r="101" ht="14.1" customHeight="1" s="797">
      <c r="A101" s="892" t="inlineStr">
        <is>
          <t>후유장해</t>
        </is>
      </c>
      <c r="B101" s="464" t="inlineStr">
        <is>
          <t>질병 80% 이상</t>
        </is>
      </c>
      <c r="C101" s="828" t="n"/>
      <c r="D101" s="966" t="n"/>
      <c r="E101" s="828" t="n"/>
      <c r="F101" s="880" t="n"/>
      <c r="G101" s="828" t="n"/>
      <c r="H101" s="880" t="n"/>
      <c r="I101" s="828" t="n"/>
      <c r="J101" s="880" t="n"/>
      <c r="K101" s="828" t="n"/>
      <c r="L101" s="913" t="n"/>
      <c r="M101" s="828" t="n"/>
      <c r="N101" s="829" t="n"/>
      <c r="O101" s="826" t="n"/>
      <c r="P101" s="827" t="n"/>
      <c r="Q101" s="830" t="n"/>
      <c r="R101" s="892" t="inlineStr">
        <is>
          <t>후유장해</t>
        </is>
      </c>
      <c r="S101" s="364" t="inlineStr">
        <is>
          <t>질병 80% 이상</t>
        </is>
      </c>
      <c r="T101" s="964">
        <f>T38+C101+E101+G101+I101+K101+M101+O101</f>
        <v/>
      </c>
    </row>
    <row r="102" ht="14.1" customHeight="1" s="797">
      <c r="A102" s="832" t="n"/>
      <c r="B102" s="465" t="inlineStr">
        <is>
          <t>질병 3% ~80%</t>
        </is>
      </c>
      <c r="C102" s="838" t="n"/>
      <c r="D102" s="967" t="n"/>
      <c r="E102" s="838" t="n"/>
      <c r="F102" s="931" t="n"/>
      <c r="G102" s="838" t="n"/>
      <c r="H102" s="894" t="n"/>
      <c r="I102" s="838" t="n"/>
      <c r="J102" s="894" t="n"/>
      <c r="K102" s="838" t="n"/>
      <c r="L102" s="968" t="n"/>
      <c r="M102" s="838" t="n"/>
      <c r="N102" s="839" t="n"/>
      <c r="O102" s="836" t="n"/>
      <c r="P102" s="837" t="n"/>
      <c r="Q102" s="830" t="n"/>
      <c r="R102" s="832" t="n"/>
      <c r="S102" s="365" t="inlineStr">
        <is>
          <t>질병 3% ~80%</t>
        </is>
      </c>
      <c r="T102" s="959">
        <f>T39+C102+E102+G102+I102+K102+M102+O102</f>
        <v/>
      </c>
    </row>
    <row r="103" ht="14.1" customHeight="1" s="797">
      <c r="A103" s="832" t="n"/>
      <c r="B103" s="465" t="inlineStr">
        <is>
          <t>상해 80% 이상</t>
        </is>
      </c>
      <c r="C103" s="838" t="n"/>
      <c r="D103" s="902" t="n"/>
      <c r="E103" s="838" t="n"/>
      <c r="F103" s="902" t="n"/>
      <c r="G103" s="838" t="n"/>
      <c r="H103" s="839" t="n"/>
      <c r="I103" s="838" t="n"/>
      <c r="J103" s="839" t="n"/>
      <c r="K103" s="838" t="n"/>
      <c r="L103" s="968" t="n"/>
      <c r="M103" s="838" t="n"/>
      <c r="N103" s="839" t="n"/>
      <c r="O103" s="836" t="n"/>
      <c r="P103" s="837" t="n"/>
      <c r="Q103" s="830" t="n"/>
      <c r="R103" s="832" t="n"/>
      <c r="S103" s="365" t="inlineStr">
        <is>
          <t>상해 80% 이상</t>
        </is>
      </c>
      <c r="T103" s="959">
        <f>T40+C103+E103+G103+I103+K103+M103+O103</f>
        <v/>
      </c>
    </row>
    <row r="104" ht="14.1" customHeight="1" s="797" thickBot="1">
      <c r="A104" s="841" t="n"/>
      <c r="B104" s="466" t="inlineStr">
        <is>
          <t>상해 3% ~ 80%</t>
        </is>
      </c>
      <c r="C104" s="847" t="n"/>
      <c r="D104" s="899" t="n"/>
      <c r="E104" s="847" t="n"/>
      <c r="F104" s="899" t="n"/>
      <c r="G104" s="838" t="n"/>
      <c r="H104" s="848" t="n"/>
      <c r="I104" s="838" t="n"/>
      <c r="J104" s="848" t="n"/>
      <c r="K104" s="838" t="n"/>
      <c r="L104" s="891" t="n"/>
      <c r="M104" s="847" t="n"/>
      <c r="N104" s="848" t="n"/>
      <c r="O104" s="845" t="n"/>
      <c r="P104" s="846" t="n"/>
      <c r="Q104" s="830" t="n"/>
      <c r="R104" s="841" t="n"/>
      <c r="S104" s="366" t="inlineStr">
        <is>
          <t>상해 3% ~ 80%</t>
        </is>
      </c>
      <c r="T104" s="965">
        <f>T41+C104+E104+G104+I104+K104+M104+O104</f>
        <v/>
      </c>
    </row>
    <row r="105" ht="14.1" customHeight="1" s="797">
      <c r="A105" s="897" t="inlineStr">
        <is>
          <t>사망</t>
        </is>
      </c>
      <c r="B105" s="467" t="inlineStr">
        <is>
          <t>일반</t>
        </is>
      </c>
      <c r="C105" s="856" t="n"/>
      <c r="D105" s="939" t="n"/>
      <c r="E105" s="828" t="n"/>
      <c r="F105" s="880" t="n"/>
      <c r="G105" s="828" t="n"/>
      <c r="H105" s="829" t="n"/>
      <c r="I105" s="828" t="n"/>
      <c r="J105" s="829" t="n"/>
      <c r="K105" s="828" t="n"/>
      <c r="L105" s="913" t="n"/>
      <c r="M105" s="828" t="n"/>
      <c r="N105" s="829" t="n"/>
      <c r="O105" s="826" t="n"/>
      <c r="P105" s="827" t="n"/>
      <c r="Q105" s="830" t="n"/>
      <c r="R105" s="897" t="inlineStr">
        <is>
          <t>사망</t>
        </is>
      </c>
      <c r="S105" s="367" t="inlineStr">
        <is>
          <t>일반</t>
        </is>
      </c>
      <c r="T105" s="957">
        <f>T42+C105+E105+G105+I105+K105+M105+O105</f>
        <v/>
      </c>
    </row>
    <row r="106" ht="14.1" customHeight="1" s="797">
      <c r="A106" s="832" t="n"/>
      <c r="B106" s="468" t="inlineStr">
        <is>
          <t>질병</t>
        </is>
      </c>
      <c r="C106" s="838" t="n"/>
      <c r="D106" s="931" t="n"/>
      <c r="E106" s="838" t="n"/>
      <c r="F106" s="894" t="n"/>
      <c r="G106" s="838" t="n"/>
      <c r="H106" s="839" t="n"/>
      <c r="I106" s="838" t="n"/>
      <c r="J106" s="839" t="n"/>
      <c r="K106" s="838" t="n"/>
      <c r="L106" s="968" t="n"/>
      <c r="M106" s="838" t="n"/>
      <c r="N106" s="839" t="n"/>
      <c r="O106" s="836" t="n"/>
      <c r="P106" s="837" t="n"/>
      <c r="Q106" s="830" t="n"/>
      <c r="R106" s="832" t="n"/>
      <c r="S106" s="368" t="inlineStr">
        <is>
          <t>질병</t>
        </is>
      </c>
      <c r="T106" s="959">
        <f>T43+C106+E106+G106+I106+K106+M106+O106</f>
        <v/>
      </c>
    </row>
    <row r="107" ht="14.1" customHeight="1" s="797" thickBot="1">
      <c r="A107" s="841" t="n"/>
      <c r="B107" s="469" t="inlineStr">
        <is>
          <t>상해</t>
        </is>
      </c>
      <c r="C107" s="847" t="n"/>
      <c r="D107" s="900" t="n"/>
      <c r="E107" s="847" t="n"/>
      <c r="F107" s="885" t="n"/>
      <c r="G107" s="847" t="n"/>
      <c r="H107" s="848" t="n"/>
      <c r="I107" s="847" t="n"/>
      <c r="J107" s="848" t="n"/>
      <c r="K107" s="847" t="n"/>
      <c r="L107" s="891" t="n"/>
      <c r="M107" s="847" t="n"/>
      <c r="N107" s="848" t="n"/>
      <c r="O107" s="901" t="n"/>
      <c r="P107" s="857" t="n"/>
      <c r="Q107" s="830" t="n"/>
      <c r="R107" s="841" t="n"/>
      <c r="S107" s="369" t="inlineStr">
        <is>
          <t>상해</t>
        </is>
      </c>
      <c r="T107" s="963">
        <f>T44+C107+E107+G107+I107+K107+M107+O107</f>
        <v/>
      </c>
    </row>
    <row r="108" ht="14.1" customHeight="1" s="797">
      <c r="A108" s="617" t="inlineStr">
        <is>
          <t>수술비</t>
        </is>
      </c>
      <c r="B108" s="470" t="inlineStr">
        <is>
          <t>질병</t>
        </is>
      </c>
      <c r="C108" s="828" t="n"/>
      <c r="D108" s="908" t="n"/>
      <c r="E108" s="828" t="n"/>
      <c r="F108" s="852" t="n"/>
      <c r="G108" s="828" t="n"/>
      <c r="H108" s="853" t="n"/>
      <c r="I108" s="828" t="n"/>
      <c r="J108" s="853" t="n"/>
      <c r="K108" s="828" t="n"/>
      <c r="L108" s="913" t="n"/>
      <c r="M108" s="856" t="n"/>
      <c r="N108" s="853" t="n"/>
      <c r="O108" s="826" t="n"/>
      <c r="P108" s="827" t="n"/>
      <c r="Q108" s="830" t="n"/>
      <c r="R108" s="617" t="inlineStr">
        <is>
          <t>수술비</t>
        </is>
      </c>
      <c r="S108" s="480" t="inlineStr">
        <is>
          <t>질병</t>
        </is>
      </c>
      <c r="T108" s="964">
        <f>T45+C108+E108+G108+I108+K108+M108+O108</f>
        <v/>
      </c>
    </row>
    <row r="109" ht="14.1" customHeight="1" s="797">
      <c r="A109" s="832" t="n"/>
      <c r="B109" s="470" t="inlineStr">
        <is>
          <t>상해</t>
        </is>
      </c>
      <c r="C109" s="838" t="n"/>
      <c r="D109" s="902" t="n"/>
      <c r="E109" s="838" t="n"/>
      <c r="F109" s="894" t="n"/>
      <c r="G109" s="838" t="n"/>
      <c r="H109" s="839" t="n"/>
      <c r="I109" s="838" t="n"/>
      <c r="J109" s="839" t="n"/>
      <c r="K109" s="838" t="n"/>
      <c r="L109" s="968" t="n"/>
      <c r="M109" s="838" t="n"/>
      <c r="N109" s="853" t="n"/>
      <c r="O109" s="836" t="n"/>
      <c r="P109" s="837" t="n"/>
      <c r="Q109" s="830" t="n"/>
      <c r="R109" s="832" t="n"/>
      <c r="S109" s="480" t="inlineStr">
        <is>
          <t>상해</t>
        </is>
      </c>
      <c r="T109" s="959">
        <f>T46+C109+E109+G109+I109+K109+M109+O109</f>
        <v/>
      </c>
    </row>
    <row r="110" ht="14.1" customHeight="1" s="797">
      <c r="A110" s="832" t="n"/>
      <c r="B110" s="470" t="inlineStr">
        <is>
          <t>1-5종</t>
        </is>
      </c>
      <c r="C110" s="838" t="n"/>
      <c r="D110" s="902" t="n"/>
      <c r="E110" s="838" t="n"/>
      <c r="F110" s="852" t="n"/>
      <c r="G110" s="838" t="n"/>
      <c r="H110" s="853" t="n"/>
      <c r="I110" s="838" t="n"/>
      <c r="J110" s="853" t="n"/>
      <c r="K110" s="838" t="n"/>
      <c r="L110" s="914" t="n"/>
      <c r="M110" s="838" t="n"/>
      <c r="N110" s="853" t="n"/>
      <c r="O110" s="836" t="n"/>
      <c r="P110" s="837" t="n"/>
      <c r="Q110" s="830" t="n"/>
      <c r="R110" s="832" t="n"/>
      <c r="S110" s="480" t="inlineStr">
        <is>
          <t>1-5종</t>
        </is>
      </c>
      <c r="T110" s="959">
        <f>T47+C110+E110+G110+I110+K110+M110+O110</f>
        <v/>
      </c>
    </row>
    <row r="111" ht="14.1" customHeight="1" s="797" thickBot="1">
      <c r="A111" s="832" t="n"/>
      <c r="B111" s="471" t="inlineStr">
        <is>
          <t>N대질병</t>
        </is>
      </c>
      <c r="C111" s="862" t="n"/>
      <c r="D111" s="899" t="n"/>
      <c r="E111" s="862" t="n"/>
      <c r="F111" s="863" t="n"/>
      <c r="G111" s="862" t="n"/>
      <c r="H111" s="860" t="n"/>
      <c r="I111" s="862" t="n"/>
      <c r="J111" s="860" t="n"/>
      <c r="K111" s="862" t="n"/>
      <c r="L111" s="969" t="n"/>
      <c r="M111" s="862" t="n"/>
      <c r="N111" s="905" t="n"/>
      <c r="O111" s="907" t="n"/>
      <c r="P111" s="887" t="n"/>
      <c r="Q111" s="830" t="n"/>
      <c r="R111" s="832" t="n"/>
      <c r="S111" s="513" t="inlineStr">
        <is>
          <t>N대질병</t>
        </is>
      </c>
      <c r="T111" s="965">
        <f>T48+C111+E111+G111+I111+K111+M111+O111</f>
        <v/>
      </c>
    </row>
    <row r="112" ht="14.1" customHeight="1" s="797">
      <c r="A112" s="603" t="inlineStr">
        <is>
          <t>상해진단</t>
        </is>
      </c>
      <c r="B112" s="472" t="inlineStr">
        <is>
          <t>골절</t>
        </is>
      </c>
      <c r="C112" s="828" t="n"/>
      <c r="D112" s="908" t="n"/>
      <c r="E112" s="828" t="n"/>
      <c r="F112" s="880" t="n"/>
      <c r="G112" s="828" t="n"/>
      <c r="H112" s="829" t="n"/>
      <c r="I112" s="828" t="n"/>
      <c r="J112" s="829" t="n"/>
      <c r="K112" s="828" t="n"/>
      <c r="L112" s="913" t="n"/>
      <c r="M112" s="828" t="n"/>
      <c r="N112" s="829" t="n"/>
      <c r="O112" s="826" t="n"/>
      <c r="P112" s="827" t="n"/>
      <c r="Q112" s="830" t="n"/>
      <c r="R112" s="603" t="inlineStr">
        <is>
          <t>상해진단</t>
        </is>
      </c>
      <c r="S112" s="483" t="inlineStr">
        <is>
          <t>골절</t>
        </is>
      </c>
      <c r="T112" s="957">
        <f>T49+C112+E112+G112+I112+K112+M112+O112</f>
        <v/>
      </c>
    </row>
    <row r="113" ht="14.1" customHeight="1" s="797" thickBot="1">
      <c r="A113" s="832" t="n"/>
      <c r="B113" s="482" t="inlineStr">
        <is>
          <t>화상</t>
        </is>
      </c>
      <c r="C113" s="909" t="n"/>
      <c r="D113" s="970" t="n"/>
      <c r="E113" s="909" t="n"/>
      <c r="F113" s="885" t="n"/>
      <c r="G113" s="909" t="n"/>
      <c r="H113" s="848" t="n"/>
      <c r="I113" s="909" t="n"/>
      <c r="J113" s="848" t="n"/>
      <c r="K113" s="909" t="n"/>
      <c r="L113" s="916" t="n"/>
      <c r="M113" s="909" t="n"/>
      <c r="N113" s="877" t="n"/>
      <c r="O113" s="911" t="n"/>
      <c r="P113" s="846" t="n"/>
      <c r="Q113" s="830" t="n"/>
      <c r="R113" s="832" t="n"/>
      <c r="S113" s="503" t="inlineStr">
        <is>
          <t>화상</t>
        </is>
      </c>
      <c r="T113" s="963">
        <f>T50+C113+E113+G113+I113+K113+M113+O113</f>
        <v/>
      </c>
    </row>
    <row r="114" ht="14.1" customHeight="1" s="797">
      <c r="A114" s="605" t="inlineStr">
        <is>
          <t>입원비</t>
        </is>
      </c>
      <c r="B114" s="484" t="inlineStr">
        <is>
          <t>질병</t>
        </is>
      </c>
      <c r="C114" s="859" t="n"/>
      <c r="D114" s="971" t="n"/>
      <c r="E114" s="859" t="n"/>
      <c r="F114" s="863" t="n"/>
      <c r="G114" s="859" t="n"/>
      <c r="H114" s="860" t="n"/>
      <c r="I114" s="859" t="n"/>
      <c r="J114" s="860" t="n"/>
      <c r="K114" s="859" t="n"/>
      <c r="L114" s="915" t="n"/>
      <c r="M114" s="859" t="n"/>
      <c r="N114" s="860" t="n"/>
      <c r="O114" s="883" t="n"/>
      <c r="P114" s="864" t="n"/>
      <c r="Q114" s="830" t="n"/>
      <c r="R114" s="605" t="inlineStr">
        <is>
          <t>입원비</t>
        </is>
      </c>
      <c r="S114" s="486" t="inlineStr">
        <is>
          <t>질병</t>
        </is>
      </c>
      <c r="T114" s="959">
        <f>T51+C114+E114+G114+I114+K114+M114+O114</f>
        <v/>
      </c>
    </row>
    <row r="115" ht="14.1" customHeight="1" s="797" thickBot="1">
      <c r="A115" s="912" t="n"/>
      <c r="B115" s="485" t="inlineStr">
        <is>
          <t>상해</t>
        </is>
      </c>
      <c r="C115" s="859" t="n"/>
      <c r="D115" s="971" t="n"/>
      <c r="E115" s="859" t="n"/>
      <c r="F115" s="863" t="n"/>
      <c r="G115" s="859" t="n"/>
      <c r="H115" s="860" t="n"/>
      <c r="I115" s="859" t="n"/>
      <c r="J115" s="860" t="n"/>
      <c r="K115" s="859" t="n"/>
      <c r="L115" s="915" t="n"/>
      <c r="M115" s="859" t="n"/>
      <c r="N115" s="860" t="n"/>
      <c r="O115" s="883" t="n"/>
      <c r="P115" s="864" t="n"/>
      <c r="Q115" s="830" t="n"/>
      <c r="R115" s="912" t="n"/>
      <c r="S115" s="559" t="inlineStr">
        <is>
          <t>상해</t>
        </is>
      </c>
      <c r="T115" s="963">
        <f>T52+C115+E115+G115+I115+K115+M115+O115</f>
        <v/>
      </c>
    </row>
    <row r="116" ht="14.1" customHeight="1" s="797">
      <c r="A116" s="609" t="inlineStr">
        <is>
          <t>간병인</t>
        </is>
      </c>
      <c r="B116" s="473" t="inlineStr">
        <is>
          <t>병원사용</t>
        </is>
      </c>
      <c r="C116" s="828" t="n"/>
      <c r="D116" s="966" t="n"/>
      <c r="E116" s="828" t="n"/>
      <c r="F116" s="880" t="n"/>
      <c r="G116" s="828" t="n"/>
      <c r="H116" s="913" t="n"/>
      <c r="I116" s="828" t="n"/>
      <c r="J116" s="829" t="n"/>
      <c r="K116" s="828" t="n"/>
      <c r="L116" s="913" t="n"/>
      <c r="M116" s="828" t="n"/>
      <c r="N116" s="829" t="n"/>
      <c r="O116" s="826" t="n"/>
      <c r="P116" s="827" t="n"/>
      <c r="Q116" s="972" t="n"/>
      <c r="R116" s="973" t="inlineStr">
        <is>
          <t>간병인</t>
        </is>
      </c>
      <c r="S116" s="562" t="inlineStr">
        <is>
          <t>병원사용</t>
        </is>
      </c>
      <c r="T116" s="959">
        <f>T53+C116+E116+G116+I116+K116+M116+O116</f>
        <v/>
      </c>
    </row>
    <row r="117" ht="14.1" customHeight="1" s="797">
      <c r="A117" s="832" t="n"/>
      <c r="B117" s="474" t="inlineStr">
        <is>
          <t>요양병원사용</t>
        </is>
      </c>
      <c r="C117" s="859" t="n"/>
      <c r="D117" s="971" t="n"/>
      <c r="E117" s="859" t="n"/>
      <c r="F117" s="852" t="n"/>
      <c r="G117" s="859" t="n"/>
      <c r="H117" s="914" t="n"/>
      <c r="I117" s="859" t="n"/>
      <c r="J117" s="853" t="n"/>
      <c r="K117" s="859" t="n"/>
      <c r="L117" s="915" t="n"/>
      <c r="M117" s="859" t="n"/>
      <c r="N117" s="860" t="n"/>
      <c r="O117" s="883" t="n"/>
      <c r="P117" s="864" t="n"/>
      <c r="Q117" s="830" t="n"/>
      <c r="R117" s="832" t="n"/>
      <c r="S117" s="504" t="inlineStr">
        <is>
          <t>요양병원사용</t>
        </is>
      </c>
      <c r="T117" s="959">
        <f>T54+C117+E117+G117+I117+K117+M117+O117</f>
        <v/>
      </c>
    </row>
    <row r="118" ht="14.1" customHeight="1" s="797" thickBot="1">
      <c r="A118" s="841" t="n"/>
      <c r="B118" s="475" t="inlineStr">
        <is>
          <t>간호간병통합사용</t>
        </is>
      </c>
      <c r="C118" s="847" t="n"/>
      <c r="D118" s="974" t="n"/>
      <c r="E118" s="847" t="n"/>
      <c r="F118" s="852" t="n"/>
      <c r="G118" s="847" t="n"/>
      <c r="H118" s="914" t="n"/>
      <c r="I118" s="847" t="n"/>
      <c r="J118" s="853" t="n"/>
      <c r="K118" s="847" t="n"/>
      <c r="L118" s="891" t="n"/>
      <c r="M118" s="847" t="n"/>
      <c r="N118" s="848" t="n"/>
      <c r="O118" s="845" t="n"/>
      <c r="P118" s="846" t="n"/>
      <c r="Q118" s="830" t="n"/>
      <c r="R118" s="841" t="n"/>
      <c r="S118" s="505" t="inlineStr">
        <is>
          <t>간호간병통합사용</t>
        </is>
      </c>
      <c r="T118" s="959">
        <f>T53+C118+E118+G118+I118+K118+M118+O118</f>
        <v/>
      </c>
    </row>
    <row r="119" ht="14.1" customHeight="1" s="797">
      <c r="A119" s="917" t="inlineStr">
        <is>
          <t>운전자</t>
        </is>
      </c>
      <c r="B119" s="476" t="inlineStr">
        <is>
          <t>벌금</t>
        </is>
      </c>
      <c r="C119" s="828" t="n"/>
      <c r="D119" s="975" t="n"/>
      <c r="E119" s="826" t="n"/>
      <c r="F119" s="880" t="n"/>
      <c r="G119" s="828" t="n"/>
      <c r="H119" s="913" t="n"/>
      <c r="I119" s="828" t="n"/>
      <c r="J119" s="829" t="n"/>
      <c r="K119" s="828" t="n"/>
      <c r="L119" s="913" t="n"/>
      <c r="M119" s="828" t="n"/>
      <c r="N119" s="829" t="n"/>
      <c r="O119" s="836" t="n"/>
      <c r="P119" s="827" t="n"/>
      <c r="Q119" s="830" t="n"/>
      <c r="R119" s="917" t="inlineStr">
        <is>
          <t>운전자</t>
        </is>
      </c>
      <c r="S119" s="377" t="inlineStr">
        <is>
          <t>벌금</t>
        </is>
      </c>
      <c r="T119" s="957">
        <f>T56+C119+E119+G119+I119+K119+M119+O119</f>
        <v/>
      </c>
    </row>
    <row r="120" ht="14.1" customHeight="1" s="797">
      <c r="A120" s="832" t="n"/>
      <c r="B120" s="476" t="inlineStr">
        <is>
          <t>변호사선임</t>
        </is>
      </c>
      <c r="C120" s="838" t="n"/>
      <c r="D120" s="976" t="n"/>
      <c r="E120" s="836" t="n"/>
      <c r="F120" s="894" t="n"/>
      <c r="G120" s="838" t="n"/>
      <c r="H120" s="968" t="n"/>
      <c r="I120" s="838" t="n"/>
      <c r="J120" s="443" t="n"/>
      <c r="K120" s="838" t="n"/>
      <c r="L120" s="968" t="n"/>
      <c r="M120" s="838" t="n"/>
      <c r="N120" s="839" t="n"/>
      <c r="O120" s="836" t="n"/>
      <c r="P120" s="837" t="n"/>
      <c r="Q120" s="830" t="n"/>
      <c r="R120" s="832" t="n"/>
      <c r="S120" s="377" t="inlineStr">
        <is>
          <t>변호사선임</t>
        </is>
      </c>
      <c r="T120" s="959">
        <f>T57+C120+E120+G120+I120+K120+M120+O120</f>
        <v/>
      </c>
    </row>
    <row r="121" ht="14.1" customHeight="1" s="797" thickBot="1">
      <c r="A121" s="841" t="n"/>
      <c r="B121" s="477" t="inlineStr">
        <is>
          <t>교통사고처리지원</t>
        </is>
      </c>
      <c r="C121" s="856" t="n"/>
      <c r="D121" s="967" t="n"/>
      <c r="E121" s="901" t="n"/>
      <c r="F121" s="852" t="n"/>
      <c r="G121" s="856" t="n"/>
      <c r="H121" s="914" t="n"/>
      <c r="I121" s="856" t="n"/>
      <c r="J121" s="839" t="n"/>
      <c r="K121" s="856" t="n"/>
      <c r="L121" s="914" t="n"/>
      <c r="M121" s="856" t="n"/>
      <c r="N121" s="853" t="n"/>
      <c r="O121" s="836" t="n"/>
      <c r="P121" s="837" t="n"/>
      <c r="Q121" s="830" t="n"/>
      <c r="R121" s="841" t="n"/>
      <c r="S121" s="378" t="inlineStr">
        <is>
          <t>교통사고처리지원</t>
        </is>
      </c>
      <c r="T121" s="965">
        <f>T58+C121+E121+G121+I121+K121+M121+O121</f>
        <v/>
      </c>
    </row>
    <row r="122" ht="14.1" customHeight="1" s="797" thickBot="1">
      <c r="A122" s="585" t="inlineStr">
        <is>
          <t>일상생활배상책임</t>
        </is>
      </c>
      <c r="B122" s="919" t="n"/>
      <c r="C122" s="920" t="n"/>
      <c r="D122" s="977" t="n"/>
      <c r="E122" s="920" t="n"/>
      <c r="F122" s="922" t="n"/>
      <c r="G122" s="920" t="n"/>
      <c r="H122" s="978" t="n"/>
      <c r="I122" s="920" t="n"/>
      <c r="J122" s="923" t="n"/>
      <c r="K122" s="920" t="n"/>
      <c r="L122" s="978" t="n"/>
      <c r="M122" s="920" t="n"/>
      <c r="N122" s="923" t="n"/>
      <c r="O122" s="925" t="n"/>
      <c r="P122" s="926" t="n"/>
      <c r="Q122" s="830" t="n"/>
      <c r="R122" s="585" t="inlineStr">
        <is>
          <t>일상생활배상책임</t>
        </is>
      </c>
      <c r="S122" s="919" t="n"/>
      <c r="T122" s="965">
        <f>T59+C122+E122+G122+I122+K122+M122+O122</f>
        <v/>
      </c>
    </row>
    <row r="123" ht="14.1" customHeight="1" s="797">
      <c r="A123" s="928" t="inlineStr">
        <is>
          <t>기타</t>
        </is>
      </c>
      <c r="B123" s="929" t="n"/>
      <c r="C123" s="930" t="n"/>
      <c r="D123" s="829" t="n"/>
      <c r="E123" s="930" t="n"/>
      <c r="F123" s="839" t="n"/>
      <c r="G123" s="930" t="n"/>
      <c r="H123" s="913" t="n"/>
      <c r="I123" s="930" t="n"/>
      <c r="J123" s="979" t="n"/>
      <c r="K123" s="938" t="n"/>
      <c r="L123" s="913" t="n"/>
      <c r="M123" s="930" t="n"/>
      <c r="N123" s="914" t="n"/>
      <c r="O123" s="930" t="n"/>
      <c r="P123" s="827" t="n"/>
      <c r="Q123" s="830" t="n"/>
      <c r="R123" s="935" t="inlineStr">
        <is>
          <t>기타</t>
        </is>
      </c>
      <c r="S123" s="980" t="n"/>
      <c r="T123" s="937" t="n"/>
    </row>
    <row r="124" ht="14.1" customHeight="1" s="797">
      <c r="A124" s="804" t="n"/>
      <c r="C124" s="938" t="n"/>
      <c r="D124" s="839" t="n"/>
      <c r="E124" s="938" t="n"/>
      <c r="F124" s="853" t="n"/>
      <c r="G124" s="938" t="n"/>
      <c r="H124" s="968" t="n"/>
      <c r="I124" s="938" t="n"/>
      <c r="J124" s="839" t="n"/>
      <c r="K124" s="454" t="n"/>
      <c r="L124" s="968" t="n"/>
      <c r="M124" s="938" t="n"/>
      <c r="N124" s="968" t="n"/>
      <c r="O124" s="938" t="n"/>
      <c r="P124" s="837" t="n"/>
      <c r="Q124" s="830" t="n"/>
      <c r="R124" s="804" t="n"/>
      <c r="S124" s="804" t="n"/>
      <c r="T124" s="805" t="n"/>
    </row>
    <row r="125" ht="14.1" customHeight="1" s="797">
      <c r="A125" s="804" t="n"/>
      <c r="C125" s="938" t="n"/>
      <c r="D125" s="839" t="n"/>
      <c r="E125" s="938" t="n"/>
      <c r="F125" s="853" t="n"/>
      <c r="G125" s="938" t="n"/>
      <c r="H125" s="968" t="n"/>
      <c r="I125" s="938" t="n"/>
      <c r="J125" s="853" t="n"/>
      <c r="K125" s="938" t="n"/>
      <c r="L125" s="839" t="n"/>
      <c r="M125" s="938" t="n"/>
      <c r="N125" s="914" t="n"/>
      <c r="O125" s="938" t="n"/>
      <c r="P125" s="837" t="n"/>
      <c r="Q125" s="830" t="n"/>
      <c r="R125" s="804" t="n"/>
      <c r="S125" s="804" t="n"/>
      <c r="T125" s="805" t="n"/>
    </row>
    <row r="126" ht="14.1" customHeight="1" s="797" thickBot="1">
      <c r="A126" s="942" t="n"/>
      <c r="B126" s="943" t="n"/>
      <c r="C126" s="944" t="n"/>
      <c r="D126" s="848" t="n"/>
      <c r="E126" s="944" t="n"/>
      <c r="F126" s="981" t="n"/>
      <c r="G126" s="944" t="n"/>
      <c r="H126" s="891" t="n"/>
      <c r="I126" s="944" t="n"/>
      <c r="J126" s="885" t="n"/>
      <c r="K126" s="944" t="n"/>
      <c r="L126" s="885" t="n"/>
      <c r="M126" s="944" t="n"/>
      <c r="N126" s="848" t="n"/>
      <c r="O126" s="944" t="n"/>
      <c r="P126" s="846" t="n"/>
      <c r="Q126" s="830" t="n"/>
      <c r="R126" s="942" t="n"/>
      <c r="S126" s="942" t="n"/>
      <c r="T126" s="946" t="n"/>
    </row>
    <row r="127" ht="18.95" customHeight="1" s="797">
      <c r="A127" s="947">
        <f>A64</f>
        <v/>
      </c>
      <c r="B127" s="796" t="n"/>
      <c r="C127" s="649" t="n"/>
      <c r="D127" s="794" t="n"/>
      <c r="E127" s="649" t="n"/>
      <c r="F127" s="794" t="n"/>
      <c r="G127" s="649" t="n"/>
      <c r="H127" s="794" t="n"/>
      <c r="I127" s="649" t="n"/>
      <c r="J127" s="794" t="n"/>
      <c r="K127" s="649" t="n"/>
      <c r="L127" s="794" t="n"/>
      <c r="M127" s="649" t="n"/>
      <c r="N127" s="794" t="n"/>
      <c r="O127" s="649" t="n"/>
      <c r="P127" s="794" t="n"/>
      <c r="Q127" s="138" t="n"/>
      <c r="R127" s="795" t="inlineStr">
        <is>
          <t>평가 기준일</t>
        </is>
      </c>
      <c r="S127" s="796" t="n"/>
      <c r="T127" s="137">
        <f>T64</f>
        <v/>
      </c>
    </row>
    <row r="128" ht="14.1" customHeight="1" s="797">
      <c r="A128" s="647" t="inlineStr">
        <is>
          <t>상품명</t>
        </is>
      </c>
      <c r="B128" s="798" t="n"/>
      <c r="C128" s="645" t="n"/>
      <c r="D128" s="799" t="n"/>
      <c r="E128" s="645" t="n"/>
      <c r="F128" s="799" t="n"/>
      <c r="G128" s="645" t="n"/>
      <c r="H128" s="799" t="n"/>
      <c r="I128" s="645" t="n"/>
      <c r="J128" s="799" t="n"/>
      <c r="K128" s="645" t="n"/>
      <c r="L128" s="799" t="n"/>
      <c r="M128" s="645" t="n"/>
      <c r="N128" s="799" t="n"/>
      <c r="O128" s="645" t="n"/>
      <c r="P128" s="799" t="n"/>
      <c r="Q128" s="25" t="n"/>
      <c r="R128" s="948" t="n"/>
      <c r="S128" s="801" t="n"/>
      <c r="T128" s="802" t="n"/>
    </row>
    <row r="129" ht="14.1" customHeight="1" s="797">
      <c r="A129" s="647" t="inlineStr">
        <is>
          <t>계약자 / 피보험자</t>
        </is>
      </c>
      <c r="B129" s="798" t="n"/>
      <c r="C129" s="645" t="n"/>
      <c r="D129" s="799" t="n"/>
      <c r="E129" s="645" t="n"/>
      <c r="F129" s="799" t="n"/>
      <c r="G129" s="645" t="n"/>
      <c r="H129" s="799" t="n"/>
      <c r="I129" s="645" t="n"/>
      <c r="J129" s="799" t="n"/>
      <c r="K129" s="645" t="n"/>
      <c r="L129" s="799" t="n"/>
      <c r="M129" s="645" t="n"/>
      <c r="N129" s="799" t="n"/>
      <c r="O129" s="646" t="n"/>
      <c r="P129" s="799" t="n"/>
      <c r="Q129" s="25" t="n"/>
      <c r="R129" s="804" t="n"/>
      <c r="T129" s="805" t="n"/>
    </row>
    <row r="130" ht="14.1" customHeight="1" s="797">
      <c r="A130" s="647" t="inlineStr">
        <is>
          <t>계약일자</t>
        </is>
      </c>
      <c r="B130" s="798" t="n"/>
      <c r="C130" s="646" t="n"/>
      <c r="D130" s="799" t="n"/>
      <c r="E130" s="646" t="n"/>
      <c r="F130" s="799" t="n"/>
      <c r="G130" s="646" t="n"/>
      <c r="H130" s="799" t="n"/>
      <c r="I130" s="646" t="n"/>
      <c r="J130" s="799" t="n"/>
      <c r="K130" s="646" t="n"/>
      <c r="L130" s="799" t="n"/>
      <c r="M130" s="646" t="n"/>
      <c r="N130" s="799" t="n"/>
      <c r="O130" s="646" t="n"/>
      <c r="P130" s="799" t="n"/>
      <c r="Q130" s="25" t="n"/>
      <c r="R130" s="804" t="n"/>
      <c r="T130" s="805" t="n"/>
    </row>
    <row r="131" ht="14.1" customHeight="1" s="797">
      <c r="A131" s="647" t="inlineStr">
        <is>
          <t>납입기간 / 기납입기간</t>
        </is>
      </c>
      <c r="B131" s="798" t="n"/>
      <c r="C131" s="806" t="n"/>
      <c r="D131" s="807" t="n"/>
      <c r="E131" s="806" t="n"/>
      <c r="F131" s="807">
        <f>IF(DATEDIF(E130,$T$1,"m")&lt;E131*12,DATEDIF(E130,$T$1,"m"),E131*12)</f>
        <v/>
      </c>
      <c r="G131" s="806" t="n"/>
      <c r="H131" s="807">
        <f>IF(DATEDIF(G130,$T$1,"m")&lt;G131*12,DATEDIF(G130,$T$1,"m"),G131*12)</f>
        <v/>
      </c>
      <c r="I131" s="806" t="n"/>
      <c r="J131" s="807">
        <f>IF(DATEDIF(I130,$T$1,"m")&lt;I131*12,DATEDIF(I130,$T$1,"m"),I131*12)</f>
        <v/>
      </c>
      <c r="K131" s="806" t="n"/>
      <c r="L131" s="807">
        <f>IF(DATEDIF(K130,$T$1,"m")&lt;K131*12,DATEDIF(K130,$T$1,"m"),K131*12)</f>
        <v/>
      </c>
      <c r="M131" s="806" t="n"/>
      <c r="N131" s="949">
        <f>IF(DATEDIF(M130,$T$1,"m")&lt;M131*12,DATEDIF(M130,$T$1,"m"),M131*12)</f>
        <v/>
      </c>
      <c r="O131" s="806" t="n"/>
      <c r="P131" s="807">
        <f>IF(DATEDIF(O130,$T$1,"m")&lt;O131*12,DATEDIF(O130,$T$1,"m"),O131*12)</f>
        <v/>
      </c>
      <c r="Q131" s="25" t="n"/>
      <c r="R131" s="804" t="n"/>
      <c r="T131" s="805" t="n"/>
    </row>
    <row r="132" ht="14.1" customHeight="1" s="797">
      <c r="A132" s="647" t="inlineStr">
        <is>
          <t>보장기간</t>
        </is>
      </c>
      <c r="B132" s="798" t="n"/>
      <c r="C132" s="645" t="n"/>
      <c r="D132" s="799" t="n"/>
      <c r="E132" s="645" t="n"/>
      <c r="F132" s="799" t="n"/>
      <c r="G132" s="645" t="n"/>
      <c r="H132" s="799" t="n"/>
      <c r="I132" s="645" t="n"/>
      <c r="J132" s="799" t="n"/>
      <c r="K132" s="645" t="n"/>
      <c r="L132" s="799" t="n"/>
      <c r="M132" s="645" t="n"/>
      <c r="N132" s="799" t="n"/>
      <c r="O132" s="645" t="n"/>
      <c r="P132" s="799" t="n"/>
      <c r="Q132" s="25" t="n"/>
      <c r="R132" s="808" t="n"/>
      <c r="S132" s="809" t="n"/>
      <c r="T132" s="810" t="n"/>
    </row>
    <row r="133" ht="14.1" customHeight="1" s="797">
      <c r="A133" s="632" t="inlineStr">
        <is>
          <t>비고 / 갱신종류</t>
        </is>
      </c>
      <c r="B133" s="811" t="n"/>
      <c r="C133" s="642" t="n"/>
      <c r="D133" s="799" t="n"/>
      <c r="E133" s="642" t="n"/>
      <c r="F133" s="799" t="n"/>
      <c r="G133" s="642" t="n"/>
      <c r="H133" s="799" t="n"/>
      <c r="I133" s="642" t="n"/>
      <c r="J133" s="799" t="n"/>
      <c r="K133" s="642" t="n"/>
      <c r="L133" s="799" t="n"/>
      <c r="M133" s="642" t="n"/>
      <c r="N133" s="799" t="n"/>
      <c r="O133" s="642" t="n"/>
      <c r="P133" s="799" t="n"/>
      <c r="Q133" s="25" t="n"/>
      <c r="R133" s="950" t="n"/>
      <c r="S133" s="798" t="n"/>
      <c r="T133" s="27" t="inlineStr">
        <is>
          <t>총 보장 (원)</t>
        </is>
      </c>
    </row>
    <row r="134" ht="14.1" customHeight="1" s="797">
      <c r="A134" s="639" t="inlineStr">
        <is>
          <t>월 보험료</t>
        </is>
      </c>
      <c r="B134" s="798" t="n"/>
      <c r="C134" s="813" t="n"/>
      <c r="D134" s="799" t="n"/>
      <c r="E134" s="813" t="n"/>
      <c r="F134" s="799" t="n"/>
      <c r="G134" s="813" t="n"/>
      <c r="H134" s="799" t="n"/>
      <c r="I134" s="813" t="n"/>
      <c r="J134" s="799" t="n"/>
      <c r="K134" s="813" t="n"/>
      <c r="L134" s="799" t="n"/>
      <c r="M134" s="813" t="n"/>
      <c r="N134" s="799" t="n"/>
      <c r="O134" s="813" t="n"/>
      <c r="P134" s="799" t="n"/>
      <c r="Q134" s="814" t="n"/>
      <c r="R134" s="982" t="inlineStr">
        <is>
          <t>합산 월 보험료</t>
        </is>
      </c>
      <c r="S134" s="798" t="n"/>
      <c r="T134" s="951">
        <f>T71+C134+E134+G134+I134+K134+O134</f>
        <v/>
      </c>
    </row>
    <row r="135" ht="14.1" customHeight="1" s="797">
      <c r="A135" s="647" t="inlineStr">
        <is>
          <t>보험료 총액</t>
        </is>
      </c>
      <c r="B135" s="798" t="n"/>
      <c r="C135" s="817" t="n"/>
      <c r="D135" s="799" t="n"/>
      <c r="E135" s="817">
        <f>E134*E131*12</f>
        <v/>
      </c>
      <c r="F135" s="799" t="n"/>
      <c r="G135" s="817">
        <f>G134*G131*12</f>
        <v/>
      </c>
      <c r="H135" s="799" t="n"/>
      <c r="I135" s="817">
        <f>I134*I131*12</f>
        <v/>
      </c>
      <c r="J135" s="799" t="n"/>
      <c r="K135" s="817">
        <f>K134*K131*12</f>
        <v/>
      </c>
      <c r="L135" s="799" t="n"/>
      <c r="M135" s="817">
        <f>M134*M131*12</f>
        <v/>
      </c>
      <c r="N135" s="799" t="n"/>
      <c r="O135" s="817">
        <f>O134*O131*12</f>
        <v/>
      </c>
      <c r="P135" s="799" t="n"/>
      <c r="Q135" s="814" t="n"/>
      <c r="R135" s="982" t="inlineStr">
        <is>
          <t>합산 보험료 총액</t>
        </is>
      </c>
      <c r="S135" s="798" t="n"/>
      <c r="T135" s="952">
        <f>T72+C135+E135+G135+I135+K135+O135</f>
        <v/>
      </c>
    </row>
    <row r="136" ht="14.1" customHeight="1" s="797">
      <c r="A136" s="647" t="inlineStr">
        <is>
          <t>기 납입금</t>
        </is>
      </c>
      <c r="B136" s="798" t="n"/>
      <c r="C136" s="817" t="n"/>
      <c r="D136" s="799" t="n"/>
      <c r="E136" s="817">
        <f>E134*F131</f>
        <v/>
      </c>
      <c r="F136" s="799" t="n"/>
      <c r="G136" s="817">
        <f>G134*H131</f>
        <v/>
      </c>
      <c r="H136" s="799" t="n"/>
      <c r="I136" s="817">
        <f>I134*J131</f>
        <v/>
      </c>
      <c r="J136" s="799" t="n"/>
      <c r="K136" s="817">
        <f>K134*L131</f>
        <v/>
      </c>
      <c r="L136" s="799" t="n"/>
      <c r="M136" s="817">
        <f>M134*N131</f>
        <v/>
      </c>
      <c r="N136" s="799" t="n"/>
      <c r="O136" s="817">
        <f>O134*P131</f>
        <v/>
      </c>
      <c r="P136" s="799" t="n"/>
      <c r="Q136" s="814" t="n"/>
      <c r="R136" s="982" t="inlineStr">
        <is>
          <t>합산 기 납입금</t>
        </is>
      </c>
      <c r="S136" s="798" t="n"/>
      <c r="T136" s="952">
        <f>T73+C136+E136+G136+I136+K136+O136</f>
        <v/>
      </c>
    </row>
    <row r="137" ht="14.1" customHeight="1" s="797" thickBot="1">
      <c r="A137" s="632" t="inlineStr">
        <is>
          <t>미 납입금</t>
        </is>
      </c>
      <c r="B137" s="811" t="n"/>
      <c r="C137" s="817" t="n"/>
      <c r="D137" s="799" t="n"/>
      <c r="E137" s="817">
        <f>E135-E136</f>
        <v/>
      </c>
      <c r="F137" s="799" t="n"/>
      <c r="G137" s="817">
        <f>G135-G136</f>
        <v/>
      </c>
      <c r="H137" s="799" t="n"/>
      <c r="I137" s="817">
        <f>I135-I136</f>
        <v/>
      </c>
      <c r="J137" s="799" t="n"/>
      <c r="K137" s="817">
        <f>K135-K136</f>
        <v/>
      </c>
      <c r="L137" s="799" t="n"/>
      <c r="M137" s="817">
        <f>M135-M136</f>
        <v/>
      </c>
      <c r="N137" s="799" t="n"/>
      <c r="O137" s="817">
        <f>O135-O136</f>
        <v/>
      </c>
      <c r="P137" s="799" t="n"/>
      <c r="Q137" s="814" t="n"/>
      <c r="R137" s="983" t="inlineStr">
        <is>
          <t>합산 미 납입금</t>
        </is>
      </c>
      <c r="S137" s="954" t="n"/>
      <c r="T137" s="955">
        <f>T74+C137+E137+G137+I137+K137+O137</f>
        <v/>
      </c>
    </row>
    <row r="138" ht="14.1" customHeight="1" s="797">
      <c r="A138" s="821" t="inlineStr">
        <is>
          <t>실비
(갱신)</t>
        </is>
      </c>
      <c r="B138" s="457" t="inlineStr">
        <is>
          <t>질병입원의료비</t>
        </is>
      </c>
      <c r="C138" s="828" t="n"/>
      <c r="D138" s="829" t="n"/>
      <c r="E138" s="828" t="n"/>
      <c r="F138" s="956" t="n"/>
      <c r="G138" s="828" t="n"/>
      <c r="H138" s="880" t="n"/>
      <c r="I138" s="828" t="n"/>
      <c r="J138" s="880" t="n"/>
      <c r="K138" s="828" t="n"/>
      <c r="L138" s="829" t="n"/>
      <c r="M138" s="828" t="n"/>
      <c r="N138" s="827" t="n"/>
      <c r="O138" s="826" t="n"/>
      <c r="P138" s="827" t="n"/>
      <c r="Q138" s="830" t="n"/>
      <c r="R138" s="821" t="inlineStr">
        <is>
          <t>실비
(갱신)</t>
        </is>
      </c>
      <c r="S138" s="352" t="inlineStr">
        <is>
          <t>질병입원의료비</t>
        </is>
      </c>
      <c r="T138" s="957">
        <f>T75+C138+E138+G138+I138+K138+M138+O138</f>
        <v/>
      </c>
    </row>
    <row r="139" ht="14.1" customHeight="1" s="797">
      <c r="A139" s="832" t="n"/>
      <c r="B139" s="458" t="inlineStr">
        <is>
          <t>질병통원의료비</t>
        </is>
      </c>
      <c r="C139" s="838" t="n"/>
      <c r="D139" s="839" t="n"/>
      <c r="E139" s="838" t="n"/>
      <c r="F139" s="958" t="n"/>
      <c r="G139" s="838" t="n"/>
      <c r="H139" s="894" t="n"/>
      <c r="I139" s="838" t="n"/>
      <c r="J139" s="894" t="n"/>
      <c r="K139" s="838" t="n"/>
      <c r="L139" s="839" t="n"/>
      <c r="M139" s="838" t="n"/>
      <c r="N139" s="837" t="n"/>
      <c r="O139" s="836" t="n"/>
      <c r="P139" s="837" t="n"/>
      <c r="Q139" s="830" t="n"/>
      <c r="R139" s="832" t="n"/>
      <c r="S139" s="353" t="inlineStr">
        <is>
          <t>질병통원의료비</t>
        </is>
      </c>
      <c r="T139" s="959">
        <f>T76+C139+E139+G139+I139+K139+M139+O139</f>
        <v/>
      </c>
    </row>
    <row r="140" ht="14.1" customHeight="1" s="797">
      <c r="A140" s="832" t="n"/>
      <c r="B140" s="458" t="inlineStr">
        <is>
          <t>상해입원의료비</t>
        </is>
      </c>
      <c r="C140" s="838" t="n"/>
      <c r="D140" s="839" t="n"/>
      <c r="E140" s="838" t="n"/>
      <c r="F140" s="958" t="n"/>
      <c r="G140" s="838" t="n"/>
      <c r="H140" s="894" t="n"/>
      <c r="I140" s="838" t="n"/>
      <c r="J140" s="894" t="n"/>
      <c r="K140" s="838" t="n"/>
      <c r="L140" s="839" t="n"/>
      <c r="M140" s="838" t="n"/>
      <c r="N140" s="837" t="n"/>
      <c r="O140" s="836" t="n"/>
      <c r="P140" s="837" t="n"/>
      <c r="Q140" s="830" t="n"/>
      <c r="R140" s="832" t="n"/>
      <c r="S140" s="353" t="inlineStr">
        <is>
          <t>상해입원의료비</t>
        </is>
      </c>
      <c r="T140" s="959">
        <f>T77+C140+E140+G140+I140+K140+M140+O140</f>
        <v/>
      </c>
    </row>
    <row r="141" ht="14.1" customHeight="1" s="797">
      <c r="A141" s="832" t="n"/>
      <c r="B141" s="458" t="inlineStr">
        <is>
          <t>상해통원의료비</t>
        </is>
      </c>
      <c r="C141" s="838" t="n"/>
      <c r="D141" s="839" t="n"/>
      <c r="E141" s="838" t="n"/>
      <c r="F141" s="958" t="n"/>
      <c r="G141" s="838" t="n"/>
      <c r="H141" s="894" t="n"/>
      <c r="I141" s="838" t="n"/>
      <c r="J141" s="894" t="n"/>
      <c r="K141" s="838" t="n"/>
      <c r="L141" s="839" t="n"/>
      <c r="M141" s="838" t="n"/>
      <c r="N141" s="837" t="n"/>
      <c r="O141" s="836" t="n"/>
      <c r="P141" s="837" t="n"/>
      <c r="Q141" s="830" t="n"/>
      <c r="R141" s="832" t="n"/>
      <c r="S141" s="353" t="inlineStr">
        <is>
          <t>상해통원의료비</t>
        </is>
      </c>
      <c r="T141" s="959">
        <f>T78+C141+E141+G141+I141+K141+M141+O141</f>
        <v/>
      </c>
    </row>
    <row r="142" ht="14.1" customHeight="1" s="797" thickBot="1">
      <c r="A142" s="841" t="n"/>
      <c r="B142" s="459" t="inlineStr">
        <is>
          <t>3대비급여 의료비</t>
        </is>
      </c>
      <c r="C142" s="847" t="n"/>
      <c r="D142" s="848" t="n"/>
      <c r="E142" s="847" t="n"/>
      <c r="F142" s="960" t="n"/>
      <c r="G142" s="847" t="n"/>
      <c r="H142" s="885" t="n"/>
      <c r="I142" s="847" t="n"/>
      <c r="J142" s="885" t="n"/>
      <c r="K142" s="847" t="n"/>
      <c r="L142" s="848" t="n"/>
      <c r="M142" s="847" t="n"/>
      <c r="N142" s="846" t="n"/>
      <c r="O142" s="845" t="n"/>
      <c r="P142" s="846" t="n"/>
      <c r="Q142" s="830" t="n"/>
      <c r="R142" s="841" t="n"/>
      <c r="S142" s="354" t="inlineStr">
        <is>
          <t>3대비급여 의료비</t>
        </is>
      </c>
      <c r="T142" s="963">
        <f>T79+C142+E142+G142+I142+K142+M142+O142</f>
        <v/>
      </c>
    </row>
    <row r="143" ht="14.1" customHeight="1" s="797">
      <c r="A143" s="624" t="inlineStr">
        <is>
          <t>암</t>
        </is>
      </c>
      <c r="B143" s="460" t="inlineStr">
        <is>
          <t>암진단</t>
        </is>
      </c>
      <c r="C143" s="828" t="n"/>
      <c r="D143" s="908" t="n"/>
      <c r="E143" s="828" t="n"/>
      <c r="F143" s="880" t="n"/>
      <c r="G143" s="828" t="n"/>
      <c r="H143" s="880" t="n"/>
      <c r="I143" s="828" t="n"/>
      <c r="J143" s="880" t="n"/>
      <c r="K143" s="828" t="n"/>
      <c r="L143" s="913" t="n"/>
      <c r="M143" s="828" t="n"/>
      <c r="N143" s="829" t="n"/>
      <c r="O143" s="828" t="n"/>
      <c r="P143" s="827" t="n"/>
      <c r="Q143" s="830" t="n"/>
      <c r="R143" s="626" t="inlineStr">
        <is>
          <t>암</t>
        </is>
      </c>
      <c r="S143" s="490" t="inlineStr">
        <is>
          <t>암진단비</t>
        </is>
      </c>
      <c r="T143" s="957">
        <f>T80+C143+E143+G143+I143+K143+M143+O143</f>
        <v/>
      </c>
    </row>
    <row r="144" ht="14.1" customHeight="1" s="797">
      <c r="A144" s="832" t="n"/>
      <c r="B144" s="481" t="inlineStr">
        <is>
          <t>유사암진단</t>
        </is>
      </c>
      <c r="C144" s="838" t="n"/>
      <c r="D144" s="873" t="n"/>
      <c r="E144" s="838" t="n"/>
      <c r="F144" s="852" t="n"/>
      <c r="G144" s="838" t="n"/>
      <c r="H144" s="852" t="n"/>
      <c r="I144" s="838" t="n"/>
      <c r="J144" s="852" t="n"/>
      <c r="K144" s="838" t="n"/>
      <c r="L144" s="914" t="n"/>
      <c r="M144" s="838" t="n"/>
      <c r="N144" s="853" t="n"/>
      <c r="O144" s="856" t="n"/>
      <c r="P144" s="857" t="n"/>
      <c r="Q144" s="830" t="n"/>
      <c r="R144" s="832" t="n"/>
      <c r="S144" s="491" t="inlineStr">
        <is>
          <t>유사암진단</t>
        </is>
      </c>
      <c r="T144" s="959">
        <f>T81+C144+E144+G144+I144+K144+M144+O144</f>
        <v/>
      </c>
    </row>
    <row r="145" ht="14.1" customHeight="1" s="797" thickBot="1">
      <c r="A145" s="832" t="n"/>
      <c r="B145" s="553" t="inlineStr">
        <is>
          <t>전이암진단</t>
        </is>
      </c>
      <c r="C145" s="847" t="n"/>
      <c r="D145" s="961" t="n"/>
      <c r="E145" s="847" t="n"/>
      <c r="F145" s="910" t="n"/>
      <c r="G145" s="847" t="n"/>
      <c r="H145" s="910" t="n"/>
      <c r="I145" s="847" t="n"/>
      <c r="J145" s="910" t="n"/>
      <c r="K145" s="847" t="n"/>
      <c r="L145" s="916" t="n"/>
      <c r="M145" s="909" t="n"/>
      <c r="N145" s="877" t="n"/>
      <c r="O145" s="909" t="n"/>
      <c r="P145" s="962" t="n"/>
      <c r="Q145" s="830" t="n"/>
      <c r="R145" s="832" t="n"/>
      <c r="S145" s="566" t="inlineStr">
        <is>
          <t>전이암진단</t>
        </is>
      </c>
      <c r="T145" s="963">
        <f>T82+C145+E145+G145+I145+K145+M145+O145</f>
        <v/>
      </c>
    </row>
    <row r="146" ht="14.1" customHeight="1" s="797">
      <c r="A146" s="832" t="n"/>
      <c r="B146" s="554" t="inlineStr">
        <is>
          <t>암수술</t>
        </is>
      </c>
      <c r="C146" s="856" t="n"/>
      <c r="D146" s="873" t="n"/>
      <c r="E146" s="856" t="n"/>
      <c r="F146" s="852" t="n"/>
      <c r="G146" s="856" t="n"/>
      <c r="H146" s="852" t="n"/>
      <c r="I146" s="856" t="n"/>
      <c r="J146" s="852" t="n"/>
      <c r="K146" s="856" t="n"/>
      <c r="L146" s="914" t="n"/>
      <c r="M146" s="856" t="n"/>
      <c r="N146" s="853" t="n"/>
      <c r="O146" s="856" t="n"/>
      <c r="P146" s="857" t="n"/>
      <c r="Q146" s="830" t="n"/>
      <c r="R146" s="832" t="n"/>
      <c r="S146" s="343" t="inlineStr">
        <is>
          <t>암수술</t>
        </is>
      </c>
      <c r="T146" s="957">
        <f>T83+C146+E146+G146+I146+K146+M146+O146</f>
        <v/>
      </c>
    </row>
    <row r="147" ht="14.1" customHeight="1" s="797">
      <c r="A147" s="832" t="n"/>
      <c r="B147" s="555" t="inlineStr">
        <is>
          <t>다빈치로봇수술</t>
        </is>
      </c>
      <c r="C147" s="838" t="n"/>
      <c r="D147" s="873" t="n"/>
      <c r="E147" s="838" t="n"/>
      <c r="F147" s="852" t="n"/>
      <c r="G147" s="838" t="n"/>
      <c r="H147" s="852" t="n"/>
      <c r="I147" s="838" t="n"/>
      <c r="J147" s="852" t="n"/>
      <c r="K147" s="838" t="n"/>
      <c r="L147" s="914" t="n"/>
      <c r="M147" s="856" t="n"/>
      <c r="N147" s="853" t="n"/>
      <c r="O147" s="856" t="n"/>
      <c r="P147" s="857" t="n"/>
      <c r="Q147" s="830" t="n"/>
      <c r="R147" s="832" t="n"/>
      <c r="S147" s="326" t="inlineStr">
        <is>
          <t>다빈치로봇수술</t>
        </is>
      </c>
      <c r="T147" s="959">
        <f>T84+C147+E147+G147+I147+K147+M147+O147</f>
        <v/>
      </c>
    </row>
    <row r="148" ht="14.1" customHeight="1" s="797">
      <c r="A148" s="832" t="n"/>
      <c r="B148" s="556" t="inlineStr">
        <is>
          <t>항암방사선</t>
        </is>
      </c>
      <c r="C148" s="838" t="n"/>
      <c r="D148" s="873" t="n"/>
      <c r="E148" s="838" t="n"/>
      <c r="F148" s="852" t="n"/>
      <c r="G148" s="838" t="n"/>
      <c r="H148" s="852" t="n"/>
      <c r="I148" s="838" t="n"/>
      <c r="J148" s="852" t="n"/>
      <c r="K148" s="838" t="n"/>
      <c r="L148" s="914" t="n"/>
      <c r="M148" s="856" t="n"/>
      <c r="N148" s="853" t="n"/>
      <c r="O148" s="856" t="n"/>
      <c r="P148" s="857" t="n"/>
      <c r="Q148" s="830" t="n"/>
      <c r="R148" s="832" t="n"/>
      <c r="S148" s="343" t="inlineStr">
        <is>
          <t>항암방사선</t>
        </is>
      </c>
      <c r="T148" s="959">
        <f>T85+C148+E148+G148+I148+K148+M148+O148</f>
        <v/>
      </c>
    </row>
    <row r="149" ht="14.1" customHeight="1" s="797">
      <c r="A149" s="832" t="n"/>
      <c r="B149" s="555" t="inlineStr">
        <is>
          <t>중입자방사선</t>
        </is>
      </c>
      <c r="C149" s="838" t="n"/>
      <c r="D149" s="873" t="n"/>
      <c r="E149" s="838" t="n"/>
      <c r="F149" s="852" t="n"/>
      <c r="G149" s="838" t="n"/>
      <c r="H149" s="852" t="n"/>
      <c r="I149" s="838" t="n"/>
      <c r="J149" s="852" t="n"/>
      <c r="K149" s="838" t="n"/>
      <c r="L149" s="914" t="n"/>
      <c r="M149" s="856" t="n"/>
      <c r="N149" s="853" t="n"/>
      <c r="O149" s="856" t="n"/>
      <c r="P149" s="857" t="n"/>
      <c r="Q149" s="830" t="n"/>
      <c r="R149" s="832" t="n"/>
      <c r="S149" s="326" t="inlineStr">
        <is>
          <t>중입자방사선</t>
        </is>
      </c>
      <c r="T149" s="959">
        <f>T86+C149+E149+G149+I149+K149+M149+O149</f>
        <v/>
      </c>
    </row>
    <row r="150" ht="14.1" customHeight="1" s="797">
      <c r="A150" s="832" t="n"/>
      <c r="B150" s="555" t="inlineStr">
        <is>
          <t>양성자방사선</t>
        </is>
      </c>
      <c r="C150" s="838" t="n"/>
      <c r="D150" s="873" t="n"/>
      <c r="E150" s="838" t="n"/>
      <c r="F150" s="852" t="n"/>
      <c r="G150" s="838" t="n"/>
      <c r="H150" s="852" t="n"/>
      <c r="I150" s="838" t="n"/>
      <c r="J150" s="852" t="n"/>
      <c r="K150" s="838" t="n"/>
      <c r="L150" s="914" t="n"/>
      <c r="M150" s="856" t="n"/>
      <c r="N150" s="853" t="n"/>
      <c r="O150" s="856" t="n"/>
      <c r="P150" s="857" t="n"/>
      <c r="Q150" s="830" t="n"/>
      <c r="R150" s="832" t="n"/>
      <c r="S150" s="326" t="inlineStr">
        <is>
          <t>양성자방사선</t>
        </is>
      </c>
      <c r="T150" s="959">
        <f>T88+C150+E150+G150+I150+K150+O150</f>
        <v/>
      </c>
    </row>
    <row r="151" ht="14.1" customHeight="1" s="797">
      <c r="A151" s="832" t="n"/>
      <c r="B151" s="555" t="inlineStr">
        <is>
          <t>세기조절방사선</t>
        </is>
      </c>
      <c r="C151" s="838" t="n"/>
      <c r="D151" s="873" t="n"/>
      <c r="E151" s="838" t="n"/>
      <c r="F151" s="852" t="n"/>
      <c r="G151" s="838" t="n"/>
      <c r="H151" s="852" t="n"/>
      <c r="I151" s="838" t="n"/>
      <c r="J151" s="852" t="n"/>
      <c r="K151" s="838" t="n"/>
      <c r="L151" s="914" t="n"/>
      <c r="M151" s="856" t="n"/>
      <c r="N151" s="853" t="n"/>
      <c r="O151" s="856" t="n"/>
      <c r="P151" s="857" t="n"/>
      <c r="Q151" s="830" t="n"/>
      <c r="R151" s="832" t="n"/>
      <c r="S151" s="326" t="inlineStr">
        <is>
          <t>세기조절방사선</t>
        </is>
      </c>
      <c r="T151" s="959">
        <f>T88+C151+E151+G151+I151+K151+M151+O151</f>
        <v/>
      </c>
    </row>
    <row r="152" ht="14.1" customHeight="1" s="797">
      <c r="A152" s="832" t="n"/>
      <c r="B152" s="556" t="inlineStr">
        <is>
          <t>항암약물</t>
        </is>
      </c>
      <c r="C152" s="838" t="n"/>
      <c r="D152" s="873" t="n"/>
      <c r="E152" s="862" t="n"/>
      <c r="F152" s="853" t="n"/>
      <c r="G152" s="862" t="n"/>
      <c r="H152" s="852" t="n"/>
      <c r="I152" s="862" t="n"/>
      <c r="J152" s="852" t="n"/>
      <c r="K152" s="862" t="n"/>
      <c r="L152" s="914" t="n"/>
      <c r="M152" s="859" t="n"/>
      <c r="N152" s="853" t="n"/>
      <c r="O152" s="856" t="n"/>
      <c r="P152" s="857" t="n"/>
      <c r="Q152" s="830" t="n"/>
      <c r="R152" s="832" t="n"/>
      <c r="S152" s="343" t="inlineStr">
        <is>
          <t>항암약물</t>
        </is>
      </c>
      <c r="T152" s="959">
        <f>T89+C152+E152+G152+I152+K152+M152+O152</f>
        <v/>
      </c>
    </row>
    <row r="153" ht="14.1" customHeight="1" s="797">
      <c r="A153" s="832" t="n"/>
      <c r="B153" s="555" t="inlineStr">
        <is>
          <t>표적항암약물</t>
        </is>
      </c>
      <c r="C153" s="862" t="n"/>
      <c r="D153" s="882" t="n"/>
      <c r="E153" s="862" t="n"/>
      <c r="F153" s="853" t="n"/>
      <c r="G153" s="862" t="n"/>
      <c r="H153" s="852" t="n"/>
      <c r="I153" s="862" t="n"/>
      <c r="J153" s="852" t="n"/>
      <c r="K153" s="862" t="n"/>
      <c r="L153" s="914" t="n"/>
      <c r="M153" s="859" t="n"/>
      <c r="N153" s="853" t="n"/>
      <c r="O153" s="859" t="n"/>
      <c r="P153" s="864" t="n"/>
      <c r="Q153" s="830" t="n"/>
      <c r="R153" s="832" t="n"/>
      <c r="S153" s="326" t="inlineStr">
        <is>
          <t>표적항암약물</t>
        </is>
      </c>
      <c r="T153" s="959">
        <f>T90+C153+E153+G153+I153+K153+M153+O153</f>
        <v/>
      </c>
    </row>
    <row r="154" ht="14.1" customHeight="1" s="797" thickBot="1">
      <c r="A154" s="832" t="n"/>
      <c r="B154" s="557" t="inlineStr">
        <is>
          <t>면역항암약물</t>
        </is>
      </c>
      <c r="C154" s="847" t="n"/>
      <c r="D154" s="848" t="n"/>
      <c r="E154" s="847" t="n"/>
      <c r="F154" s="871" t="n"/>
      <c r="G154" s="847" t="n"/>
      <c r="H154" s="852" t="n"/>
      <c r="I154" s="847" t="n"/>
      <c r="J154" s="852" t="n"/>
      <c r="K154" s="847" t="n"/>
      <c r="L154" s="914" t="n"/>
      <c r="M154" s="847" t="n"/>
      <c r="N154" s="853" t="n"/>
      <c r="O154" s="845" t="n"/>
      <c r="P154" s="846" t="n"/>
      <c r="Q154" s="830" t="n"/>
      <c r="R154" s="832" t="n"/>
      <c r="S154" s="327" t="inlineStr">
        <is>
          <t>면역항암약물</t>
        </is>
      </c>
      <c r="T154" s="963">
        <f>T91+C154+E154+G154+I154+K154+M154+O154</f>
        <v/>
      </c>
    </row>
    <row r="155" ht="14.1" customHeight="1" s="797">
      <c r="A155" s="628" t="inlineStr">
        <is>
          <t>2대
질병</t>
        </is>
      </c>
      <c r="B155" s="461" t="inlineStr">
        <is>
          <t>뇌혈관진단</t>
        </is>
      </c>
      <c r="C155" s="838" t="n"/>
      <c r="D155" s="829" t="n"/>
      <c r="E155" s="838" t="n"/>
      <c r="F155" s="880" t="n"/>
      <c r="G155" s="838" t="n"/>
      <c r="H155" s="880" t="n"/>
      <c r="I155" s="838" t="n"/>
      <c r="J155" s="880" t="n"/>
      <c r="K155" s="838" t="n"/>
      <c r="L155" s="913" t="n"/>
      <c r="M155" s="828" t="n"/>
      <c r="N155" s="829" t="n"/>
      <c r="O155" s="836" t="n"/>
      <c r="P155" s="827" t="n"/>
      <c r="Q155" s="830" t="n"/>
      <c r="R155" s="630" t="inlineStr">
        <is>
          <t>2대
질병</t>
        </is>
      </c>
      <c r="S155" s="379" t="inlineStr">
        <is>
          <t>뇌혈관</t>
        </is>
      </c>
      <c r="T155" s="957">
        <f>T92+C155+E155+G155+I155+K155+M155+O155</f>
        <v/>
      </c>
    </row>
    <row r="156" ht="14.1" customHeight="1" s="797">
      <c r="A156" s="832" t="n"/>
      <c r="B156" s="462" t="inlineStr">
        <is>
          <t>뇌졸증진단</t>
        </is>
      </c>
      <c r="C156" s="838" t="n"/>
      <c r="D156" s="853" t="n"/>
      <c r="E156" s="856" t="n"/>
      <c r="F156" s="852" t="n"/>
      <c r="G156" s="838" t="n"/>
      <c r="H156" s="852" t="n"/>
      <c r="I156" s="838" t="n"/>
      <c r="J156" s="852" t="n"/>
      <c r="K156" s="838" t="n"/>
      <c r="L156" s="914" t="n"/>
      <c r="M156" s="856" t="n"/>
      <c r="N156" s="853" t="n"/>
      <c r="O156" s="836" t="n"/>
      <c r="P156" s="857" t="n"/>
      <c r="Q156" s="830" t="n"/>
      <c r="R156" s="832" t="n"/>
      <c r="S156" s="380" t="inlineStr">
        <is>
          <t>뇌졸증</t>
        </is>
      </c>
      <c r="T156" s="959">
        <f>T93+C156+E156+G156+I156+K156+M156+O156</f>
        <v/>
      </c>
    </row>
    <row r="157" ht="14.1" customHeight="1" s="797" thickBot="1">
      <c r="A157" s="832" t="n"/>
      <c r="B157" s="463" t="inlineStr">
        <is>
          <t>뇌출혈진단</t>
        </is>
      </c>
      <c r="C157" s="859" t="n"/>
      <c r="D157" s="860" t="n"/>
      <c r="E157" s="859" t="n"/>
      <c r="F157" s="863" t="n"/>
      <c r="G157" s="859" t="n"/>
      <c r="H157" s="863" t="n"/>
      <c r="I157" s="859" t="n"/>
      <c r="J157" s="863" t="n"/>
      <c r="K157" s="859" t="n"/>
      <c r="L157" s="915" t="n"/>
      <c r="M157" s="859" t="n"/>
      <c r="N157" s="860" t="n"/>
      <c r="O157" s="883" t="n"/>
      <c r="P157" s="864" t="n"/>
      <c r="Q157" s="830" t="n"/>
      <c r="R157" s="832" t="n"/>
      <c r="S157" s="381" t="inlineStr">
        <is>
          <t>뇌출혈</t>
        </is>
      </c>
      <c r="T157" s="963">
        <f>T94+C157+E157+G157+I157+K157+M157+O157</f>
        <v/>
      </c>
    </row>
    <row r="158" ht="14.1" customHeight="1" s="797">
      <c r="A158" s="832" t="n"/>
      <c r="B158" s="461" t="inlineStr">
        <is>
          <t>심장질환진단</t>
        </is>
      </c>
      <c r="C158" s="828" t="n"/>
      <c r="D158" s="829" t="n"/>
      <c r="E158" s="828" t="n"/>
      <c r="F158" s="880" t="n"/>
      <c r="G158" s="828" t="n"/>
      <c r="H158" s="880" t="n"/>
      <c r="I158" s="828" t="n"/>
      <c r="J158" s="880" t="n"/>
      <c r="K158" s="828" t="n"/>
      <c r="L158" s="913" t="n"/>
      <c r="M158" s="828" t="n"/>
      <c r="N158" s="829" t="n"/>
      <c r="O158" s="826" t="n"/>
      <c r="P158" s="827" t="n"/>
      <c r="Q158" s="830" t="n"/>
      <c r="R158" s="832" t="n"/>
      <c r="S158" s="358" t="inlineStr">
        <is>
          <t>심장질환</t>
        </is>
      </c>
      <c r="T158" s="957">
        <f>T95+C158+E158+G158+I158+K158+M158+O158</f>
        <v/>
      </c>
    </row>
    <row r="159" ht="14.1" customHeight="1" s="797">
      <c r="A159" s="832" t="n"/>
      <c r="B159" s="488" t="inlineStr">
        <is>
          <t>허혈성심장진단</t>
        </is>
      </c>
      <c r="C159" s="838" t="n"/>
      <c r="D159" s="853" t="n"/>
      <c r="E159" s="838" t="n"/>
      <c r="F159" s="852" t="n"/>
      <c r="G159" s="838" t="n"/>
      <c r="H159" s="852" t="n"/>
      <c r="I159" s="838" t="n"/>
      <c r="J159" s="852" t="n"/>
      <c r="K159" s="838" t="n"/>
      <c r="L159" s="914" t="n"/>
      <c r="M159" s="838" t="n"/>
      <c r="N159" s="853" t="n"/>
      <c r="O159" s="836" t="n"/>
      <c r="P159" s="857" t="n"/>
      <c r="Q159" s="830" t="n"/>
      <c r="R159" s="832" t="n"/>
      <c r="S159" s="359" t="inlineStr">
        <is>
          <t>허혈성심장</t>
        </is>
      </c>
      <c r="T159" s="959">
        <f>T96+C159+E159+G159+I159+K159+M159+O159</f>
        <v/>
      </c>
    </row>
    <row r="160" ht="14.1" customHeight="1" s="797" thickBot="1">
      <c r="A160" s="832" t="n"/>
      <c r="B160" s="489" t="inlineStr">
        <is>
          <t>급성심근경색진단</t>
        </is>
      </c>
      <c r="C160" s="847" t="n"/>
      <c r="D160" s="848" t="n"/>
      <c r="E160" s="847" t="n"/>
      <c r="F160" s="885" t="n"/>
      <c r="G160" s="847" t="n"/>
      <c r="H160" s="885" t="n"/>
      <c r="I160" s="847" t="n"/>
      <c r="J160" s="885" t="n"/>
      <c r="K160" s="847" t="n"/>
      <c r="L160" s="891" t="n"/>
      <c r="M160" s="847" t="n"/>
      <c r="N160" s="848" t="n"/>
      <c r="O160" s="845" t="n"/>
      <c r="P160" s="887" t="n"/>
      <c r="Q160" s="830" t="n"/>
      <c r="R160" s="832" t="n"/>
      <c r="S160" s="360" t="inlineStr">
        <is>
          <t>급성심근경색</t>
        </is>
      </c>
      <c r="T160" s="963">
        <f>T97+C160+E160+G160+I160+K160+M160+O160</f>
        <v/>
      </c>
    </row>
    <row r="161" ht="14.1" customHeight="1" s="797">
      <c r="A161" s="832" t="n"/>
      <c r="B161" s="461" t="inlineStr">
        <is>
          <t>수술/시술비</t>
        </is>
      </c>
      <c r="C161" s="828" t="n"/>
      <c r="D161" s="829" t="n"/>
      <c r="E161" s="828" t="n"/>
      <c r="F161" s="880" t="n"/>
      <c r="G161" s="828" t="n"/>
      <c r="H161" s="880" t="n"/>
      <c r="I161" s="828" t="n"/>
      <c r="J161" s="880" t="n"/>
      <c r="K161" s="828" t="n"/>
      <c r="L161" s="913" t="n"/>
      <c r="M161" s="828" t="n"/>
      <c r="N161" s="829" t="n"/>
      <c r="O161" s="826" t="n"/>
      <c r="P161" s="827" t="n"/>
      <c r="Q161" s="830" t="n"/>
      <c r="R161" s="832" t="n"/>
      <c r="S161" s="361" t="inlineStr">
        <is>
          <t>수술비</t>
        </is>
      </c>
      <c r="T161" s="957">
        <f>T98+C161+E161+G161+I161+K161+M161+O161</f>
        <v/>
      </c>
    </row>
    <row r="162" ht="14.1" customHeight="1" s="797">
      <c r="A162" s="832" t="n"/>
      <c r="B162" s="488" t="inlineStr">
        <is>
          <t>혈전용해치료</t>
        </is>
      </c>
      <c r="C162" s="838" t="n"/>
      <c r="D162" s="853" t="n"/>
      <c r="E162" s="838" t="n"/>
      <c r="F162" s="852" t="n"/>
      <c r="G162" s="838" t="n"/>
      <c r="H162" s="852" t="n"/>
      <c r="I162" s="838" t="n"/>
      <c r="J162" s="852" t="n"/>
      <c r="K162" s="838" t="n"/>
      <c r="L162" s="914" t="n"/>
      <c r="M162" s="838" t="n"/>
      <c r="N162" s="853" t="n"/>
      <c r="O162" s="836" t="n"/>
      <c r="P162" s="857" t="n"/>
      <c r="Q162" s="830" t="n"/>
      <c r="R162" s="832" t="n"/>
      <c r="S162" s="362" t="inlineStr">
        <is>
          <t>혈전용해치료</t>
        </is>
      </c>
      <c r="T162" s="959">
        <f>T99+C162+E162+G162+I162+K162+M162+O162</f>
        <v/>
      </c>
    </row>
    <row r="163" ht="14.1" customHeight="1" s="797" thickBot="1">
      <c r="A163" s="832" t="n"/>
      <c r="B163" s="489" t="inlineStr">
        <is>
          <t>혈전제거치료</t>
        </is>
      </c>
      <c r="C163" s="847" t="n"/>
      <c r="D163" s="848" t="n"/>
      <c r="E163" s="847" t="n"/>
      <c r="F163" s="885" t="n"/>
      <c r="G163" s="847" t="n"/>
      <c r="H163" s="885" t="n"/>
      <c r="I163" s="847" t="n"/>
      <c r="J163" s="885" t="n"/>
      <c r="K163" s="847" t="n"/>
      <c r="L163" s="891" t="n"/>
      <c r="M163" s="847" t="n"/>
      <c r="N163" s="848" t="n"/>
      <c r="O163" s="845" t="n"/>
      <c r="P163" s="887" t="n"/>
      <c r="Q163" s="830" t="n"/>
      <c r="R163" s="832" t="n"/>
      <c r="S163" s="363" t="inlineStr">
        <is>
          <t>중환자실치료</t>
        </is>
      </c>
      <c r="T163" s="963">
        <f>T100+C163+E163+G163+I163+K163+M163+O163</f>
        <v/>
      </c>
    </row>
    <row r="164" ht="14.1" customHeight="1" s="797">
      <c r="A164" s="892" t="inlineStr">
        <is>
          <t>후유장해</t>
        </is>
      </c>
      <c r="B164" s="464" t="inlineStr">
        <is>
          <t>질병 80% 이상</t>
        </is>
      </c>
      <c r="C164" s="828" t="n"/>
      <c r="D164" s="966" t="n"/>
      <c r="E164" s="828" t="n"/>
      <c r="F164" s="880" t="n"/>
      <c r="G164" s="828" t="n"/>
      <c r="H164" s="880" t="n"/>
      <c r="I164" s="828" t="n"/>
      <c r="J164" s="880" t="n"/>
      <c r="K164" s="828" t="n"/>
      <c r="L164" s="913" t="n"/>
      <c r="M164" s="828" t="n"/>
      <c r="N164" s="829" t="n"/>
      <c r="O164" s="826" t="n"/>
      <c r="P164" s="827" t="n"/>
      <c r="Q164" s="830" t="n"/>
      <c r="R164" s="892" t="inlineStr">
        <is>
          <t>후유장해</t>
        </is>
      </c>
      <c r="S164" s="364" t="inlineStr">
        <is>
          <t>질병 80% 이상</t>
        </is>
      </c>
      <c r="T164" s="957">
        <f>T101+C164+E164+G164+I164+K164+M164+O164</f>
        <v/>
      </c>
    </row>
    <row r="165" ht="14.1" customHeight="1" s="797">
      <c r="A165" s="832" t="n"/>
      <c r="B165" s="465" t="inlineStr">
        <is>
          <t>질병 3% ~80%</t>
        </is>
      </c>
      <c r="C165" s="838" t="n"/>
      <c r="D165" s="967" t="n"/>
      <c r="E165" s="838" t="n"/>
      <c r="F165" s="931" t="n"/>
      <c r="G165" s="838" t="n"/>
      <c r="H165" s="894" t="n"/>
      <c r="I165" s="838" t="n"/>
      <c r="J165" s="894" t="n"/>
      <c r="K165" s="838" t="n"/>
      <c r="L165" s="968" t="n"/>
      <c r="M165" s="838" t="n"/>
      <c r="N165" s="839" t="n"/>
      <c r="O165" s="836" t="n"/>
      <c r="P165" s="837" t="n"/>
      <c r="Q165" s="830" t="n"/>
      <c r="R165" s="832" t="n"/>
      <c r="S165" s="365" t="inlineStr">
        <is>
          <t>질병 3% ~80%</t>
        </is>
      </c>
      <c r="T165" s="959">
        <f>T102+C165+E165+G165+I165+K165+M165+O165</f>
        <v/>
      </c>
    </row>
    <row r="166" ht="14.1" customHeight="1" s="797">
      <c r="A166" s="832" t="n"/>
      <c r="B166" s="465" t="inlineStr">
        <is>
          <t>상해 80% 이상</t>
        </is>
      </c>
      <c r="C166" s="838" t="n"/>
      <c r="D166" s="902" t="n"/>
      <c r="E166" s="838" t="n"/>
      <c r="F166" s="902" t="n"/>
      <c r="G166" s="838" t="n"/>
      <c r="H166" s="839" t="n"/>
      <c r="I166" s="838" t="n"/>
      <c r="J166" s="839" t="n"/>
      <c r="K166" s="838" t="n"/>
      <c r="L166" s="968" t="n"/>
      <c r="M166" s="838" t="n"/>
      <c r="N166" s="839" t="n"/>
      <c r="O166" s="836" t="n"/>
      <c r="P166" s="837" t="n"/>
      <c r="Q166" s="830" t="n"/>
      <c r="R166" s="832" t="n"/>
      <c r="S166" s="365" t="inlineStr">
        <is>
          <t>상해 80% 이상</t>
        </is>
      </c>
      <c r="T166" s="959">
        <f>T103+C166+E166+G166+I166+K166+M166+O166</f>
        <v/>
      </c>
    </row>
    <row r="167" ht="14.1" customHeight="1" s="797" thickBot="1">
      <c r="A167" s="841" t="n"/>
      <c r="B167" s="466" t="inlineStr">
        <is>
          <t>상해 3% ~ 80%</t>
        </is>
      </c>
      <c r="C167" s="847" t="n"/>
      <c r="D167" s="899" t="n"/>
      <c r="E167" s="847" t="n"/>
      <c r="F167" s="899" t="n"/>
      <c r="G167" s="838" t="n"/>
      <c r="H167" s="848" t="n"/>
      <c r="I167" s="838" t="n"/>
      <c r="J167" s="848" t="n"/>
      <c r="K167" s="838" t="n"/>
      <c r="L167" s="891" t="n"/>
      <c r="M167" s="847" t="n"/>
      <c r="N167" s="848" t="n"/>
      <c r="O167" s="845" t="n"/>
      <c r="P167" s="846" t="n"/>
      <c r="Q167" s="830" t="n"/>
      <c r="R167" s="841" t="n"/>
      <c r="S167" s="366" t="inlineStr">
        <is>
          <t>상해 3% ~ 80%</t>
        </is>
      </c>
      <c r="T167" s="963">
        <f>T104+C167+E167+G167+I167+K167+M167+O167</f>
        <v/>
      </c>
    </row>
    <row r="168" ht="14.1" customHeight="1" s="797">
      <c r="A168" s="897" t="inlineStr">
        <is>
          <t>사망</t>
        </is>
      </c>
      <c r="B168" s="467" t="inlineStr">
        <is>
          <t>일반</t>
        </is>
      </c>
      <c r="C168" s="856" t="n"/>
      <c r="D168" s="939" t="n"/>
      <c r="E168" s="828" t="n"/>
      <c r="F168" s="880" t="n"/>
      <c r="G168" s="828" t="n"/>
      <c r="H168" s="829" t="n"/>
      <c r="I168" s="828" t="n"/>
      <c r="J168" s="829" t="n"/>
      <c r="K168" s="828" t="n"/>
      <c r="L168" s="913" t="n"/>
      <c r="M168" s="828" t="n"/>
      <c r="N168" s="829" t="n"/>
      <c r="O168" s="826" t="n"/>
      <c r="P168" s="827" t="n"/>
      <c r="Q168" s="830" t="n"/>
      <c r="R168" s="897" t="inlineStr">
        <is>
          <t>사망</t>
        </is>
      </c>
      <c r="S168" s="367" t="inlineStr">
        <is>
          <t>일반</t>
        </is>
      </c>
      <c r="T168" s="957">
        <f>T105+C168+E168+G168+I168+K168+M168+O168</f>
        <v/>
      </c>
    </row>
    <row r="169" ht="14.1" customHeight="1" s="797">
      <c r="A169" s="832" t="n"/>
      <c r="B169" s="468" t="inlineStr">
        <is>
          <t>질병</t>
        </is>
      </c>
      <c r="C169" s="838" t="n"/>
      <c r="D169" s="931" t="n"/>
      <c r="E169" s="838" t="n"/>
      <c r="F169" s="894" t="n"/>
      <c r="G169" s="838" t="n"/>
      <c r="H169" s="839" t="n"/>
      <c r="I169" s="838" t="n"/>
      <c r="J169" s="839" t="n"/>
      <c r="K169" s="838" t="n"/>
      <c r="L169" s="968" t="n"/>
      <c r="M169" s="838" t="n"/>
      <c r="N169" s="839" t="n"/>
      <c r="O169" s="836" t="n"/>
      <c r="P169" s="837" t="n"/>
      <c r="Q169" s="830" t="n"/>
      <c r="R169" s="832" t="n"/>
      <c r="S169" s="368" t="inlineStr">
        <is>
          <t>질병</t>
        </is>
      </c>
      <c r="T169" s="959">
        <f>T106+C169+E169+G169+I169+K169+M169+O169</f>
        <v/>
      </c>
    </row>
    <row r="170" ht="14.1" customHeight="1" s="797" thickBot="1">
      <c r="A170" s="841" t="n"/>
      <c r="B170" s="469" t="inlineStr">
        <is>
          <t>상해</t>
        </is>
      </c>
      <c r="C170" s="847" t="n"/>
      <c r="D170" s="900" t="n"/>
      <c r="E170" s="847" t="n"/>
      <c r="F170" s="885" t="n"/>
      <c r="G170" s="847" t="n"/>
      <c r="H170" s="848" t="n"/>
      <c r="I170" s="847" t="n"/>
      <c r="J170" s="848" t="n"/>
      <c r="K170" s="847" t="n"/>
      <c r="L170" s="891" t="n"/>
      <c r="M170" s="847" t="n"/>
      <c r="N170" s="848" t="n"/>
      <c r="O170" s="901" t="n"/>
      <c r="P170" s="857" t="n"/>
      <c r="Q170" s="830" t="n"/>
      <c r="R170" s="841" t="n"/>
      <c r="S170" s="369" t="inlineStr">
        <is>
          <t>상해</t>
        </is>
      </c>
      <c r="T170" s="963">
        <f>T107+C170+E170+G170+I170+K170+M170+O170</f>
        <v/>
      </c>
    </row>
    <row r="171" ht="14.1" customHeight="1" s="797">
      <c r="A171" s="617" t="inlineStr">
        <is>
          <t>수술비</t>
        </is>
      </c>
      <c r="B171" s="470" t="inlineStr">
        <is>
          <t>질병</t>
        </is>
      </c>
      <c r="C171" s="828" t="n"/>
      <c r="D171" s="908" t="n"/>
      <c r="E171" s="828" t="n"/>
      <c r="F171" s="852" t="n"/>
      <c r="G171" s="828" t="n"/>
      <c r="H171" s="853" t="n"/>
      <c r="I171" s="828" t="n"/>
      <c r="J171" s="853" t="n"/>
      <c r="K171" s="828" t="n"/>
      <c r="L171" s="913" t="n"/>
      <c r="M171" s="856" t="n"/>
      <c r="N171" s="853" t="n"/>
      <c r="O171" s="826" t="n"/>
      <c r="P171" s="827" t="n"/>
      <c r="Q171" s="830" t="n"/>
      <c r="R171" s="617" t="inlineStr">
        <is>
          <t>수술비</t>
        </is>
      </c>
      <c r="S171" s="480" t="inlineStr">
        <is>
          <t>질병</t>
        </is>
      </c>
      <c r="T171" s="957">
        <f>T108+C171+E171+G171+I171+K171+M171+O171</f>
        <v/>
      </c>
    </row>
    <row r="172" ht="14.1" customHeight="1" s="797">
      <c r="A172" s="832" t="n"/>
      <c r="B172" s="470" t="inlineStr">
        <is>
          <t>상해</t>
        </is>
      </c>
      <c r="C172" s="838" t="n"/>
      <c r="D172" s="902" t="n"/>
      <c r="E172" s="838" t="n"/>
      <c r="F172" s="894" t="n"/>
      <c r="G172" s="838" t="n"/>
      <c r="H172" s="839" t="n"/>
      <c r="I172" s="838" t="n"/>
      <c r="J172" s="839" t="n"/>
      <c r="K172" s="838" t="n"/>
      <c r="L172" s="968" t="n"/>
      <c r="M172" s="838" t="n"/>
      <c r="N172" s="853" t="n"/>
      <c r="O172" s="836" t="n"/>
      <c r="P172" s="837" t="n"/>
      <c r="Q172" s="830" t="n"/>
      <c r="R172" s="832" t="n"/>
      <c r="S172" s="480" t="inlineStr">
        <is>
          <t>상해</t>
        </is>
      </c>
      <c r="T172" s="959">
        <f>T109+C172+E172+G172+I172+K172+M172+O172</f>
        <v/>
      </c>
    </row>
    <row r="173" ht="14.1" customHeight="1" s="797">
      <c r="A173" s="832" t="n"/>
      <c r="B173" s="470" t="inlineStr">
        <is>
          <t>1-5종</t>
        </is>
      </c>
      <c r="C173" s="838" t="n"/>
      <c r="D173" s="902" t="n"/>
      <c r="E173" s="838" t="n"/>
      <c r="F173" s="852" t="n"/>
      <c r="G173" s="838" t="n"/>
      <c r="H173" s="853" t="n"/>
      <c r="I173" s="838" t="n"/>
      <c r="J173" s="853" t="n"/>
      <c r="K173" s="838" t="n"/>
      <c r="L173" s="914" t="n"/>
      <c r="M173" s="838" t="n"/>
      <c r="N173" s="853" t="n"/>
      <c r="O173" s="836" t="n"/>
      <c r="P173" s="837" t="n"/>
      <c r="Q173" s="830" t="n"/>
      <c r="R173" s="832" t="n"/>
      <c r="S173" s="480" t="inlineStr">
        <is>
          <t>1-5종</t>
        </is>
      </c>
      <c r="T173" s="959">
        <f>T110+C173+E173+G173+I173+K173+M173+O173</f>
        <v/>
      </c>
    </row>
    <row r="174" ht="14.1" customHeight="1" s="797" thickBot="1">
      <c r="A174" s="832" t="n"/>
      <c r="B174" s="471" t="inlineStr">
        <is>
          <t>N대질병</t>
        </is>
      </c>
      <c r="C174" s="862" t="n"/>
      <c r="D174" s="899" t="n"/>
      <c r="E174" s="862" t="n"/>
      <c r="F174" s="863" t="n"/>
      <c r="G174" s="862" t="n"/>
      <c r="H174" s="860" t="n"/>
      <c r="I174" s="862" t="n"/>
      <c r="J174" s="860" t="n"/>
      <c r="K174" s="862" t="n"/>
      <c r="L174" s="969" t="n"/>
      <c r="M174" s="862" t="n"/>
      <c r="N174" s="905" t="n"/>
      <c r="O174" s="907" t="n"/>
      <c r="P174" s="887" t="n"/>
      <c r="Q174" s="830" t="n"/>
      <c r="R174" s="832" t="n"/>
      <c r="S174" s="513" t="inlineStr">
        <is>
          <t>N대질병</t>
        </is>
      </c>
      <c r="T174" s="963">
        <f>T111+C174+E174+G174+I174+K174+M174+O174</f>
        <v/>
      </c>
    </row>
    <row r="175" ht="14.1" customHeight="1" s="797">
      <c r="A175" s="603" t="inlineStr">
        <is>
          <t>상해진단</t>
        </is>
      </c>
      <c r="B175" s="472" t="inlineStr">
        <is>
          <t>골절</t>
        </is>
      </c>
      <c r="C175" s="828" t="n"/>
      <c r="D175" s="908" t="n"/>
      <c r="E175" s="828" t="n"/>
      <c r="F175" s="880" t="n"/>
      <c r="G175" s="828" t="n"/>
      <c r="H175" s="829" t="n"/>
      <c r="I175" s="828" t="n"/>
      <c r="J175" s="829" t="n"/>
      <c r="K175" s="828" t="n"/>
      <c r="L175" s="913" t="n"/>
      <c r="M175" s="828" t="n"/>
      <c r="N175" s="829" t="n"/>
      <c r="O175" s="826" t="n"/>
      <c r="P175" s="827" t="n"/>
      <c r="Q175" s="830" t="n"/>
      <c r="R175" s="603" t="inlineStr">
        <is>
          <t>상해진단</t>
        </is>
      </c>
      <c r="S175" s="483" t="inlineStr">
        <is>
          <t>골절</t>
        </is>
      </c>
      <c r="T175" s="957">
        <f>T112+C175+E175+G175+I175+K175+M175+O175</f>
        <v/>
      </c>
    </row>
    <row r="176" ht="14.1" customHeight="1" s="797" thickBot="1">
      <c r="A176" s="832" t="n"/>
      <c r="B176" s="482" t="inlineStr">
        <is>
          <t>화상</t>
        </is>
      </c>
      <c r="C176" s="909" t="n"/>
      <c r="D176" s="970" t="n"/>
      <c r="E176" s="909" t="n"/>
      <c r="F176" s="885" t="n"/>
      <c r="G176" s="909" t="n"/>
      <c r="H176" s="848" t="n"/>
      <c r="I176" s="909" t="n"/>
      <c r="J176" s="848" t="n"/>
      <c r="K176" s="909" t="n"/>
      <c r="L176" s="916" t="n"/>
      <c r="M176" s="909" t="n"/>
      <c r="N176" s="877" t="n"/>
      <c r="O176" s="911" t="n"/>
      <c r="P176" s="846" t="n"/>
      <c r="Q176" s="830" t="n"/>
      <c r="R176" s="832" t="n"/>
      <c r="S176" s="503" t="inlineStr">
        <is>
          <t>화상</t>
        </is>
      </c>
      <c r="T176" s="963">
        <f>T113+C176+E176+G176+I176+K176+M176+O176</f>
        <v/>
      </c>
    </row>
    <row r="177" ht="14.1" customHeight="1" s="797">
      <c r="A177" s="605" t="inlineStr">
        <is>
          <t>입원비</t>
        </is>
      </c>
      <c r="B177" s="484" t="inlineStr">
        <is>
          <t>질병</t>
        </is>
      </c>
      <c r="C177" s="859" t="n"/>
      <c r="D177" s="971" t="n"/>
      <c r="E177" s="859" t="n"/>
      <c r="F177" s="863" t="n"/>
      <c r="G177" s="859" t="n"/>
      <c r="H177" s="860" t="n"/>
      <c r="I177" s="859" t="n"/>
      <c r="J177" s="860" t="n"/>
      <c r="K177" s="859" t="n"/>
      <c r="L177" s="915" t="n"/>
      <c r="M177" s="859" t="n"/>
      <c r="N177" s="860" t="n"/>
      <c r="O177" s="883" t="n"/>
      <c r="P177" s="864" t="n"/>
      <c r="Q177" s="830" t="n"/>
      <c r="R177" s="605" t="inlineStr">
        <is>
          <t>입원비</t>
        </is>
      </c>
      <c r="S177" s="486" t="inlineStr">
        <is>
          <t>질병</t>
        </is>
      </c>
      <c r="T177" s="957">
        <f>T114+C177+E177+G177+I177+K177+M177+O177</f>
        <v/>
      </c>
    </row>
    <row r="178" ht="14.1" customHeight="1" s="797" thickBot="1">
      <c r="A178" s="912" t="n"/>
      <c r="B178" s="485" t="inlineStr">
        <is>
          <t>상해</t>
        </is>
      </c>
      <c r="C178" s="859" t="n"/>
      <c r="D178" s="971" t="n"/>
      <c r="E178" s="859" t="n"/>
      <c r="F178" s="863" t="n"/>
      <c r="G178" s="859" t="n"/>
      <c r="H178" s="860" t="n"/>
      <c r="I178" s="859" t="n"/>
      <c r="J178" s="860" t="n"/>
      <c r="K178" s="859" t="n"/>
      <c r="L178" s="915" t="n"/>
      <c r="M178" s="859" t="n"/>
      <c r="N178" s="860" t="n"/>
      <c r="O178" s="883" t="n"/>
      <c r="P178" s="864" t="n"/>
      <c r="Q178" s="830" t="n"/>
      <c r="R178" s="912" t="n"/>
      <c r="S178" s="559" t="inlineStr">
        <is>
          <t>상해</t>
        </is>
      </c>
      <c r="T178" s="963">
        <f>T115+C178+E178+G178+I178+K178+M178+O178</f>
        <v/>
      </c>
    </row>
    <row r="179" ht="14.1" customHeight="1" s="797">
      <c r="A179" s="609" t="inlineStr">
        <is>
          <t>간병인</t>
        </is>
      </c>
      <c r="B179" s="473" t="inlineStr">
        <is>
          <t>병원사용</t>
        </is>
      </c>
      <c r="C179" s="828" t="n"/>
      <c r="D179" s="966" t="n"/>
      <c r="E179" s="828" t="n"/>
      <c r="F179" s="880" t="n"/>
      <c r="G179" s="828" t="n"/>
      <c r="H179" s="913" t="n"/>
      <c r="I179" s="828" t="n"/>
      <c r="J179" s="829" t="n"/>
      <c r="K179" s="828" t="n"/>
      <c r="L179" s="913" t="n"/>
      <c r="M179" s="828" t="n"/>
      <c r="N179" s="829" t="n"/>
      <c r="O179" s="826" t="n"/>
      <c r="P179" s="827" t="n"/>
      <c r="Q179" s="830" t="n"/>
      <c r="R179" s="973" t="inlineStr">
        <is>
          <t>간병인</t>
        </is>
      </c>
      <c r="S179" s="562" t="inlineStr">
        <is>
          <t>병원사용</t>
        </is>
      </c>
      <c r="T179" s="957">
        <f>T116+C179+E179+G179+I179+K179+M179+O179</f>
        <v/>
      </c>
    </row>
    <row r="180" ht="14.1" customHeight="1" s="797">
      <c r="A180" s="832" t="n"/>
      <c r="B180" s="474" t="inlineStr">
        <is>
          <t>요양병원사용</t>
        </is>
      </c>
      <c r="C180" s="859" t="n"/>
      <c r="D180" s="971" t="n"/>
      <c r="E180" s="859" t="n"/>
      <c r="F180" s="852" t="n"/>
      <c r="G180" s="859" t="n"/>
      <c r="H180" s="914" t="n"/>
      <c r="I180" s="859" t="n"/>
      <c r="J180" s="853" t="n"/>
      <c r="K180" s="859" t="n"/>
      <c r="L180" s="915" t="n"/>
      <c r="M180" s="859" t="n"/>
      <c r="N180" s="860" t="n"/>
      <c r="O180" s="883" t="n"/>
      <c r="P180" s="864" t="n"/>
      <c r="Q180" s="830" t="n"/>
      <c r="R180" s="832" t="n"/>
      <c r="S180" s="504" t="inlineStr">
        <is>
          <t>요양병원사용</t>
        </is>
      </c>
      <c r="T180" s="959">
        <f>T117+C180+E180+G180+I180+K180+M180+O180</f>
        <v/>
      </c>
    </row>
    <row r="181" ht="14.1" customHeight="1" s="797" thickBot="1">
      <c r="A181" s="841" t="n"/>
      <c r="B181" s="475" t="inlineStr">
        <is>
          <t>간호간병통합사용</t>
        </is>
      </c>
      <c r="C181" s="847" t="n"/>
      <c r="D181" s="974" t="n"/>
      <c r="E181" s="847" t="n"/>
      <c r="F181" s="852" t="n"/>
      <c r="G181" s="847" t="n"/>
      <c r="H181" s="914" t="n"/>
      <c r="I181" s="847" t="n"/>
      <c r="J181" s="853" t="n"/>
      <c r="K181" s="847" t="n"/>
      <c r="L181" s="891" t="n"/>
      <c r="M181" s="847" t="n"/>
      <c r="N181" s="848" t="n"/>
      <c r="O181" s="845" t="n"/>
      <c r="P181" s="846" t="n"/>
      <c r="Q181" s="830" t="n"/>
      <c r="R181" s="841" t="n"/>
      <c r="S181" s="505" t="inlineStr">
        <is>
          <t>간호간병통합사용</t>
        </is>
      </c>
      <c r="T181" s="963">
        <f>T118+C181+E181+G181+I181+K181+M181+O181</f>
        <v/>
      </c>
    </row>
    <row r="182" ht="14.1" customHeight="1" s="797">
      <c r="A182" s="917" t="inlineStr">
        <is>
          <t>운전자</t>
        </is>
      </c>
      <c r="B182" s="476" t="inlineStr">
        <is>
          <t>벌금</t>
        </is>
      </c>
      <c r="C182" s="828" t="n"/>
      <c r="D182" s="975" t="n"/>
      <c r="E182" s="826" t="n"/>
      <c r="F182" s="880" t="n"/>
      <c r="G182" s="828" t="n"/>
      <c r="H182" s="913" t="n"/>
      <c r="I182" s="828" t="n"/>
      <c r="J182" s="829" t="n"/>
      <c r="K182" s="828" t="n"/>
      <c r="L182" s="913" t="n"/>
      <c r="M182" s="828" t="n"/>
      <c r="N182" s="829" t="n"/>
      <c r="O182" s="836" t="n"/>
      <c r="P182" s="827" t="n"/>
      <c r="Q182" s="830" t="n"/>
      <c r="R182" s="917" t="inlineStr">
        <is>
          <t>운전자</t>
        </is>
      </c>
      <c r="S182" s="377" t="inlineStr">
        <is>
          <t>벌금</t>
        </is>
      </c>
      <c r="T182" s="957">
        <f>T119+C182+E182+G182+I182+K182+M182+O182</f>
        <v/>
      </c>
    </row>
    <row r="183" ht="14.1" customHeight="1" s="797">
      <c r="A183" s="832" t="n"/>
      <c r="B183" s="476" t="inlineStr">
        <is>
          <t>변호사선임</t>
        </is>
      </c>
      <c r="C183" s="838" t="n"/>
      <c r="D183" s="976" t="n"/>
      <c r="E183" s="836" t="n"/>
      <c r="F183" s="894" t="n"/>
      <c r="G183" s="838" t="n"/>
      <c r="H183" s="968" t="n"/>
      <c r="I183" s="838" t="n"/>
      <c r="J183" s="443" t="n"/>
      <c r="K183" s="838" t="n"/>
      <c r="L183" s="968" t="n"/>
      <c r="M183" s="838" t="n"/>
      <c r="N183" s="839" t="n"/>
      <c r="O183" s="836" t="n"/>
      <c r="P183" s="837" t="n"/>
      <c r="Q183" s="830" t="n"/>
      <c r="R183" s="832" t="n"/>
      <c r="S183" s="377" t="inlineStr">
        <is>
          <t>변호사선임</t>
        </is>
      </c>
      <c r="T183" s="959">
        <f>T120+C183+E183+G183+I183+K183+M183+O183</f>
        <v/>
      </c>
    </row>
    <row r="184" ht="14.1" customHeight="1" s="797" thickBot="1">
      <c r="A184" s="841" t="n"/>
      <c r="B184" s="477" t="inlineStr">
        <is>
          <t>교통사고처리지원</t>
        </is>
      </c>
      <c r="C184" s="856" t="n"/>
      <c r="D184" s="967" t="n"/>
      <c r="E184" s="901" t="n"/>
      <c r="F184" s="852" t="n"/>
      <c r="G184" s="856" t="n"/>
      <c r="H184" s="914" t="n"/>
      <c r="I184" s="856" t="n"/>
      <c r="J184" s="839" t="n"/>
      <c r="K184" s="856" t="n"/>
      <c r="L184" s="914" t="n"/>
      <c r="M184" s="856" t="n"/>
      <c r="N184" s="853" t="n"/>
      <c r="O184" s="836" t="n"/>
      <c r="P184" s="837" t="n"/>
      <c r="Q184" s="830" t="n"/>
      <c r="R184" s="841" t="n"/>
      <c r="S184" s="378" t="inlineStr">
        <is>
          <t>교통사고처리지원</t>
        </is>
      </c>
      <c r="T184" s="963">
        <f>T121+C184+E184+G184+I184+K184+M184+O184</f>
        <v/>
      </c>
    </row>
    <row r="185" ht="14.1" customHeight="1" s="797" thickBot="1">
      <c r="A185" s="585" t="inlineStr">
        <is>
          <t>일상생활배상책임</t>
        </is>
      </c>
      <c r="B185" s="919" t="n"/>
      <c r="C185" s="920" t="n"/>
      <c r="D185" s="977" t="n"/>
      <c r="E185" s="920" t="n"/>
      <c r="F185" s="922" t="n"/>
      <c r="G185" s="920" t="n"/>
      <c r="H185" s="978" t="n"/>
      <c r="I185" s="920" t="n"/>
      <c r="J185" s="923" t="n"/>
      <c r="K185" s="920" t="n"/>
      <c r="L185" s="978" t="n"/>
      <c r="M185" s="920" t="n"/>
      <c r="N185" s="923" t="n"/>
      <c r="O185" s="925" t="n"/>
      <c r="P185" s="926" t="n"/>
      <c r="Q185" s="830" t="n"/>
      <c r="R185" s="585" t="inlineStr">
        <is>
          <t>일상생활배상책임</t>
        </is>
      </c>
      <c r="S185" s="919" t="n"/>
      <c r="T185" s="963">
        <f>T122+C185+E185+G185+I185+K185+M185+O185</f>
        <v/>
      </c>
    </row>
    <row r="186" ht="14.1" customHeight="1" s="797">
      <c r="A186" s="928" t="inlineStr">
        <is>
          <t>기타</t>
        </is>
      </c>
      <c r="B186" s="929" t="n"/>
      <c r="C186" s="930" t="n"/>
      <c r="D186" s="829" t="n"/>
      <c r="E186" s="930" t="n"/>
      <c r="F186" s="839" t="n"/>
      <c r="G186" s="930" t="n"/>
      <c r="H186" s="913" t="n"/>
      <c r="I186" s="930" t="n"/>
      <c r="J186" s="979" t="n"/>
      <c r="K186" s="938" t="n"/>
      <c r="L186" s="913" t="n"/>
      <c r="M186" s="930" t="n"/>
      <c r="N186" s="914" t="n"/>
      <c r="O186" s="930" t="n"/>
      <c r="P186" s="827" t="n"/>
      <c r="Q186" s="830" t="n"/>
      <c r="R186" s="935" t="inlineStr">
        <is>
          <t>기타</t>
        </is>
      </c>
      <c r="S186" s="980" t="n"/>
      <c r="T186" s="937" t="n"/>
    </row>
    <row r="187" ht="14.1" customHeight="1" s="797">
      <c r="A187" s="804" t="n"/>
      <c r="C187" s="938" t="n"/>
      <c r="D187" s="839" t="n"/>
      <c r="E187" s="938" t="n"/>
      <c r="F187" s="853" t="n"/>
      <c r="G187" s="938" t="n"/>
      <c r="H187" s="968" t="n"/>
      <c r="I187" s="938" t="n"/>
      <c r="J187" s="839" t="n"/>
      <c r="K187" s="454" t="n"/>
      <c r="L187" s="968" t="n"/>
      <c r="M187" s="938" t="n"/>
      <c r="N187" s="968" t="n"/>
      <c r="O187" s="938" t="n"/>
      <c r="P187" s="837" t="n"/>
      <c r="Q187" s="830" t="n"/>
      <c r="R187" s="804" t="n"/>
      <c r="S187" s="804" t="n"/>
      <c r="T187" s="805" t="n"/>
    </row>
    <row r="188" ht="14.1" customHeight="1" s="797">
      <c r="A188" s="804" t="n"/>
      <c r="C188" s="938" t="n"/>
      <c r="D188" s="839" t="n"/>
      <c r="E188" s="938" t="n"/>
      <c r="F188" s="853" t="n"/>
      <c r="G188" s="938" t="n"/>
      <c r="H188" s="968" t="n"/>
      <c r="I188" s="938" t="n"/>
      <c r="J188" s="853" t="n"/>
      <c r="K188" s="938" t="n"/>
      <c r="L188" s="839" t="n"/>
      <c r="M188" s="938" t="n"/>
      <c r="N188" s="914" t="n"/>
      <c r="O188" s="938" t="n"/>
      <c r="P188" s="837" t="n"/>
      <c r="Q188" s="830" t="n"/>
      <c r="R188" s="804" t="n"/>
      <c r="S188" s="804" t="n"/>
      <c r="T188" s="805" t="n"/>
    </row>
    <row r="189" ht="14.1" customHeight="1" s="797" thickBot="1">
      <c r="A189" s="942" t="n"/>
      <c r="B189" s="943" t="n"/>
      <c r="C189" s="944" t="n"/>
      <c r="D189" s="848" t="n"/>
      <c r="E189" s="944" t="n"/>
      <c r="F189" s="981" t="n"/>
      <c r="G189" s="944" t="n"/>
      <c r="H189" s="891" t="n"/>
      <c r="I189" s="944" t="n"/>
      <c r="J189" s="885" t="n"/>
      <c r="K189" s="944" t="n"/>
      <c r="L189" s="885" t="n"/>
      <c r="M189" s="944" t="n"/>
      <c r="N189" s="848" t="n"/>
      <c r="O189" s="944" t="n"/>
      <c r="P189" s="846" t="n"/>
      <c r="Q189" s="830" t="n"/>
      <c r="R189" s="942" t="n"/>
      <c r="S189" s="942" t="n"/>
      <c r="T189" s="946" t="n"/>
    </row>
    <row r="190" ht="21" customHeight="1" s="797">
      <c r="A190" s="947">
        <f>A127</f>
        <v/>
      </c>
      <c r="B190" s="796" t="n"/>
      <c r="C190" s="649" t="n"/>
      <c r="D190" s="794" t="n"/>
      <c r="E190" s="649" t="n"/>
      <c r="F190" s="794" t="n"/>
      <c r="G190" s="649" t="n"/>
      <c r="H190" s="794" t="n"/>
      <c r="I190" s="649" t="n"/>
      <c r="J190" s="794" t="n"/>
      <c r="K190" s="649" t="n"/>
      <c r="L190" s="794" t="n"/>
      <c r="M190" s="649" t="n"/>
      <c r="N190" s="794" t="n"/>
      <c r="O190" s="649" t="n"/>
      <c r="P190" s="794" t="n"/>
      <c r="Q190" s="138" t="n"/>
      <c r="R190" s="795" t="inlineStr">
        <is>
          <t>평가 기준일</t>
        </is>
      </c>
      <c r="S190" s="796" t="n"/>
      <c r="T190" s="137">
        <f>T127</f>
        <v/>
      </c>
    </row>
    <row r="191" ht="14.1" customHeight="1" s="797">
      <c r="A191" s="647" t="inlineStr">
        <is>
          <t>상품명</t>
        </is>
      </c>
      <c r="B191" s="798" t="n"/>
      <c r="C191" s="645" t="n"/>
      <c r="D191" s="799" t="n"/>
      <c r="E191" s="645" t="n"/>
      <c r="F191" s="799" t="n"/>
      <c r="G191" s="645" t="n"/>
      <c r="H191" s="799" t="n"/>
      <c r="I191" s="645" t="n"/>
      <c r="J191" s="799" t="n"/>
      <c r="K191" s="645" t="n"/>
      <c r="L191" s="799" t="n"/>
      <c r="M191" s="645" t="n"/>
      <c r="N191" s="799" t="n"/>
      <c r="O191" s="645" t="n"/>
      <c r="P191" s="799" t="n"/>
      <c r="Q191" s="25" t="n"/>
      <c r="R191" s="948" t="n"/>
      <c r="S191" s="801" t="n"/>
      <c r="T191" s="802" t="n"/>
    </row>
    <row r="192" ht="14.1" customHeight="1" s="797">
      <c r="A192" s="647" t="inlineStr">
        <is>
          <t>계약자 / 피보험자</t>
        </is>
      </c>
      <c r="B192" s="798" t="n"/>
      <c r="C192" s="645" t="n"/>
      <c r="D192" s="799" t="n"/>
      <c r="E192" s="645" t="n"/>
      <c r="F192" s="799" t="n"/>
      <c r="G192" s="645" t="n"/>
      <c r="H192" s="799" t="n"/>
      <c r="I192" s="645" t="n"/>
      <c r="J192" s="799" t="n"/>
      <c r="K192" s="645" t="n"/>
      <c r="L192" s="799" t="n"/>
      <c r="M192" s="645" t="n"/>
      <c r="N192" s="799" t="n"/>
      <c r="O192" s="646" t="n"/>
      <c r="P192" s="799" t="n"/>
      <c r="Q192" s="25" t="n"/>
      <c r="R192" s="804" t="n"/>
      <c r="T192" s="805" t="n"/>
    </row>
    <row r="193" ht="14.1" customHeight="1" s="797">
      <c r="A193" s="647" t="inlineStr">
        <is>
          <t>계약일자</t>
        </is>
      </c>
      <c r="B193" s="798" t="n"/>
      <c r="C193" s="646" t="n"/>
      <c r="D193" s="799" t="n"/>
      <c r="E193" s="646" t="n"/>
      <c r="F193" s="799" t="n"/>
      <c r="G193" s="646" t="n"/>
      <c r="H193" s="799" t="n"/>
      <c r="I193" s="646" t="n"/>
      <c r="J193" s="799" t="n"/>
      <c r="K193" s="646" t="n"/>
      <c r="L193" s="799" t="n"/>
      <c r="M193" s="646" t="n"/>
      <c r="N193" s="799" t="n"/>
      <c r="O193" s="646" t="n"/>
      <c r="P193" s="799" t="n"/>
      <c r="Q193" s="25" t="n"/>
      <c r="R193" s="804" t="n"/>
      <c r="T193" s="805" t="n"/>
    </row>
    <row r="194" ht="14.1" customHeight="1" s="797">
      <c r="A194" s="647" t="inlineStr">
        <is>
          <t>납입기간 / 기납입기간</t>
        </is>
      </c>
      <c r="B194" s="798" t="n"/>
      <c r="C194" s="806" t="n"/>
      <c r="D194" s="807" t="n"/>
      <c r="E194" s="806" t="n"/>
      <c r="F194" s="807">
        <f>IF(DATEDIF(E193,$T$1,"m")&lt;E194*12,DATEDIF(E193,$T$1,"m"),E194*12)</f>
        <v/>
      </c>
      <c r="G194" s="806" t="n"/>
      <c r="H194" s="807">
        <f>IF(DATEDIF(G193,$T$1,"m")&lt;G194*12,DATEDIF(G193,$T$1,"m"),G194*12)</f>
        <v/>
      </c>
      <c r="I194" s="806" t="n"/>
      <c r="J194" s="807">
        <f>IF(DATEDIF(I193,$T$1,"m")&lt;I194*12,DATEDIF(I193,$T$1,"m"),I194*12)</f>
        <v/>
      </c>
      <c r="K194" s="806" t="n"/>
      <c r="L194" s="807">
        <f>IF(DATEDIF(K193,$T$1,"m")&lt;K194*12,DATEDIF(K193,$T$1,"m"),K194*12)</f>
        <v/>
      </c>
      <c r="M194" s="806" t="n"/>
      <c r="N194" s="949">
        <f>IF(DATEDIF(M193,$T$1,"m")&lt;M194*12,DATEDIF(M193,$T$1,"m"),M194*12)</f>
        <v/>
      </c>
      <c r="O194" s="806" t="n"/>
      <c r="P194" s="807">
        <f>IF(DATEDIF(O193,$T$1,"m")&lt;O194*12,DATEDIF(O193,$T$1,"m"),O194*12)</f>
        <v/>
      </c>
      <c r="Q194" s="25" t="n"/>
      <c r="R194" s="804" t="n"/>
      <c r="T194" s="805" t="n"/>
    </row>
    <row r="195" ht="14.1" customHeight="1" s="797">
      <c r="A195" s="647" t="inlineStr">
        <is>
          <t>보장기간</t>
        </is>
      </c>
      <c r="B195" s="798" t="n"/>
      <c r="C195" s="645" t="n"/>
      <c r="D195" s="799" t="n"/>
      <c r="E195" s="645" t="n"/>
      <c r="F195" s="799" t="n"/>
      <c r="G195" s="645" t="n"/>
      <c r="H195" s="799" t="n"/>
      <c r="I195" s="645" t="n"/>
      <c r="J195" s="799" t="n"/>
      <c r="K195" s="645" t="n"/>
      <c r="L195" s="799" t="n"/>
      <c r="M195" s="645" t="n"/>
      <c r="N195" s="799" t="n"/>
      <c r="O195" s="645" t="n"/>
      <c r="P195" s="799" t="n"/>
      <c r="Q195" s="25" t="n"/>
      <c r="R195" s="808" t="n"/>
      <c r="S195" s="809" t="n"/>
      <c r="T195" s="810" t="n"/>
    </row>
    <row r="196" ht="14.1" customHeight="1" s="797">
      <c r="A196" s="632" t="inlineStr">
        <is>
          <t>비고 / 갱신종류</t>
        </is>
      </c>
      <c r="B196" s="811" t="n"/>
      <c r="C196" s="642" t="n"/>
      <c r="D196" s="799" t="n"/>
      <c r="E196" s="642" t="n"/>
      <c r="F196" s="799" t="n"/>
      <c r="G196" s="642" t="n"/>
      <c r="H196" s="799" t="n"/>
      <c r="I196" s="642" t="n"/>
      <c r="J196" s="799" t="n"/>
      <c r="K196" s="642" t="n"/>
      <c r="L196" s="799" t="n"/>
      <c r="M196" s="642" t="n"/>
      <c r="N196" s="799" t="n"/>
      <c r="O196" s="642" t="n"/>
      <c r="P196" s="799" t="n"/>
      <c r="Q196" s="25" t="n"/>
      <c r="R196" s="950" t="n"/>
      <c r="S196" s="798" t="n"/>
      <c r="T196" s="27" t="inlineStr">
        <is>
          <t>총 보장 (원)</t>
        </is>
      </c>
    </row>
    <row r="197" ht="14.1" customHeight="1" s="797">
      <c r="A197" s="639" t="inlineStr">
        <is>
          <t>월 보험료</t>
        </is>
      </c>
      <c r="B197" s="798" t="n"/>
      <c r="C197" s="813" t="n"/>
      <c r="D197" s="799" t="n"/>
      <c r="E197" s="813" t="n"/>
      <c r="F197" s="799" t="n"/>
      <c r="G197" s="813" t="n"/>
      <c r="H197" s="799" t="n"/>
      <c r="I197" s="813" t="n"/>
      <c r="J197" s="799" t="n"/>
      <c r="K197" s="813" t="n"/>
      <c r="L197" s="799" t="n"/>
      <c r="M197" s="813" t="n"/>
      <c r="N197" s="799" t="n"/>
      <c r="O197" s="813" t="n"/>
      <c r="P197" s="799" t="n"/>
      <c r="Q197" s="814" t="n"/>
      <c r="R197" s="982" t="inlineStr">
        <is>
          <t>합산 월 보험료</t>
        </is>
      </c>
      <c r="S197" s="798" t="n"/>
      <c r="T197" s="951">
        <f>T134+C197+E197+G197+I197+K197+O197</f>
        <v/>
      </c>
    </row>
    <row r="198" ht="14.1" customHeight="1" s="797">
      <c r="A198" s="647" t="inlineStr">
        <is>
          <t>보험료 총액</t>
        </is>
      </c>
      <c r="B198" s="798" t="n"/>
      <c r="C198" s="817" t="n"/>
      <c r="D198" s="799" t="n"/>
      <c r="E198" s="817">
        <f>E197*E194*12</f>
        <v/>
      </c>
      <c r="F198" s="799" t="n"/>
      <c r="G198" s="817">
        <f>G197*G194*12</f>
        <v/>
      </c>
      <c r="H198" s="799" t="n"/>
      <c r="I198" s="817">
        <f>I197*I194*12</f>
        <v/>
      </c>
      <c r="J198" s="799" t="n"/>
      <c r="K198" s="817">
        <f>K197*K194*12</f>
        <v/>
      </c>
      <c r="L198" s="799" t="n"/>
      <c r="M198" s="817">
        <f>M197*M194*12</f>
        <v/>
      </c>
      <c r="N198" s="799" t="n"/>
      <c r="O198" s="817">
        <f>O197*O194*12</f>
        <v/>
      </c>
      <c r="P198" s="799" t="n"/>
      <c r="Q198" s="814" t="n"/>
      <c r="R198" s="982" t="inlineStr">
        <is>
          <t>합산 보험료 총액</t>
        </is>
      </c>
      <c r="S198" s="798" t="n"/>
      <c r="T198" s="952">
        <f>T135+C198+E198+G198+I198+K198+O198</f>
        <v/>
      </c>
    </row>
    <row r="199" ht="14.1" customHeight="1" s="797">
      <c r="A199" s="647" t="inlineStr">
        <is>
          <t>기 납입금</t>
        </is>
      </c>
      <c r="B199" s="798" t="n"/>
      <c r="C199" s="817" t="n"/>
      <c r="D199" s="799" t="n"/>
      <c r="E199" s="817">
        <f>E197*F194</f>
        <v/>
      </c>
      <c r="F199" s="799" t="n"/>
      <c r="G199" s="817">
        <f>G197*H194</f>
        <v/>
      </c>
      <c r="H199" s="799" t="n"/>
      <c r="I199" s="817">
        <f>I197*J194</f>
        <v/>
      </c>
      <c r="J199" s="799" t="n"/>
      <c r="K199" s="817">
        <f>K197*L194</f>
        <v/>
      </c>
      <c r="L199" s="799" t="n"/>
      <c r="M199" s="817">
        <f>M197*N194</f>
        <v/>
      </c>
      <c r="N199" s="799" t="n"/>
      <c r="O199" s="817">
        <f>O197*P194</f>
        <v/>
      </c>
      <c r="P199" s="799" t="n"/>
      <c r="Q199" s="814" t="n"/>
      <c r="R199" s="982" t="inlineStr">
        <is>
          <t>합산 기 납입금</t>
        </is>
      </c>
      <c r="S199" s="798" t="n"/>
      <c r="T199" s="952">
        <f>T136+C199+E199+G199+I199+K199+O199</f>
        <v/>
      </c>
    </row>
    <row r="200" ht="14.1" customHeight="1" s="797" thickBot="1">
      <c r="A200" s="632" t="inlineStr">
        <is>
          <t>미 납입금</t>
        </is>
      </c>
      <c r="B200" s="811" t="n"/>
      <c r="C200" s="817" t="n"/>
      <c r="D200" s="799" t="n"/>
      <c r="E200" s="817">
        <f>E198-E199</f>
        <v/>
      </c>
      <c r="F200" s="799" t="n"/>
      <c r="G200" s="817">
        <f>G198-G199</f>
        <v/>
      </c>
      <c r="H200" s="799" t="n"/>
      <c r="I200" s="817">
        <f>I198-I199</f>
        <v/>
      </c>
      <c r="J200" s="799" t="n"/>
      <c r="K200" s="817">
        <f>K198-K199</f>
        <v/>
      </c>
      <c r="L200" s="799" t="n"/>
      <c r="M200" s="817">
        <f>M198-M199</f>
        <v/>
      </c>
      <c r="N200" s="799" t="n"/>
      <c r="O200" s="817">
        <f>O198-O199</f>
        <v/>
      </c>
      <c r="P200" s="799" t="n"/>
      <c r="Q200" s="814" t="n"/>
      <c r="R200" s="983" t="inlineStr">
        <is>
          <t>합산 미 납입금</t>
        </is>
      </c>
      <c r="S200" s="954" t="n"/>
      <c r="T200" s="955">
        <f>T137+C200+E200+G200+I200+K200+O200</f>
        <v/>
      </c>
    </row>
    <row r="201" ht="14.1" customHeight="1" s="797">
      <c r="A201" s="821" t="inlineStr">
        <is>
          <t>실비
(갱신)</t>
        </is>
      </c>
      <c r="B201" s="457" t="inlineStr">
        <is>
          <t>질병입원의료비</t>
        </is>
      </c>
      <c r="C201" s="828" t="n"/>
      <c r="D201" s="829" t="n"/>
      <c r="E201" s="828" t="n"/>
      <c r="F201" s="956" t="n"/>
      <c r="G201" s="828" t="n"/>
      <c r="H201" s="880" t="n"/>
      <c r="I201" s="828" t="n"/>
      <c r="J201" s="880" t="n"/>
      <c r="K201" s="828" t="n"/>
      <c r="L201" s="829" t="n"/>
      <c r="M201" s="828" t="n"/>
      <c r="N201" s="827" t="n"/>
      <c r="O201" s="826" t="n"/>
      <c r="P201" s="827" t="n"/>
      <c r="Q201" s="830" t="n"/>
      <c r="R201" s="821" t="inlineStr">
        <is>
          <t>실비
(갱신)</t>
        </is>
      </c>
      <c r="S201" s="352" t="inlineStr">
        <is>
          <t>질병입원의료비</t>
        </is>
      </c>
      <c r="T201" s="957">
        <f>T138+C201+E201+G201+I201+K201+M201+O201</f>
        <v/>
      </c>
    </row>
    <row r="202" ht="14.1" customHeight="1" s="797">
      <c r="A202" s="832" t="n"/>
      <c r="B202" s="458" t="inlineStr">
        <is>
          <t>질병통원의료비</t>
        </is>
      </c>
      <c r="C202" s="838" t="n"/>
      <c r="D202" s="839" t="n"/>
      <c r="E202" s="838" t="n"/>
      <c r="F202" s="958" t="n"/>
      <c r="G202" s="838" t="n"/>
      <c r="H202" s="894" t="n"/>
      <c r="I202" s="838" t="n"/>
      <c r="J202" s="894" t="n"/>
      <c r="K202" s="838" t="n"/>
      <c r="L202" s="839" t="n"/>
      <c r="M202" s="838" t="n"/>
      <c r="N202" s="837" t="n"/>
      <c r="O202" s="836" t="n"/>
      <c r="P202" s="837" t="n"/>
      <c r="Q202" s="830" t="n"/>
      <c r="R202" s="832" t="n"/>
      <c r="S202" s="353" t="inlineStr">
        <is>
          <t>질병통원의료비</t>
        </is>
      </c>
      <c r="T202" s="959">
        <f>T139+C202+E202+G202+I202+K202+M202+O202</f>
        <v/>
      </c>
    </row>
    <row r="203" ht="14.1" customHeight="1" s="797">
      <c r="A203" s="832" t="n"/>
      <c r="B203" s="458" t="inlineStr">
        <is>
          <t>상해입원의료비</t>
        </is>
      </c>
      <c r="C203" s="838" t="n"/>
      <c r="D203" s="839" t="n"/>
      <c r="E203" s="838" t="n"/>
      <c r="F203" s="958" t="n"/>
      <c r="G203" s="838" t="n"/>
      <c r="H203" s="894" t="n"/>
      <c r="I203" s="838" t="n"/>
      <c r="J203" s="894" t="n"/>
      <c r="K203" s="838" t="n"/>
      <c r="L203" s="839" t="n"/>
      <c r="M203" s="838" t="n"/>
      <c r="N203" s="837" t="n"/>
      <c r="O203" s="836" t="n"/>
      <c r="P203" s="837" t="n"/>
      <c r="Q203" s="830" t="n"/>
      <c r="R203" s="832" t="n"/>
      <c r="S203" s="353" t="inlineStr">
        <is>
          <t>상해입원의료비</t>
        </is>
      </c>
      <c r="T203" s="959">
        <f>T140+C203+E203+G203+I203+K203+M203+O203</f>
        <v/>
      </c>
    </row>
    <row r="204" ht="14.1" customHeight="1" s="797">
      <c r="A204" s="832" t="n"/>
      <c r="B204" s="458" t="inlineStr">
        <is>
          <t>상해통원의료비</t>
        </is>
      </c>
      <c r="C204" s="838" t="n"/>
      <c r="D204" s="839" t="n"/>
      <c r="E204" s="838" t="n"/>
      <c r="F204" s="958" t="n"/>
      <c r="G204" s="838" t="n"/>
      <c r="H204" s="894" t="n"/>
      <c r="I204" s="838" t="n"/>
      <c r="J204" s="894" t="n"/>
      <c r="K204" s="838" t="n"/>
      <c r="L204" s="839" t="n"/>
      <c r="M204" s="838" t="n"/>
      <c r="N204" s="837" t="n"/>
      <c r="O204" s="836" t="n"/>
      <c r="P204" s="837" t="n"/>
      <c r="Q204" s="830" t="n"/>
      <c r="R204" s="832" t="n"/>
      <c r="S204" s="353" t="inlineStr">
        <is>
          <t>상해통원의료비</t>
        </is>
      </c>
      <c r="T204" s="959">
        <f>T141+C204+E204+G204+I204+K204+M204+O204</f>
        <v/>
      </c>
    </row>
    <row r="205" ht="14.1" customHeight="1" s="797" thickBot="1">
      <c r="A205" s="841" t="n"/>
      <c r="B205" s="459" t="inlineStr">
        <is>
          <t>3대비급여 의료비</t>
        </is>
      </c>
      <c r="C205" s="847" t="n"/>
      <c r="D205" s="848" t="n"/>
      <c r="E205" s="847" t="n"/>
      <c r="F205" s="960" t="n"/>
      <c r="G205" s="847" t="n"/>
      <c r="H205" s="885" t="n"/>
      <c r="I205" s="847" t="n"/>
      <c r="J205" s="885" t="n"/>
      <c r="K205" s="847" t="n"/>
      <c r="L205" s="848" t="n"/>
      <c r="M205" s="847" t="n"/>
      <c r="N205" s="846" t="n"/>
      <c r="O205" s="845" t="n"/>
      <c r="P205" s="846" t="n"/>
      <c r="Q205" s="830" t="n"/>
      <c r="R205" s="841" t="n"/>
      <c r="S205" s="354" t="inlineStr">
        <is>
          <t>3대비급여 의료비</t>
        </is>
      </c>
      <c r="T205" s="963">
        <f>T142+C205+E205+G205+I205+K205+M205+O205</f>
        <v/>
      </c>
    </row>
    <row r="206" ht="14.1" customHeight="1" s="797">
      <c r="A206" s="624" t="inlineStr">
        <is>
          <t>암</t>
        </is>
      </c>
      <c r="B206" s="460" t="inlineStr">
        <is>
          <t>암진단</t>
        </is>
      </c>
      <c r="C206" s="828" t="n"/>
      <c r="D206" s="908" t="n"/>
      <c r="E206" s="828" t="n"/>
      <c r="F206" s="880" t="n"/>
      <c r="G206" s="828" t="n"/>
      <c r="H206" s="880" t="n"/>
      <c r="I206" s="828" t="n"/>
      <c r="J206" s="880" t="n"/>
      <c r="K206" s="828" t="n"/>
      <c r="L206" s="913" t="n"/>
      <c r="M206" s="828" t="n"/>
      <c r="N206" s="829" t="n"/>
      <c r="O206" s="828" t="n"/>
      <c r="P206" s="827" t="n"/>
      <c r="Q206" s="830" t="n"/>
      <c r="R206" s="626" t="inlineStr">
        <is>
          <t>암</t>
        </is>
      </c>
      <c r="S206" s="490" t="inlineStr">
        <is>
          <t>암진단비</t>
        </is>
      </c>
      <c r="T206" s="957">
        <f>T143+C206+E206+G206+I206+K206+M206+O206</f>
        <v/>
      </c>
    </row>
    <row r="207" ht="14.1" customHeight="1" s="797">
      <c r="A207" s="832" t="n"/>
      <c r="B207" s="481" t="inlineStr">
        <is>
          <t>유사암진단</t>
        </is>
      </c>
      <c r="C207" s="838" t="n"/>
      <c r="D207" s="873" t="n"/>
      <c r="E207" s="838" t="n"/>
      <c r="F207" s="852" t="n"/>
      <c r="G207" s="838" t="n"/>
      <c r="H207" s="852" t="n"/>
      <c r="I207" s="838" t="n"/>
      <c r="J207" s="852" t="n"/>
      <c r="K207" s="838" t="n"/>
      <c r="L207" s="914" t="n"/>
      <c r="M207" s="838" t="n"/>
      <c r="N207" s="853" t="n"/>
      <c r="O207" s="856" t="n"/>
      <c r="P207" s="857" t="n"/>
      <c r="Q207" s="830" t="n"/>
      <c r="R207" s="832" t="n"/>
      <c r="S207" s="491" t="inlineStr">
        <is>
          <t>유사암진단</t>
        </is>
      </c>
      <c r="T207" s="959">
        <f>T144+C207+E207+G207+I207+K207+M207+O207</f>
        <v/>
      </c>
    </row>
    <row r="208" ht="14.1" customHeight="1" s="797" thickBot="1">
      <c r="A208" s="832" t="n"/>
      <c r="B208" s="553" t="inlineStr">
        <is>
          <t>전이암진단</t>
        </is>
      </c>
      <c r="C208" s="847" t="n"/>
      <c r="D208" s="961" t="n"/>
      <c r="E208" s="847" t="n"/>
      <c r="F208" s="910" t="n"/>
      <c r="G208" s="847" t="n"/>
      <c r="H208" s="910" t="n"/>
      <c r="I208" s="847" t="n"/>
      <c r="J208" s="910" t="n"/>
      <c r="K208" s="847" t="n"/>
      <c r="L208" s="916" t="n"/>
      <c r="M208" s="909" t="n"/>
      <c r="N208" s="877" t="n"/>
      <c r="O208" s="909" t="n"/>
      <c r="P208" s="962" t="n"/>
      <c r="Q208" s="830" t="n"/>
      <c r="R208" s="832" t="n"/>
      <c r="S208" s="566" t="inlineStr">
        <is>
          <t>전이암진단</t>
        </is>
      </c>
      <c r="T208" s="959">
        <f>T145+C208+E208+G208+I208+K208+M208+O208</f>
        <v/>
      </c>
    </row>
    <row r="209" ht="14.1" customHeight="1" s="797">
      <c r="A209" s="832" t="n"/>
      <c r="B209" s="554" t="inlineStr">
        <is>
          <t>암수술</t>
        </is>
      </c>
      <c r="C209" s="856" t="n"/>
      <c r="D209" s="873" t="n"/>
      <c r="E209" s="856" t="n"/>
      <c r="F209" s="852" t="n"/>
      <c r="G209" s="856" t="n"/>
      <c r="H209" s="852" t="n"/>
      <c r="I209" s="856" t="n"/>
      <c r="J209" s="852" t="n"/>
      <c r="K209" s="856" t="n"/>
      <c r="L209" s="914" t="n"/>
      <c r="M209" s="856" t="n"/>
      <c r="N209" s="853" t="n"/>
      <c r="O209" s="856" t="n"/>
      <c r="P209" s="857" t="n"/>
      <c r="Q209" s="830" t="n"/>
      <c r="R209" s="832" t="n"/>
      <c r="S209" s="343" t="inlineStr">
        <is>
          <t>암수술</t>
        </is>
      </c>
      <c r="T209" s="957">
        <f>T146+C209+E209+G209+I209+K209+M209+O209</f>
        <v/>
      </c>
    </row>
    <row r="210" ht="14.1" customHeight="1" s="797">
      <c r="A210" s="832" t="n"/>
      <c r="B210" s="555" t="inlineStr">
        <is>
          <t>다빈치로봇수술</t>
        </is>
      </c>
      <c r="C210" s="838" t="n"/>
      <c r="D210" s="873" t="n"/>
      <c r="E210" s="838" t="n"/>
      <c r="F210" s="852" t="n"/>
      <c r="G210" s="838" t="n"/>
      <c r="H210" s="852" t="n"/>
      <c r="I210" s="838" t="n"/>
      <c r="J210" s="852" t="n"/>
      <c r="K210" s="838" t="n"/>
      <c r="L210" s="914" t="n"/>
      <c r="M210" s="856" t="n"/>
      <c r="N210" s="853" t="n"/>
      <c r="O210" s="856" t="n"/>
      <c r="P210" s="857" t="n"/>
      <c r="Q210" s="830" t="n"/>
      <c r="R210" s="832" t="n"/>
      <c r="S210" s="326" t="inlineStr">
        <is>
          <t>다빈치로봇수술</t>
        </is>
      </c>
      <c r="T210" s="959">
        <f>T147+C210+E210+G210+I210+K210+M210+O210</f>
        <v/>
      </c>
    </row>
    <row r="211" ht="14.1" customHeight="1" s="797">
      <c r="A211" s="832" t="n"/>
      <c r="B211" s="556" t="inlineStr">
        <is>
          <t>항암방사선</t>
        </is>
      </c>
      <c r="C211" s="838" t="n"/>
      <c r="D211" s="873" t="n"/>
      <c r="E211" s="838" t="n"/>
      <c r="F211" s="852" t="n"/>
      <c r="G211" s="838" t="n"/>
      <c r="H211" s="852" t="n"/>
      <c r="I211" s="838" t="n"/>
      <c r="J211" s="852" t="n"/>
      <c r="K211" s="838" t="n"/>
      <c r="L211" s="914" t="n"/>
      <c r="M211" s="856" t="n"/>
      <c r="N211" s="853" t="n"/>
      <c r="O211" s="856" t="n"/>
      <c r="P211" s="857" t="n"/>
      <c r="Q211" s="830" t="n"/>
      <c r="R211" s="832" t="n"/>
      <c r="S211" s="343" t="inlineStr">
        <is>
          <t>항암방사선</t>
        </is>
      </c>
      <c r="T211" s="959">
        <f>T148+C211+E211+G211+I211+K211+M211+O211</f>
        <v/>
      </c>
    </row>
    <row r="212" ht="14.1" customHeight="1" s="797">
      <c r="A212" s="832" t="n"/>
      <c r="B212" s="555" t="inlineStr">
        <is>
          <t>중입자방사선</t>
        </is>
      </c>
      <c r="C212" s="838" t="n"/>
      <c r="D212" s="873" t="n"/>
      <c r="E212" s="838" t="n"/>
      <c r="F212" s="852" t="n"/>
      <c r="G212" s="838" t="n"/>
      <c r="H212" s="852" t="n"/>
      <c r="I212" s="838" t="n"/>
      <c r="J212" s="852" t="n"/>
      <c r="K212" s="838" t="n"/>
      <c r="L212" s="914" t="n"/>
      <c r="M212" s="856" t="n"/>
      <c r="N212" s="853" t="n"/>
      <c r="O212" s="856" t="n"/>
      <c r="P212" s="857" t="n"/>
      <c r="Q212" s="830" t="n"/>
      <c r="R212" s="832" t="n"/>
      <c r="S212" s="326" t="inlineStr">
        <is>
          <t>중입자방사선</t>
        </is>
      </c>
      <c r="T212" s="959">
        <f>T149+C212+E212+G212+I212+K212+M212+O212</f>
        <v/>
      </c>
    </row>
    <row r="213" ht="14.1" customHeight="1" s="797">
      <c r="A213" s="832" t="n"/>
      <c r="B213" s="555" t="inlineStr">
        <is>
          <t>양성자방사선</t>
        </is>
      </c>
      <c r="C213" s="838" t="n"/>
      <c r="D213" s="873" t="n"/>
      <c r="E213" s="838" t="n"/>
      <c r="F213" s="852" t="n"/>
      <c r="G213" s="838" t="n"/>
      <c r="H213" s="852" t="n"/>
      <c r="I213" s="838" t="n"/>
      <c r="J213" s="852" t="n"/>
      <c r="K213" s="838" t="n"/>
      <c r="L213" s="914" t="n"/>
      <c r="M213" s="856" t="n"/>
      <c r="N213" s="853" t="n"/>
      <c r="O213" s="856" t="n"/>
      <c r="P213" s="857" t="n"/>
      <c r="Q213" s="830" t="n"/>
      <c r="R213" s="832" t="n"/>
      <c r="S213" s="326" t="inlineStr">
        <is>
          <t>양성자방사선</t>
        </is>
      </c>
      <c r="T213" s="959">
        <f>T150+C213+E213+G213+I213+K213+M213+O213</f>
        <v/>
      </c>
    </row>
    <row r="214" ht="14.1" customHeight="1" s="797">
      <c r="A214" s="832" t="n"/>
      <c r="B214" s="555" t="inlineStr">
        <is>
          <t>세기조절방사선</t>
        </is>
      </c>
      <c r="C214" s="838" t="n"/>
      <c r="D214" s="873" t="n"/>
      <c r="E214" s="838" t="n"/>
      <c r="F214" s="852" t="n"/>
      <c r="G214" s="838" t="n"/>
      <c r="H214" s="852" t="n"/>
      <c r="I214" s="838" t="n"/>
      <c r="J214" s="852" t="n"/>
      <c r="K214" s="838" t="n"/>
      <c r="L214" s="914" t="n"/>
      <c r="M214" s="856" t="n"/>
      <c r="N214" s="853" t="n"/>
      <c r="O214" s="856" t="n"/>
      <c r="P214" s="857" t="n"/>
      <c r="Q214" s="830" t="n"/>
      <c r="R214" s="832" t="n"/>
      <c r="S214" s="326" t="inlineStr">
        <is>
          <t>세기조절방사선</t>
        </is>
      </c>
      <c r="T214" s="959">
        <f>T151+C214+E214+G214+I214+K214+M214+O214</f>
        <v/>
      </c>
    </row>
    <row r="215" ht="14.1" customHeight="1" s="797">
      <c r="A215" s="832" t="n"/>
      <c r="B215" s="556" t="inlineStr">
        <is>
          <t>항암약물</t>
        </is>
      </c>
      <c r="C215" s="838" t="n"/>
      <c r="D215" s="873" t="n"/>
      <c r="E215" s="862" t="n"/>
      <c r="F215" s="853" t="n"/>
      <c r="G215" s="862" t="n"/>
      <c r="H215" s="852" t="n"/>
      <c r="I215" s="862" t="n"/>
      <c r="J215" s="852" t="n"/>
      <c r="K215" s="862" t="n"/>
      <c r="L215" s="914" t="n"/>
      <c r="M215" s="859" t="n"/>
      <c r="N215" s="853" t="n"/>
      <c r="O215" s="856" t="n"/>
      <c r="P215" s="857" t="n"/>
      <c r="Q215" s="830" t="n"/>
      <c r="R215" s="832" t="n"/>
      <c r="S215" s="343" t="inlineStr">
        <is>
          <t>항암약물</t>
        </is>
      </c>
      <c r="T215" s="959">
        <f>T152+C215+E215+G215+I215+K215+M215+O215</f>
        <v/>
      </c>
    </row>
    <row r="216" ht="14.1" customHeight="1" s="797">
      <c r="A216" s="832" t="n"/>
      <c r="B216" s="555" t="inlineStr">
        <is>
          <t>표적항암약물</t>
        </is>
      </c>
      <c r="C216" s="862" t="n"/>
      <c r="D216" s="882" t="n"/>
      <c r="E216" s="862" t="n"/>
      <c r="F216" s="853" t="n"/>
      <c r="G216" s="862" t="n"/>
      <c r="H216" s="852" t="n"/>
      <c r="I216" s="862" t="n"/>
      <c r="J216" s="852" t="n"/>
      <c r="K216" s="862" t="n"/>
      <c r="L216" s="914" t="n"/>
      <c r="M216" s="859" t="n"/>
      <c r="N216" s="853" t="n"/>
      <c r="O216" s="859" t="n"/>
      <c r="P216" s="864" t="n"/>
      <c r="Q216" s="830" t="n"/>
      <c r="R216" s="832" t="n"/>
      <c r="S216" s="326" t="inlineStr">
        <is>
          <t>표적항암약물</t>
        </is>
      </c>
      <c r="T216" s="959">
        <f>T153+C216+E216+G216+I216+K216+M216+O216</f>
        <v/>
      </c>
    </row>
    <row r="217" ht="14.1" customHeight="1" s="797" thickBot="1">
      <c r="A217" s="832" t="n"/>
      <c r="B217" s="557" t="inlineStr">
        <is>
          <t>면역항암약물</t>
        </is>
      </c>
      <c r="C217" s="847" t="n"/>
      <c r="D217" s="848" t="n"/>
      <c r="E217" s="847" t="n"/>
      <c r="F217" s="871" t="n"/>
      <c r="G217" s="847" t="n"/>
      <c r="H217" s="852" t="n"/>
      <c r="I217" s="847" t="n"/>
      <c r="J217" s="852" t="n"/>
      <c r="K217" s="847" t="n"/>
      <c r="L217" s="914" t="n"/>
      <c r="M217" s="847" t="n"/>
      <c r="N217" s="853" t="n"/>
      <c r="O217" s="845" t="n"/>
      <c r="P217" s="846" t="n"/>
      <c r="Q217" s="830" t="n"/>
      <c r="R217" s="832" t="n"/>
      <c r="S217" s="327" t="inlineStr">
        <is>
          <t>면역항암약물</t>
        </is>
      </c>
      <c r="T217" s="963">
        <f>T154+C217+E217+G217+I217+K217+M217+O217</f>
        <v/>
      </c>
    </row>
    <row r="218" ht="14.1" customHeight="1" s="797">
      <c r="A218" s="628" t="inlineStr">
        <is>
          <t>2대
질병</t>
        </is>
      </c>
      <c r="B218" s="461" t="inlineStr">
        <is>
          <t>뇌혈관진단</t>
        </is>
      </c>
      <c r="C218" s="838" t="n"/>
      <c r="D218" s="829" t="n"/>
      <c r="E218" s="838" t="n"/>
      <c r="F218" s="880" t="n"/>
      <c r="G218" s="838" t="n"/>
      <c r="H218" s="880" t="n"/>
      <c r="I218" s="838" t="n"/>
      <c r="J218" s="880" t="n"/>
      <c r="K218" s="838" t="n"/>
      <c r="L218" s="913" t="n"/>
      <c r="M218" s="828" t="n"/>
      <c r="N218" s="829" t="n"/>
      <c r="O218" s="836" t="n"/>
      <c r="P218" s="827" t="n"/>
      <c r="Q218" s="830" t="n"/>
      <c r="R218" s="630" t="inlineStr">
        <is>
          <t>2대
질병</t>
        </is>
      </c>
      <c r="S218" s="379" t="inlineStr">
        <is>
          <t>뇌혈관</t>
        </is>
      </c>
      <c r="T218" s="957">
        <f>T155+C218+E218+G218+I218+K218+M218+O218</f>
        <v/>
      </c>
    </row>
    <row r="219" ht="14.1" customHeight="1" s="797">
      <c r="A219" s="832" t="n"/>
      <c r="B219" s="462" t="inlineStr">
        <is>
          <t>뇌졸증진단</t>
        </is>
      </c>
      <c r="C219" s="838" t="n"/>
      <c r="D219" s="853" t="n"/>
      <c r="E219" s="856" t="n"/>
      <c r="F219" s="852" t="n"/>
      <c r="G219" s="838" t="n"/>
      <c r="H219" s="852" t="n"/>
      <c r="I219" s="838" t="n"/>
      <c r="J219" s="852" t="n"/>
      <c r="K219" s="838" t="n"/>
      <c r="L219" s="914" t="n"/>
      <c r="M219" s="856" t="n"/>
      <c r="N219" s="853" t="n"/>
      <c r="O219" s="836" t="n"/>
      <c r="P219" s="857" t="n"/>
      <c r="Q219" s="830" t="n"/>
      <c r="R219" s="832" t="n"/>
      <c r="S219" s="380" t="inlineStr">
        <is>
          <t>뇌졸증</t>
        </is>
      </c>
      <c r="T219" s="959">
        <f>T156+C219+E219+G219+I219+K219+M219+O219</f>
        <v/>
      </c>
    </row>
    <row r="220" ht="14.1" customHeight="1" s="797" thickBot="1">
      <c r="A220" s="832" t="n"/>
      <c r="B220" s="463" t="inlineStr">
        <is>
          <t>뇌출혈진단</t>
        </is>
      </c>
      <c r="C220" s="859" t="n"/>
      <c r="D220" s="860" t="n"/>
      <c r="E220" s="859" t="n"/>
      <c r="F220" s="863" t="n"/>
      <c r="G220" s="859" t="n"/>
      <c r="H220" s="863" t="n"/>
      <c r="I220" s="859" t="n"/>
      <c r="J220" s="863" t="n"/>
      <c r="K220" s="859" t="n"/>
      <c r="L220" s="915" t="n"/>
      <c r="M220" s="859" t="n"/>
      <c r="N220" s="860" t="n"/>
      <c r="O220" s="883" t="n"/>
      <c r="P220" s="864" t="n"/>
      <c r="Q220" s="830" t="n"/>
      <c r="R220" s="832" t="n"/>
      <c r="S220" s="381" t="inlineStr">
        <is>
          <t>뇌출혈</t>
        </is>
      </c>
      <c r="T220" s="959">
        <f>T157+C220+E220+G220+I220+K220+M220+O220</f>
        <v/>
      </c>
    </row>
    <row r="221" ht="14.1" customHeight="1" s="797">
      <c r="A221" s="832" t="n"/>
      <c r="B221" s="461" t="inlineStr">
        <is>
          <t>심장질환진단</t>
        </is>
      </c>
      <c r="C221" s="828" t="n"/>
      <c r="D221" s="829" t="n"/>
      <c r="E221" s="828" t="n"/>
      <c r="F221" s="880" t="n"/>
      <c r="G221" s="828" t="n"/>
      <c r="H221" s="880" t="n"/>
      <c r="I221" s="828" t="n"/>
      <c r="J221" s="880" t="n"/>
      <c r="K221" s="828" t="n"/>
      <c r="L221" s="913" t="n"/>
      <c r="M221" s="828" t="n"/>
      <c r="N221" s="829" t="n"/>
      <c r="O221" s="826" t="n"/>
      <c r="P221" s="827" t="n"/>
      <c r="Q221" s="830" t="n"/>
      <c r="R221" s="832" t="n"/>
      <c r="S221" s="358" t="inlineStr">
        <is>
          <t>심장질환</t>
        </is>
      </c>
      <c r="T221" s="957">
        <f>T158+C221+E221+G221+I221+K221+M221+O221</f>
        <v/>
      </c>
    </row>
    <row r="222" ht="14.1" customHeight="1" s="797">
      <c r="A222" s="832" t="n"/>
      <c r="B222" s="488" t="inlineStr">
        <is>
          <t>허혈성심장진단</t>
        </is>
      </c>
      <c r="C222" s="838" t="n"/>
      <c r="D222" s="853" t="n"/>
      <c r="E222" s="838" t="n"/>
      <c r="F222" s="852" t="n"/>
      <c r="G222" s="838" t="n"/>
      <c r="H222" s="852" t="n"/>
      <c r="I222" s="838" t="n"/>
      <c r="J222" s="852" t="n"/>
      <c r="K222" s="838" t="n"/>
      <c r="L222" s="914" t="n"/>
      <c r="M222" s="838" t="n"/>
      <c r="N222" s="853" t="n"/>
      <c r="O222" s="836" t="n"/>
      <c r="P222" s="857" t="n"/>
      <c r="Q222" s="830" t="n"/>
      <c r="R222" s="832" t="n"/>
      <c r="S222" s="359" t="inlineStr">
        <is>
          <t>허혈성심장</t>
        </is>
      </c>
      <c r="T222" s="959">
        <f>T159+C222+E222+G222+I222+K222+M222+O222</f>
        <v/>
      </c>
    </row>
    <row r="223" ht="14.1" customHeight="1" s="797" thickBot="1">
      <c r="A223" s="832" t="n"/>
      <c r="B223" s="489" t="inlineStr">
        <is>
          <t>급성심근경색진단</t>
        </is>
      </c>
      <c r="C223" s="847" t="n"/>
      <c r="D223" s="848" t="n"/>
      <c r="E223" s="847" t="n"/>
      <c r="F223" s="885" t="n"/>
      <c r="G223" s="847" t="n"/>
      <c r="H223" s="885" t="n"/>
      <c r="I223" s="847" t="n"/>
      <c r="J223" s="885" t="n"/>
      <c r="K223" s="847" t="n"/>
      <c r="L223" s="891" t="n"/>
      <c r="M223" s="847" t="n"/>
      <c r="N223" s="848" t="n"/>
      <c r="O223" s="845" t="n"/>
      <c r="P223" s="887" t="n"/>
      <c r="Q223" s="830" t="n"/>
      <c r="R223" s="832" t="n"/>
      <c r="S223" s="360" t="inlineStr">
        <is>
          <t>급성심근경색</t>
        </is>
      </c>
      <c r="T223" s="959">
        <f>T160+C223+E223+G223+I223+K223+M223+O223</f>
        <v/>
      </c>
    </row>
    <row r="224" ht="14.1" customHeight="1" s="797">
      <c r="A224" s="832" t="n"/>
      <c r="B224" s="461" t="inlineStr">
        <is>
          <t>수술/시술비</t>
        </is>
      </c>
      <c r="C224" s="828" t="n"/>
      <c r="D224" s="829" t="n"/>
      <c r="E224" s="828" t="n"/>
      <c r="F224" s="880" t="n"/>
      <c r="G224" s="828" t="n"/>
      <c r="H224" s="880" t="n"/>
      <c r="I224" s="828" t="n"/>
      <c r="J224" s="880" t="n"/>
      <c r="K224" s="828" t="n"/>
      <c r="L224" s="913" t="n"/>
      <c r="M224" s="828" t="n"/>
      <c r="N224" s="829" t="n"/>
      <c r="O224" s="826" t="n"/>
      <c r="P224" s="827" t="n"/>
      <c r="Q224" s="830" t="n"/>
      <c r="R224" s="832" t="n"/>
      <c r="S224" s="361" t="inlineStr">
        <is>
          <t>수술비</t>
        </is>
      </c>
      <c r="T224" s="957">
        <f>T161+C224+E224+G224+I224+K224+M224+O224</f>
        <v/>
      </c>
    </row>
    <row r="225" ht="14.1" customHeight="1" s="797">
      <c r="A225" s="832" t="n"/>
      <c r="B225" s="488" t="inlineStr">
        <is>
          <t>혈전용해치료</t>
        </is>
      </c>
      <c r="C225" s="838" t="n"/>
      <c r="D225" s="853" t="n"/>
      <c r="E225" s="838" t="n"/>
      <c r="F225" s="852" t="n"/>
      <c r="G225" s="838" t="n"/>
      <c r="H225" s="852" t="n"/>
      <c r="I225" s="838" t="n"/>
      <c r="J225" s="852" t="n"/>
      <c r="K225" s="838" t="n"/>
      <c r="L225" s="914" t="n"/>
      <c r="M225" s="838" t="n"/>
      <c r="N225" s="853" t="n"/>
      <c r="O225" s="836" t="n"/>
      <c r="P225" s="857" t="n"/>
      <c r="Q225" s="830" t="n"/>
      <c r="R225" s="832" t="n"/>
      <c r="S225" s="362" t="inlineStr">
        <is>
          <t>혈전용해치료</t>
        </is>
      </c>
      <c r="T225" s="959">
        <f>T162+C225+E225+G225+I225+K225+M225+O225</f>
        <v/>
      </c>
    </row>
    <row r="226" ht="14.1" customHeight="1" s="797" thickBot="1">
      <c r="A226" s="832" t="n"/>
      <c r="B226" s="489" t="inlineStr">
        <is>
          <t>혈전제거치료</t>
        </is>
      </c>
      <c r="C226" s="847" t="n"/>
      <c r="D226" s="848" t="n"/>
      <c r="E226" s="847" t="n"/>
      <c r="F226" s="885" t="n"/>
      <c r="G226" s="847" t="n"/>
      <c r="H226" s="885" t="n"/>
      <c r="I226" s="847" t="n"/>
      <c r="J226" s="885" t="n"/>
      <c r="K226" s="847" t="n"/>
      <c r="L226" s="891" t="n"/>
      <c r="M226" s="847" t="n"/>
      <c r="N226" s="848" t="n"/>
      <c r="O226" s="845" t="n"/>
      <c r="P226" s="887" t="n"/>
      <c r="Q226" s="830" t="n"/>
      <c r="R226" s="832" t="n"/>
      <c r="S226" s="363" t="inlineStr">
        <is>
          <t>중환자실치료</t>
        </is>
      </c>
      <c r="T226" s="959">
        <f>T163+C226+E226+G226+I226+K226+M226+O226</f>
        <v/>
      </c>
    </row>
    <row r="227" ht="14.1" customHeight="1" s="797">
      <c r="A227" s="892" t="inlineStr">
        <is>
          <t>후유장해</t>
        </is>
      </c>
      <c r="B227" s="464" t="inlineStr">
        <is>
          <t>질병 80% 이상</t>
        </is>
      </c>
      <c r="C227" s="828" t="n"/>
      <c r="D227" s="966" t="n"/>
      <c r="E227" s="828" t="n"/>
      <c r="F227" s="880" t="n"/>
      <c r="G227" s="828" t="n"/>
      <c r="H227" s="880" t="n"/>
      <c r="I227" s="828" t="n"/>
      <c r="J227" s="880" t="n"/>
      <c r="K227" s="828" t="n"/>
      <c r="L227" s="913" t="n"/>
      <c r="M227" s="828" t="n"/>
      <c r="N227" s="829" t="n"/>
      <c r="O227" s="826" t="n"/>
      <c r="P227" s="827" t="n"/>
      <c r="Q227" s="830" t="n"/>
      <c r="R227" s="892" t="inlineStr">
        <is>
          <t>후유장해</t>
        </is>
      </c>
      <c r="S227" s="364" t="inlineStr">
        <is>
          <t>질병 80% 이상</t>
        </is>
      </c>
      <c r="T227" s="957">
        <f>T164+C227+E227+G227+I227+K227+M227+O227</f>
        <v/>
      </c>
    </row>
    <row r="228" ht="14.1" customHeight="1" s="797">
      <c r="A228" s="832" t="n"/>
      <c r="B228" s="465" t="inlineStr">
        <is>
          <t>질병 3% ~80%</t>
        </is>
      </c>
      <c r="C228" s="838" t="n"/>
      <c r="D228" s="967" t="n"/>
      <c r="E228" s="838" t="n"/>
      <c r="F228" s="931" t="n"/>
      <c r="G228" s="838" t="n"/>
      <c r="H228" s="894" t="n"/>
      <c r="I228" s="838" t="n"/>
      <c r="J228" s="894" t="n"/>
      <c r="K228" s="838" t="n"/>
      <c r="L228" s="968" t="n"/>
      <c r="M228" s="838" t="n"/>
      <c r="N228" s="839" t="n"/>
      <c r="O228" s="836" t="n"/>
      <c r="P228" s="837" t="n"/>
      <c r="Q228" s="830" t="n"/>
      <c r="R228" s="832" t="n"/>
      <c r="S228" s="365" t="inlineStr">
        <is>
          <t>질병 3% ~80%</t>
        </is>
      </c>
      <c r="T228" s="959">
        <f>T165+C228+E228+G228+I228+K228+M228+O228</f>
        <v/>
      </c>
    </row>
    <row r="229" ht="14.1" customHeight="1" s="797">
      <c r="A229" s="832" t="n"/>
      <c r="B229" s="465" t="inlineStr">
        <is>
          <t>상해 80% 이상</t>
        </is>
      </c>
      <c r="C229" s="838" t="n"/>
      <c r="D229" s="902" t="n"/>
      <c r="E229" s="838" t="n"/>
      <c r="F229" s="902" t="n"/>
      <c r="G229" s="838" t="n"/>
      <c r="H229" s="839" t="n"/>
      <c r="I229" s="838" t="n"/>
      <c r="J229" s="839" t="n"/>
      <c r="K229" s="838" t="n"/>
      <c r="L229" s="968" t="n"/>
      <c r="M229" s="838" t="n"/>
      <c r="N229" s="839" t="n"/>
      <c r="O229" s="836" t="n"/>
      <c r="P229" s="837" t="n"/>
      <c r="Q229" s="830" t="n"/>
      <c r="R229" s="832" t="n"/>
      <c r="S229" s="365" t="inlineStr">
        <is>
          <t>상해 80% 이상</t>
        </is>
      </c>
      <c r="T229" s="959">
        <f>T166+C229+E229+G229+I229+K229+M229+O229</f>
        <v/>
      </c>
    </row>
    <row r="230" ht="14.1" customHeight="1" s="797" thickBot="1">
      <c r="A230" s="841" t="n"/>
      <c r="B230" s="466" t="inlineStr">
        <is>
          <t>상해 3% ~ 80%</t>
        </is>
      </c>
      <c r="C230" s="847" t="n"/>
      <c r="D230" s="899" t="n"/>
      <c r="E230" s="847" t="n"/>
      <c r="F230" s="899" t="n"/>
      <c r="G230" s="838" t="n"/>
      <c r="H230" s="848" t="n"/>
      <c r="I230" s="838" t="n"/>
      <c r="J230" s="848" t="n"/>
      <c r="K230" s="838" t="n"/>
      <c r="L230" s="891" t="n"/>
      <c r="M230" s="847" t="n"/>
      <c r="N230" s="848" t="n"/>
      <c r="O230" s="845" t="n"/>
      <c r="P230" s="846" t="n"/>
      <c r="Q230" s="830" t="n"/>
      <c r="R230" s="841" t="n"/>
      <c r="S230" s="366" t="inlineStr">
        <is>
          <t>상해 3% ~ 80%</t>
        </is>
      </c>
      <c r="T230" s="959">
        <f>T167+C230+E230+G230+I230+K230+M230+O230</f>
        <v/>
      </c>
    </row>
    <row r="231" ht="14.1" customHeight="1" s="797">
      <c r="A231" s="897" t="inlineStr">
        <is>
          <t>사망</t>
        </is>
      </c>
      <c r="B231" s="467" t="inlineStr">
        <is>
          <t>일반</t>
        </is>
      </c>
      <c r="C231" s="856" t="n"/>
      <c r="D231" s="939" t="n"/>
      <c r="E231" s="828" t="n"/>
      <c r="F231" s="880" t="n"/>
      <c r="G231" s="828" t="n"/>
      <c r="H231" s="829" t="n"/>
      <c r="I231" s="828" t="n"/>
      <c r="J231" s="829" t="n"/>
      <c r="K231" s="828" t="n"/>
      <c r="L231" s="913" t="n"/>
      <c r="M231" s="828" t="n"/>
      <c r="N231" s="829" t="n"/>
      <c r="O231" s="826" t="n"/>
      <c r="P231" s="827" t="n"/>
      <c r="Q231" s="830" t="n"/>
      <c r="R231" s="897" t="inlineStr">
        <is>
          <t>사망</t>
        </is>
      </c>
      <c r="S231" s="367" t="inlineStr">
        <is>
          <t>일반</t>
        </is>
      </c>
      <c r="T231" s="957">
        <f>T168+C231+E231+G231+I231+K231+M231+O231</f>
        <v/>
      </c>
    </row>
    <row r="232" ht="14.1" customHeight="1" s="797">
      <c r="A232" s="832" t="n"/>
      <c r="B232" s="468" t="inlineStr">
        <is>
          <t>질병</t>
        </is>
      </c>
      <c r="C232" s="838" t="n"/>
      <c r="D232" s="931" t="n"/>
      <c r="E232" s="838" t="n"/>
      <c r="F232" s="894" t="n"/>
      <c r="G232" s="838" t="n"/>
      <c r="H232" s="839" t="n"/>
      <c r="I232" s="838" t="n"/>
      <c r="J232" s="839" t="n"/>
      <c r="K232" s="838" t="n"/>
      <c r="L232" s="968" t="n"/>
      <c r="M232" s="838" t="n"/>
      <c r="N232" s="839" t="n"/>
      <c r="O232" s="836" t="n"/>
      <c r="P232" s="837" t="n"/>
      <c r="Q232" s="830" t="n"/>
      <c r="R232" s="832" t="n"/>
      <c r="S232" s="368" t="inlineStr">
        <is>
          <t>질병</t>
        </is>
      </c>
      <c r="T232" s="959">
        <f>T169+C232+E232+G232+I232+K232+M232+O232</f>
        <v/>
      </c>
    </row>
    <row r="233" ht="14.1" customHeight="1" s="797" thickBot="1">
      <c r="A233" s="841" t="n"/>
      <c r="B233" s="469" t="inlineStr">
        <is>
          <t>상해</t>
        </is>
      </c>
      <c r="C233" s="847" t="n"/>
      <c r="D233" s="900" t="n"/>
      <c r="E233" s="847" t="n"/>
      <c r="F233" s="885" t="n"/>
      <c r="G233" s="847" t="n"/>
      <c r="H233" s="848" t="n"/>
      <c r="I233" s="847" t="n"/>
      <c r="J233" s="848" t="n"/>
      <c r="K233" s="847" t="n"/>
      <c r="L233" s="891" t="n"/>
      <c r="M233" s="847" t="n"/>
      <c r="N233" s="848" t="n"/>
      <c r="O233" s="901" t="n"/>
      <c r="P233" s="857" t="n"/>
      <c r="Q233" s="830" t="n"/>
      <c r="R233" s="841" t="n"/>
      <c r="S233" s="369" t="inlineStr">
        <is>
          <t>상해</t>
        </is>
      </c>
      <c r="T233" s="959">
        <f>T170+C233+E233+G233+I233+K233+M233+O233</f>
        <v/>
      </c>
    </row>
    <row r="234" ht="14.1" customHeight="1" s="797">
      <c r="A234" s="617" t="inlineStr">
        <is>
          <t>수술비</t>
        </is>
      </c>
      <c r="B234" s="470" t="inlineStr">
        <is>
          <t>질병</t>
        </is>
      </c>
      <c r="C234" s="828" t="n"/>
      <c r="D234" s="908" t="n"/>
      <c r="E234" s="828" t="n"/>
      <c r="F234" s="852" t="n"/>
      <c r="G234" s="828" t="n"/>
      <c r="H234" s="853" t="n"/>
      <c r="I234" s="828" t="n"/>
      <c r="J234" s="853" t="n"/>
      <c r="K234" s="828" t="n"/>
      <c r="L234" s="913" t="n"/>
      <c r="M234" s="856" t="n"/>
      <c r="N234" s="853" t="n"/>
      <c r="O234" s="826" t="n"/>
      <c r="P234" s="827" t="n"/>
      <c r="Q234" s="830" t="n"/>
      <c r="R234" s="617" t="inlineStr">
        <is>
          <t>수술비</t>
        </is>
      </c>
      <c r="S234" s="480" t="inlineStr">
        <is>
          <t>질병</t>
        </is>
      </c>
      <c r="T234" s="957">
        <f>T171+C234+E234+G234+I234+K234+M234+O234</f>
        <v/>
      </c>
    </row>
    <row r="235" ht="14.1" customHeight="1" s="797">
      <c r="A235" s="832" t="n"/>
      <c r="B235" s="470" t="inlineStr">
        <is>
          <t>상해</t>
        </is>
      </c>
      <c r="C235" s="838" t="n"/>
      <c r="D235" s="902" t="n"/>
      <c r="E235" s="838" t="n"/>
      <c r="F235" s="894" t="n"/>
      <c r="G235" s="838" t="n"/>
      <c r="H235" s="839" t="n"/>
      <c r="I235" s="838" t="n"/>
      <c r="J235" s="839" t="n"/>
      <c r="K235" s="838" t="n"/>
      <c r="L235" s="968" t="n"/>
      <c r="M235" s="838" t="n"/>
      <c r="N235" s="853" t="n"/>
      <c r="O235" s="836" t="n"/>
      <c r="P235" s="837" t="n"/>
      <c r="Q235" s="830" t="n"/>
      <c r="R235" s="832" t="n"/>
      <c r="S235" s="480" t="inlineStr">
        <is>
          <t>상해</t>
        </is>
      </c>
      <c r="T235" s="959">
        <f>T172+C235+E235+G235+I235+K235+M235+O235</f>
        <v/>
      </c>
    </row>
    <row r="236" ht="14.1" customHeight="1" s="797">
      <c r="A236" s="832" t="n"/>
      <c r="B236" s="470" t="inlineStr">
        <is>
          <t>1-5종</t>
        </is>
      </c>
      <c r="C236" s="838" t="n"/>
      <c r="D236" s="902" t="n"/>
      <c r="E236" s="838" t="n"/>
      <c r="F236" s="852" t="n"/>
      <c r="G236" s="838" t="n"/>
      <c r="H236" s="853" t="n"/>
      <c r="I236" s="838" t="n"/>
      <c r="J236" s="853" t="n"/>
      <c r="K236" s="838" t="n"/>
      <c r="L236" s="914" t="n"/>
      <c r="M236" s="838" t="n"/>
      <c r="N236" s="853" t="n"/>
      <c r="O236" s="836" t="n"/>
      <c r="P236" s="837" t="n"/>
      <c r="Q236" s="830" t="n"/>
      <c r="R236" s="832" t="n"/>
      <c r="S236" s="480" t="inlineStr">
        <is>
          <t>1-5종</t>
        </is>
      </c>
      <c r="T236" s="959">
        <f>T173+C236+E236+G236+I236+K236+M236+O236</f>
        <v/>
      </c>
    </row>
    <row r="237" ht="14.1" customHeight="1" s="797" thickBot="1">
      <c r="A237" s="832" t="n"/>
      <c r="B237" s="471" t="inlineStr">
        <is>
          <t>N대질병</t>
        </is>
      </c>
      <c r="C237" s="862" t="n"/>
      <c r="D237" s="899" t="n"/>
      <c r="E237" s="862" t="n"/>
      <c r="F237" s="863" t="n"/>
      <c r="G237" s="862" t="n"/>
      <c r="H237" s="860" t="n"/>
      <c r="I237" s="862" t="n"/>
      <c r="J237" s="860" t="n"/>
      <c r="K237" s="862" t="n"/>
      <c r="L237" s="969" t="n"/>
      <c r="M237" s="862" t="n"/>
      <c r="N237" s="905" t="n"/>
      <c r="O237" s="907" t="n"/>
      <c r="P237" s="887" t="n"/>
      <c r="Q237" s="830" t="n"/>
      <c r="R237" s="832" t="n"/>
      <c r="S237" s="513" t="inlineStr">
        <is>
          <t>N대질병</t>
        </is>
      </c>
      <c r="T237" s="959">
        <f>T174+C237+E237+G237+I237+K237+M237+O237</f>
        <v/>
      </c>
    </row>
    <row r="238" ht="14.1" customHeight="1" s="797">
      <c r="A238" s="603" t="inlineStr">
        <is>
          <t>상해진단</t>
        </is>
      </c>
      <c r="B238" s="472" t="inlineStr">
        <is>
          <t>골절</t>
        </is>
      </c>
      <c r="C238" s="828" t="n"/>
      <c r="D238" s="908" t="n"/>
      <c r="E238" s="828" t="n"/>
      <c r="F238" s="880" t="n"/>
      <c r="G238" s="828" t="n"/>
      <c r="H238" s="829" t="n"/>
      <c r="I238" s="828" t="n"/>
      <c r="J238" s="829" t="n"/>
      <c r="K238" s="828" t="n"/>
      <c r="L238" s="913" t="n"/>
      <c r="M238" s="828" t="n"/>
      <c r="N238" s="829" t="n"/>
      <c r="O238" s="826" t="n"/>
      <c r="P238" s="827" t="n"/>
      <c r="Q238" s="830" t="n"/>
      <c r="R238" s="603" t="inlineStr">
        <is>
          <t>상해진단</t>
        </is>
      </c>
      <c r="S238" s="483" t="inlineStr">
        <is>
          <t>골절</t>
        </is>
      </c>
      <c r="T238" s="957">
        <f>T175+C238+E238+G238+I238+K238+M238+O238</f>
        <v/>
      </c>
    </row>
    <row r="239" ht="14.1" customHeight="1" s="797" thickBot="1">
      <c r="A239" s="832" t="n"/>
      <c r="B239" s="482" t="inlineStr">
        <is>
          <t>화상</t>
        </is>
      </c>
      <c r="C239" s="909" t="n"/>
      <c r="D239" s="970" t="n"/>
      <c r="E239" s="909" t="n"/>
      <c r="F239" s="885" t="n"/>
      <c r="G239" s="909" t="n"/>
      <c r="H239" s="848" t="n"/>
      <c r="I239" s="909" t="n"/>
      <c r="J239" s="848" t="n"/>
      <c r="K239" s="909" t="n"/>
      <c r="L239" s="916" t="n"/>
      <c r="M239" s="909" t="n"/>
      <c r="N239" s="877" t="n"/>
      <c r="O239" s="911" t="n"/>
      <c r="P239" s="846" t="n"/>
      <c r="Q239" s="830" t="n"/>
      <c r="R239" s="832" t="n"/>
      <c r="S239" s="503" t="inlineStr">
        <is>
          <t>화상</t>
        </is>
      </c>
      <c r="T239" s="959">
        <f>T176+C239+E239+G239+I239+K239+M239+O239</f>
        <v/>
      </c>
    </row>
    <row r="240" ht="14.1" customHeight="1" s="797">
      <c r="A240" s="605" t="inlineStr">
        <is>
          <t>입원비</t>
        </is>
      </c>
      <c r="B240" s="484" t="inlineStr">
        <is>
          <t>질병</t>
        </is>
      </c>
      <c r="C240" s="859" t="n"/>
      <c r="D240" s="971" t="n"/>
      <c r="E240" s="859" t="n"/>
      <c r="F240" s="863" t="n"/>
      <c r="G240" s="859" t="n"/>
      <c r="H240" s="860" t="n"/>
      <c r="I240" s="859" t="n"/>
      <c r="J240" s="860" t="n"/>
      <c r="K240" s="859" t="n"/>
      <c r="L240" s="915" t="n"/>
      <c r="M240" s="859" t="n"/>
      <c r="N240" s="860" t="n"/>
      <c r="O240" s="883" t="n"/>
      <c r="P240" s="864" t="n"/>
      <c r="Q240" s="830" t="n"/>
      <c r="R240" s="605" t="inlineStr">
        <is>
          <t>입원비</t>
        </is>
      </c>
      <c r="S240" s="486" t="inlineStr">
        <is>
          <t>질병</t>
        </is>
      </c>
      <c r="T240" s="957">
        <f>T177+C240+E240+G240+I240+K240+M240+O240</f>
        <v/>
      </c>
    </row>
    <row r="241" ht="14.1" customHeight="1" s="797" thickBot="1">
      <c r="A241" s="912" t="n"/>
      <c r="B241" s="485" t="inlineStr">
        <is>
          <t>상해</t>
        </is>
      </c>
      <c r="C241" s="859" t="n"/>
      <c r="D241" s="971" t="n"/>
      <c r="E241" s="859" t="n"/>
      <c r="F241" s="863" t="n"/>
      <c r="G241" s="859" t="n"/>
      <c r="H241" s="860" t="n"/>
      <c r="I241" s="859" t="n"/>
      <c r="J241" s="860" t="n"/>
      <c r="K241" s="859" t="n"/>
      <c r="L241" s="915" t="n"/>
      <c r="M241" s="859" t="n"/>
      <c r="N241" s="860" t="n"/>
      <c r="O241" s="883" t="n"/>
      <c r="P241" s="864" t="n"/>
      <c r="Q241" s="830" t="n"/>
      <c r="R241" s="912" t="n"/>
      <c r="S241" s="559" t="inlineStr">
        <is>
          <t>상해</t>
        </is>
      </c>
      <c r="T241" s="959">
        <f>T178+C241+E241+G241+I241+K241+M241+O241</f>
        <v/>
      </c>
    </row>
    <row r="242" ht="14.1" customHeight="1" s="797">
      <c r="A242" s="609" t="inlineStr">
        <is>
          <t>간병인</t>
        </is>
      </c>
      <c r="B242" s="473" t="inlineStr">
        <is>
          <t>병원사용</t>
        </is>
      </c>
      <c r="C242" s="828" t="n"/>
      <c r="D242" s="966" t="n"/>
      <c r="E242" s="828" t="n"/>
      <c r="F242" s="880" t="n"/>
      <c r="G242" s="828" t="n"/>
      <c r="H242" s="913" t="n"/>
      <c r="I242" s="828" t="n"/>
      <c r="J242" s="829" t="n"/>
      <c r="K242" s="828" t="n"/>
      <c r="L242" s="913" t="n"/>
      <c r="M242" s="828" t="n"/>
      <c r="N242" s="829" t="n"/>
      <c r="O242" s="826" t="n"/>
      <c r="P242" s="827" t="n"/>
      <c r="Q242" s="830" t="n"/>
      <c r="R242" s="973" t="inlineStr">
        <is>
          <t>간병인</t>
        </is>
      </c>
      <c r="S242" s="562" t="inlineStr">
        <is>
          <t>병원사용</t>
        </is>
      </c>
      <c r="T242" s="957">
        <f>T179+C242+E242+G242+I242+K242+M242+O242</f>
        <v/>
      </c>
    </row>
    <row r="243" ht="14.1" customHeight="1" s="797">
      <c r="A243" s="832" t="n"/>
      <c r="B243" s="474" t="inlineStr">
        <is>
          <t>요양병원사용</t>
        </is>
      </c>
      <c r="C243" s="859" t="n"/>
      <c r="D243" s="971" t="n"/>
      <c r="E243" s="859" t="n"/>
      <c r="F243" s="852" t="n"/>
      <c r="G243" s="859" t="n"/>
      <c r="H243" s="914" t="n"/>
      <c r="I243" s="859" t="n"/>
      <c r="J243" s="853" t="n"/>
      <c r="K243" s="859" t="n"/>
      <c r="L243" s="915" t="n"/>
      <c r="M243" s="859" t="n"/>
      <c r="N243" s="860" t="n"/>
      <c r="O243" s="883" t="n"/>
      <c r="P243" s="864" t="n"/>
      <c r="Q243" s="830" t="n"/>
      <c r="R243" s="832" t="n"/>
      <c r="S243" s="504" t="inlineStr">
        <is>
          <t>요양병원사용</t>
        </is>
      </c>
      <c r="T243" s="959">
        <f>T180+C243+E243+G243+I243+K243+M243+O243</f>
        <v/>
      </c>
    </row>
    <row r="244" ht="14.1" customHeight="1" s="797" thickBot="1">
      <c r="A244" s="841" t="n"/>
      <c r="B244" s="475" t="inlineStr">
        <is>
          <t>간호간병통합사용</t>
        </is>
      </c>
      <c r="C244" s="847" t="n"/>
      <c r="D244" s="974" t="n"/>
      <c r="E244" s="847" t="n"/>
      <c r="F244" s="852" t="n"/>
      <c r="G244" s="847" t="n"/>
      <c r="H244" s="914" t="n"/>
      <c r="I244" s="847" t="n"/>
      <c r="J244" s="853" t="n"/>
      <c r="K244" s="847" t="n"/>
      <c r="L244" s="891" t="n"/>
      <c r="M244" s="847" t="n"/>
      <c r="N244" s="848" t="n"/>
      <c r="O244" s="845" t="n"/>
      <c r="P244" s="846" t="n"/>
      <c r="Q244" s="830" t="n"/>
      <c r="R244" s="841" t="n"/>
      <c r="S244" s="505" t="inlineStr">
        <is>
          <t>간호간병통합사용</t>
        </is>
      </c>
      <c r="T244" s="959">
        <f>T181+C244+E244+G244+I244+K244+M244+O244</f>
        <v/>
      </c>
    </row>
    <row r="245" ht="14.1" customHeight="1" s="797">
      <c r="A245" s="917" t="inlineStr">
        <is>
          <t>운전자</t>
        </is>
      </c>
      <c r="B245" s="476" t="inlineStr">
        <is>
          <t>벌금</t>
        </is>
      </c>
      <c r="C245" s="828" t="n"/>
      <c r="D245" s="975" t="n"/>
      <c r="E245" s="826" t="n"/>
      <c r="F245" s="880" t="n"/>
      <c r="G245" s="828" t="n"/>
      <c r="H245" s="913" t="n"/>
      <c r="I245" s="828" t="n"/>
      <c r="J245" s="829" t="n"/>
      <c r="K245" s="828" t="n"/>
      <c r="L245" s="913" t="n"/>
      <c r="M245" s="828" t="n"/>
      <c r="N245" s="829" t="n"/>
      <c r="O245" s="836" t="n"/>
      <c r="P245" s="827" t="n"/>
      <c r="Q245" s="830" t="n"/>
      <c r="R245" s="917" t="inlineStr">
        <is>
          <t>운전자</t>
        </is>
      </c>
      <c r="S245" s="377" t="inlineStr">
        <is>
          <t>벌금</t>
        </is>
      </c>
      <c r="T245" s="957">
        <f>T182+C245+E245+G245+I245+K245+M245+O245</f>
        <v/>
      </c>
    </row>
    <row r="246" ht="14.1" customHeight="1" s="797">
      <c r="A246" s="832" t="n"/>
      <c r="B246" s="476" t="inlineStr">
        <is>
          <t>변호사선임</t>
        </is>
      </c>
      <c r="C246" s="838" t="n"/>
      <c r="D246" s="976" t="n"/>
      <c r="E246" s="836" t="n"/>
      <c r="F246" s="894" t="n"/>
      <c r="G246" s="838" t="n"/>
      <c r="H246" s="968" t="n"/>
      <c r="I246" s="838" t="n"/>
      <c r="J246" s="443" t="n"/>
      <c r="K246" s="838" t="n"/>
      <c r="L246" s="968" t="n"/>
      <c r="M246" s="838" t="n"/>
      <c r="N246" s="839" t="n"/>
      <c r="O246" s="836" t="n"/>
      <c r="P246" s="837" t="n"/>
      <c r="Q246" s="830" t="n"/>
      <c r="R246" s="832" t="n"/>
      <c r="S246" s="377" t="inlineStr">
        <is>
          <t>변호사선임</t>
        </is>
      </c>
      <c r="T246" s="959">
        <f>T183+C246+E246+G246+I246+K246+M246+O246</f>
        <v/>
      </c>
    </row>
    <row r="247" ht="14.1" customHeight="1" s="797" thickBot="1">
      <c r="A247" s="841" t="n"/>
      <c r="B247" s="477" t="inlineStr">
        <is>
          <t>교통사고처리지원</t>
        </is>
      </c>
      <c r="C247" s="856" t="n"/>
      <c r="D247" s="967" t="n"/>
      <c r="E247" s="901" t="n"/>
      <c r="F247" s="852" t="n"/>
      <c r="G247" s="856" t="n"/>
      <c r="H247" s="914" t="n"/>
      <c r="I247" s="856" t="n"/>
      <c r="J247" s="839" t="n"/>
      <c r="K247" s="856" t="n"/>
      <c r="L247" s="914" t="n"/>
      <c r="M247" s="856" t="n"/>
      <c r="N247" s="853" t="n"/>
      <c r="O247" s="836" t="n"/>
      <c r="P247" s="837" t="n"/>
      <c r="Q247" s="830" t="n"/>
      <c r="R247" s="841" t="n"/>
      <c r="S247" s="378" t="inlineStr">
        <is>
          <t>교통사고처리지원</t>
        </is>
      </c>
      <c r="T247" s="959">
        <f>T184+C247+E247+G247+I247+K247+M247+O247</f>
        <v/>
      </c>
    </row>
    <row r="248" ht="14.1" customHeight="1" s="797" thickBot="1">
      <c r="A248" s="585" t="inlineStr">
        <is>
          <t>일상생활배상책임</t>
        </is>
      </c>
      <c r="B248" s="919" t="n"/>
      <c r="C248" s="920" t="n"/>
      <c r="D248" s="977" t="n"/>
      <c r="E248" s="920" t="n"/>
      <c r="F248" s="922" t="n"/>
      <c r="G248" s="920" t="n"/>
      <c r="H248" s="978" t="n"/>
      <c r="I248" s="920" t="n"/>
      <c r="J248" s="923" t="n"/>
      <c r="K248" s="920" t="n"/>
      <c r="L248" s="978" t="n"/>
      <c r="M248" s="920" t="n"/>
      <c r="N248" s="923" t="n"/>
      <c r="O248" s="925" t="n"/>
      <c r="P248" s="926" t="n"/>
      <c r="Q248" s="830" t="n"/>
      <c r="R248" s="585" t="inlineStr">
        <is>
          <t>일상생활배상책임</t>
        </is>
      </c>
      <c r="S248" s="919" t="n"/>
      <c r="T248" s="957">
        <f>T185+C248+E248+G248+I248+K248+M248+O248</f>
        <v/>
      </c>
    </row>
    <row r="249" ht="14.1" customHeight="1" s="797">
      <c r="A249" s="928" t="inlineStr">
        <is>
          <t>기타</t>
        </is>
      </c>
      <c r="B249" s="929" t="n"/>
      <c r="C249" s="930" t="n"/>
      <c r="D249" s="829" t="n"/>
      <c r="E249" s="930" t="n"/>
      <c r="F249" s="839" t="n"/>
      <c r="G249" s="930" t="n"/>
      <c r="H249" s="913" t="n"/>
      <c r="I249" s="930" t="n"/>
      <c r="J249" s="979" t="n"/>
      <c r="K249" s="938" t="n"/>
      <c r="L249" s="913" t="n"/>
      <c r="M249" s="930" t="n"/>
      <c r="N249" s="914" t="n"/>
      <c r="O249" s="930" t="n"/>
      <c r="P249" s="827" t="n"/>
      <c r="Q249" s="830" t="n"/>
      <c r="R249" s="935" t="inlineStr">
        <is>
          <t>기타</t>
        </is>
      </c>
      <c r="S249" s="980" t="n"/>
      <c r="T249" s="937" t="n"/>
    </row>
    <row r="250" ht="14.1" customHeight="1" s="797">
      <c r="A250" s="804" t="n"/>
      <c r="C250" s="938" t="n"/>
      <c r="D250" s="839" t="n"/>
      <c r="E250" s="938" t="n"/>
      <c r="F250" s="853" t="n"/>
      <c r="G250" s="938" t="n"/>
      <c r="H250" s="968" t="n"/>
      <c r="I250" s="938" t="n"/>
      <c r="J250" s="839" t="n"/>
      <c r="K250" s="454" t="n"/>
      <c r="L250" s="968" t="n"/>
      <c r="M250" s="938" t="n"/>
      <c r="N250" s="968" t="n"/>
      <c r="O250" s="938" t="n"/>
      <c r="P250" s="837" t="n"/>
      <c r="Q250" s="830" t="n"/>
      <c r="R250" s="804" t="n"/>
      <c r="S250" s="804" t="n"/>
      <c r="T250" s="805" t="n"/>
    </row>
    <row r="251" ht="14.1" customHeight="1" s="797">
      <c r="A251" s="804" t="n"/>
      <c r="C251" s="938" t="n"/>
      <c r="D251" s="839" t="n"/>
      <c r="E251" s="938" t="n"/>
      <c r="F251" s="853" t="n"/>
      <c r="G251" s="938" t="n"/>
      <c r="H251" s="968" t="n"/>
      <c r="I251" s="938" t="n"/>
      <c r="J251" s="853" t="n"/>
      <c r="K251" s="938" t="n"/>
      <c r="L251" s="839" t="n"/>
      <c r="M251" s="938" t="n"/>
      <c r="N251" s="914" t="n"/>
      <c r="O251" s="938" t="n"/>
      <c r="P251" s="837" t="n"/>
      <c r="Q251" s="830" t="n"/>
      <c r="R251" s="804" t="n"/>
      <c r="S251" s="804" t="n"/>
      <c r="T251" s="805" t="n"/>
    </row>
    <row r="252" ht="14.1" customHeight="1" s="797" thickBot="1">
      <c r="A252" s="942" t="n"/>
      <c r="B252" s="943" t="n"/>
      <c r="C252" s="944" t="n"/>
      <c r="D252" s="848" t="n"/>
      <c r="E252" s="944" t="n"/>
      <c r="F252" s="981" t="n"/>
      <c r="G252" s="944" t="n"/>
      <c r="H252" s="891" t="n"/>
      <c r="I252" s="944" t="n"/>
      <c r="J252" s="885" t="n"/>
      <c r="K252" s="944" t="n"/>
      <c r="L252" s="885" t="n"/>
      <c r="M252" s="944" t="n"/>
      <c r="N252" s="848" t="n"/>
      <c r="O252" s="944" t="n"/>
      <c r="P252" s="846" t="n"/>
      <c r="Q252" s="830" t="n"/>
      <c r="R252" s="942" t="n"/>
      <c r="S252" s="942" t="n"/>
      <c r="T252" s="946" t="n"/>
    </row>
    <row r="253" ht="18.95" customHeight="1" s="797">
      <c r="A253" s="947">
        <f>A190</f>
        <v/>
      </c>
      <c r="B253" s="796" t="n"/>
      <c r="C253" s="649" t="n"/>
      <c r="D253" s="794" t="n"/>
      <c r="E253" s="649" t="n"/>
      <c r="F253" s="794" t="n"/>
      <c r="G253" s="649" t="n"/>
      <c r="H253" s="794" t="n"/>
      <c r="I253" s="649" t="n"/>
      <c r="J253" s="794" t="n"/>
      <c r="K253" s="649" t="n"/>
      <c r="L253" s="794" t="n"/>
      <c r="M253" s="649" t="n"/>
      <c r="N253" s="794" t="n"/>
      <c r="O253" s="649" t="n"/>
      <c r="P253" s="794" t="n"/>
      <c r="Q253" s="138" t="n"/>
      <c r="R253" s="795" t="inlineStr">
        <is>
          <t>평가 기준일</t>
        </is>
      </c>
      <c r="S253" s="796" t="n"/>
      <c r="T253" s="137">
        <f>T190</f>
        <v/>
      </c>
    </row>
    <row r="254" ht="14.1" customHeight="1" s="797">
      <c r="A254" s="647" t="inlineStr">
        <is>
          <t>상품명</t>
        </is>
      </c>
      <c r="B254" s="798" t="n"/>
      <c r="C254" s="645" t="n"/>
      <c r="D254" s="799" t="n"/>
      <c r="E254" s="645" t="n"/>
      <c r="F254" s="799" t="n"/>
      <c r="G254" s="645" t="n"/>
      <c r="H254" s="799" t="n"/>
      <c r="I254" s="645" t="n"/>
      <c r="J254" s="799" t="n"/>
      <c r="K254" s="645" t="n"/>
      <c r="L254" s="799" t="n"/>
      <c r="M254" s="645" t="n"/>
      <c r="N254" s="799" t="n"/>
      <c r="O254" s="645" t="n"/>
      <c r="P254" s="799" t="n"/>
      <c r="Q254" s="25" t="n"/>
      <c r="R254" s="948" t="n"/>
      <c r="S254" s="801" t="n"/>
      <c r="T254" s="802" t="n"/>
    </row>
    <row r="255" ht="14.1" customHeight="1" s="797">
      <c r="A255" s="647" t="inlineStr">
        <is>
          <t>계약자 / 피보험자</t>
        </is>
      </c>
      <c r="B255" s="798" t="n"/>
      <c r="C255" s="645" t="n"/>
      <c r="D255" s="799" t="n"/>
      <c r="E255" s="645" t="n"/>
      <c r="F255" s="799" t="n"/>
      <c r="G255" s="645" t="n"/>
      <c r="H255" s="799" t="n"/>
      <c r="I255" s="645" t="n"/>
      <c r="J255" s="799" t="n"/>
      <c r="K255" s="645" t="n"/>
      <c r="L255" s="799" t="n"/>
      <c r="M255" s="645" t="n"/>
      <c r="N255" s="799" t="n"/>
      <c r="O255" s="646" t="n"/>
      <c r="P255" s="799" t="n"/>
      <c r="Q255" s="25" t="n"/>
      <c r="R255" s="804" t="n"/>
      <c r="T255" s="805" t="n"/>
    </row>
    <row r="256" ht="14.1" customHeight="1" s="797">
      <c r="A256" s="647" t="inlineStr">
        <is>
          <t>계약일자</t>
        </is>
      </c>
      <c r="B256" s="798" t="n"/>
      <c r="C256" s="646" t="n"/>
      <c r="D256" s="799" t="n"/>
      <c r="E256" s="646" t="n"/>
      <c r="F256" s="799" t="n"/>
      <c r="G256" s="646" t="n"/>
      <c r="H256" s="799" t="n"/>
      <c r="I256" s="646" t="n"/>
      <c r="J256" s="799" t="n"/>
      <c r="K256" s="646" t="n"/>
      <c r="L256" s="799" t="n"/>
      <c r="M256" s="646" t="n"/>
      <c r="N256" s="799" t="n"/>
      <c r="O256" s="646" t="n"/>
      <c r="P256" s="799" t="n"/>
      <c r="Q256" s="25" t="n"/>
      <c r="R256" s="804" t="n"/>
      <c r="T256" s="805" t="n"/>
    </row>
    <row r="257" ht="14.1" customHeight="1" s="797">
      <c r="A257" s="647" t="inlineStr">
        <is>
          <t>납입기간 / 기납입기간</t>
        </is>
      </c>
      <c r="B257" s="798" t="n"/>
      <c r="C257" s="806" t="n"/>
      <c r="D257" s="807" t="n"/>
      <c r="E257" s="806" t="n"/>
      <c r="F257" s="807">
        <f>IF(DATEDIF(E256,$T$1,"m")&lt;E257*12,DATEDIF(E256,$T$1,"m"),E257*12)</f>
        <v/>
      </c>
      <c r="G257" s="806" t="n"/>
      <c r="H257" s="807">
        <f>IF(DATEDIF(G256,$T$1,"m")&lt;G257*12,DATEDIF(G256,$T$1,"m"),G257*12)</f>
        <v/>
      </c>
      <c r="I257" s="806" t="n"/>
      <c r="J257" s="807">
        <f>IF(DATEDIF(I256,$T$1,"m")&lt;I257*12,DATEDIF(I256,$T$1,"m"),I257*12)</f>
        <v/>
      </c>
      <c r="K257" s="806" t="n"/>
      <c r="L257" s="807">
        <f>IF(DATEDIF(K256,$T$1,"m")&lt;K257*12,DATEDIF(K256,$T$1,"m"),K257*12)</f>
        <v/>
      </c>
      <c r="M257" s="806" t="n"/>
      <c r="N257" s="949">
        <f>IF(DATEDIF(M256,$T$1,"m")&lt;M257*12,DATEDIF(M256,$T$1,"m"),M257*12)</f>
        <v/>
      </c>
      <c r="O257" s="806" t="n"/>
      <c r="P257" s="807">
        <f>IF(DATEDIF(O256,$T$1,"m")&lt;O257*12,DATEDIF(O256,$T$1,"m"),O257*12)</f>
        <v/>
      </c>
      <c r="Q257" s="25" t="n"/>
      <c r="R257" s="804" t="n"/>
      <c r="T257" s="805" t="n"/>
    </row>
    <row r="258" ht="14.1" customHeight="1" s="797">
      <c r="A258" s="647" t="inlineStr">
        <is>
          <t>보장기간</t>
        </is>
      </c>
      <c r="B258" s="798" t="n"/>
      <c r="C258" s="645" t="n"/>
      <c r="D258" s="799" t="n"/>
      <c r="E258" s="645" t="n"/>
      <c r="F258" s="799" t="n"/>
      <c r="G258" s="645" t="n"/>
      <c r="H258" s="799" t="n"/>
      <c r="I258" s="645" t="n"/>
      <c r="J258" s="799" t="n"/>
      <c r="K258" s="645" t="n"/>
      <c r="L258" s="799" t="n"/>
      <c r="M258" s="645" t="n"/>
      <c r="N258" s="799" t="n"/>
      <c r="O258" s="645" t="n"/>
      <c r="P258" s="799" t="n"/>
      <c r="Q258" s="25" t="n"/>
      <c r="R258" s="808" t="n"/>
      <c r="S258" s="809" t="n"/>
      <c r="T258" s="810" t="n"/>
    </row>
    <row r="259" ht="14.1" customHeight="1" s="797">
      <c r="A259" s="632" t="inlineStr">
        <is>
          <t>비고 / 갱신종류</t>
        </is>
      </c>
      <c r="B259" s="811" t="n"/>
      <c r="C259" s="642" t="n"/>
      <c r="D259" s="799" t="n"/>
      <c r="E259" s="642" t="n"/>
      <c r="F259" s="799" t="n"/>
      <c r="G259" s="642" t="n"/>
      <c r="H259" s="799" t="n"/>
      <c r="I259" s="642" t="n"/>
      <c r="J259" s="799" t="n"/>
      <c r="K259" s="642" t="n"/>
      <c r="L259" s="799" t="n"/>
      <c r="M259" s="642" t="n"/>
      <c r="N259" s="799" t="n"/>
      <c r="O259" s="642" t="n"/>
      <c r="P259" s="799" t="n"/>
      <c r="Q259" s="25" t="n"/>
      <c r="R259" s="950" t="n"/>
      <c r="S259" s="798" t="n"/>
      <c r="T259" s="27" t="inlineStr">
        <is>
          <t>총 보장 (원)</t>
        </is>
      </c>
    </row>
    <row r="260" ht="14.1" customHeight="1" s="797">
      <c r="A260" s="639" t="inlineStr">
        <is>
          <t>월 보험료</t>
        </is>
      </c>
      <c r="B260" s="798" t="n"/>
      <c r="C260" s="813" t="n"/>
      <c r="D260" s="799" t="n"/>
      <c r="E260" s="813" t="n"/>
      <c r="F260" s="799" t="n"/>
      <c r="G260" s="813" t="n"/>
      <c r="H260" s="799" t="n"/>
      <c r="I260" s="813" t="n"/>
      <c r="J260" s="799" t="n"/>
      <c r="K260" s="813" t="n"/>
      <c r="L260" s="799" t="n"/>
      <c r="M260" s="813" t="n"/>
      <c r="N260" s="799" t="n"/>
      <c r="O260" s="813" t="n"/>
      <c r="P260" s="799" t="n"/>
      <c r="Q260" s="814" t="n"/>
      <c r="R260" s="982" t="inlineStr">
        <is>
          <t>합산 월 보험료</t>
        </is>
      </c>
      <c r="S260" s="798" t="n"/>
      <c r="T260" s="951">
        <f>T197+C260+E260+G260+I260+K260+O260</f>
        <v/>
      </c>
    </row>
    <row r="261" ht="14.1" customHeight="1" s="797">
      <c r="A261" s="647" t="inlineStr">
        <is>
          <t>보험료 총액</t>
        </is>
      </c>
      <c r="B261" s="798" t="n"/>
      <c r="C261" s="817" t="n"/>
      <c r="D261" s="799" t="n"/>
      <c r="E261" s="817">
        <f>E260*E257*12</f>
        <v/>
      </c>
      <c r="F261" s="799" t="n"/>
      <c r="G261" s="817">
        <f>G260*G257*12</f>
        <v/>
      </c>
      <c r="H261" s="799" t="n"/>
      <c r="I261" s="817">
        <f>I260*I257*12</f>
        <v/>
      </c>
      <c r="J261" s="799" t="n"/>
      <c r="K261" s="817">
        <f>K260*K257*12</f>
        <v/>
      </c>
      <c r="L261" s="799" t="n"/>
      <c r="M261" s="817">
        <f>M260*M257*12</f>
        <v/>
      </c>
      <c r="N261" s="799" t="n"/>
      <c r="O261" s="817">
        <f>O260*O257*12</f>
        <v/>
      </c>
      <c r="P261" s="799" t="n"/>
      <c r="Q261" s="814" t="n"/>
      <c r="R261" s="982" t="inlineStr">
        <is>
          <t>합산 보험료 총액</t>
        </is>
      </c>
      <c r="S261" s="798" t="n"/>
      <c r="T261" s="952">
        <f>T198+C261+E261+G261+I261+K261+O261</f>
        <v/>
      </c>
    </row>
    <row r="262" ht="14.1" customHeight="1" s="797">
      <c r="A262" s="647" t="inlineStr">
        <is>
          <t>기 납입금</t>
        </is>
      </c>
      <c r="B262" s="798" t="n"/>
      <c r="C262" s="817" t="n"/>
      <c r="D262" s="799" t="n"/>
      <c r="E262" s="817">
        <f>E260*F257</f>
        <v/>
      </c>
      <c r="F262" s="799" t="n"/>
      <c r="G262" s="817">
        <f>G260*H257</f>
        <v/>
      </c>
      <c r="H262" s="799" t="n"/>
      <c r="I262" s="817">
        <f>I260*J257</f>
        <v/>
      </c>
      <c r="J262" s="799" t="n"/>
      <c r="K262" s="817">
        <f>K260*L257</f>
        <v/>
      </c>
      <c r="L262" s="799" t="n"/>
      <c r="M262" s="817">
        <f>M260*N257</f>
        <v/>
      </c>
      <c r="N262" s="799" t="n"/>
      <c r="O262" s="817">
        <f>O260*P257</f>
        <v/>
      </c>
      <c r="P262" s="799" t="n"/>
      <c r="Q262" s="814" t="n"/>
      <c r="R262" s="982" t="inlineStr">
        <is>
          <t>합산 기 납입금</t>
        </is>
      </c>
      <c r="S262" s="798" t="n"/>
      <c r="T262" s="952">
        <f>T199+C262+E262+G262+I262+K262+O262</f>
        <v/>
      </c>
    </row>
    <row r="263" ht="14.1" customHeight="1" s="797" thickBot="1">
      <c r="A263" s="632" t="inlineStr">
        <is>
          <t>미 납입금</t>
        </is>
      </c>
      <c r="B263" s="811" t="n"/>
      <c r="C263" s="817" t="n"/>
      <c r="D263" s="799" t="n"/>
      <c r="E263" s="817">
        <f>E261-E262</f>
        <v/>
      </c>
      <c r="F263" s="799" t="n"/>
      <c r="G263" s="817">
        <f>G261-G262</f>
        <v/>
      </c>
      <c r="H263" s="799" t="n"/>
      <c r="I263" s="817">
        <f>I261-I262</f>
        <v/>
      </c>
      <c r="J263" s="799" t="n"/>
      <c r="K263" s="817">
        <f>K261-K262</f>
        <v/>
      </c>
      <c r="L263" s="799" t="n"/>
      <c r="M263" s="817">
        <f>M261-M262</f>
        <v/>
      </c>
      <c r="N263" s="799" t="n"/>
      <c r="O263" s="817">
        <f>O261-O262</f>
        <v/>
      </c>
      <c r="P263" s="799" t="n"/>
      <c r="Q263" s="814" t="n"/>
      <c r="R263" s="983" t="inlineStr">
        <is>
          <t>합산 미 납입금</t>
        </is>
      </c>
      <c r="S263" s="954" t="n"/>
      <c r="T263" s="955">
        <f>T200+C263+E263+G263+I263+K263+O263</f>
        <v/>
      </c>
    </row>
    <row r="264" ht="14.1" customHeight="1" s="797">
      <c r="A264" s="821" t="inlineStr">
        <is>
          <t>실비
(갱신)</t>
        </is>
      </c>
      <c r="B264" s="457" t="inlineStr">
        <is>
          <t>질병입원의료비</t>
        </is>
      </c>
      <c r="C264" s="828" t="n"/>
      <c r="D264" s="829" t="n"/>
      <c r="E264" s="828" t="n"/>
      <c r="F264" s="956" t="n"/>
      <c r="G264" s="828" t="n"/>
      <c r="H264" s="880" t="n"/>
      <c r="I264" s="828" t="n"/>
      <c r="J264" s="880" t="n"/>
      <c r="K264" s="828" t="n"/>
      <c r="L264" s="829" t="n"/>
      <c r="M264" s="828" t="n"/>
      <c r="N264" s="827" t="n"/>
      <c r="O264" s="826" t="n"/>
      <c r="P264" s="827" t="n"/>
      <c r="Q264" s="830" t="n"/>
      <c r="R264" s="821" t="inlineStr">
        <is>
          <t>실비
(갱신)</t>
        </is>
      </c>
      <c r="S264" s="352" t="inlineStr">
        <is>
          <t>질병입원의료비</t>
        </is>
      </c>
      <c r="T264" s="957">
        <f>T201+C264+E264+G264+I264+K264+M264+O264</f>
        <v/>
      </c>
    </row>
    <row r="265" ht="14.1" customHeight="1" s="797">
      <c r="A265" s="832" t="n"/>
      <c r="B265" s="458" t="inlineStr">
        <is>
          <t>질병통원의료비</t>
        </is>
      </c>
      <c r="C265" s="838" t="n"/>
      <c r="D265" s="839" t="n"/>
      <c r="E265" s="838" t="n"/>
      <c r="F265" s="958" t="n"/>
      <c r="G265" s="838" t="n"/>
      <c r="H265" s="894" t="n"/>
      <c r="I265" s="838" t="n"/>
      <c r="J265" s="894" t="n"/>
      <c r="K265" s="838" t="n"/>
      <c r="L265" s="839" t="n"/>
      <c r="M265" s="838" t="n"/>
      <c r="N265" s="837" t="n"/>
      <c r="O265" s="836" t="n"/>
      <c r="P265" s="837" t="n"/>
      <c r="Q265" s="830" t="n"/>
      <c r="R265" s="832" t="n"/>
      <c r="S265" s="353" t="inlineStr">
        <is>
          <t>질병통원의료비</t>
        </is>
      </c>
      <c r="T265" s="959">
        <f>T202+C265+E265+G265+I265+K265+M265+O265</f>
        <v/>
      </c>
    </row>
    <row r="266" ht="14.1" customHeight="1" s="797">
      <c r="A266" s="832" t="n"/>
      <c r="B266" s="458" t="inlineStr">
        <is>
          <t>상해입원의료비</t>
        </is>
      </c>
      <c r="C266" s="838" t="n"/>
      <c r="D266" s="839" t="n"/>
      <c r="E266" s="838" t="n"/>
      <c r="F266" s="958" t="n"/>
      <c r="G266" s="838" t="n"/>
      <c r="H266" s="894" t="n"/>
      <c r="I266" s="838" t="n"/>
      <c r="J266" s="894" t="n"/>
      <c r="K266" s="838" t="n"/>
      <c r="L266" s="839" t="n"/>
      <c r="M266" s="838" t="n"/>
      <c r="N266" s="837" t="n"/>
      <c r="O266" s="836" t="n"/>
      <c r="P266" s="837" t="n"/>
      <c r="Q266" s="830" t="n"/>
      <c r="R266" s="832" t="n"/>
      <c r="S266" s="353" t="inlineStr">
        <is>
          <t>상해입원의료비</t>
        </is>
      </c>
      <c r="T266" s="959">
        <f>T203+C266+E266+G266+I266+K266+M266+O266</f>
        <v/>
      </c>
    </row>
    <row r="267" ht="14.1" customHeight="1" s="797">
      <c r="A267" s="832" t="n"/>
      <c r="B267" s="458" t="inlineStr">
        <is>
          <t>상해통원의료비</t>
        </is>
      </c>
      <c r="C267" s="838" t="n"/>
      <c r="D267" s="839" t="n"/>
      <c r="E267" s="838" t="n"/>
      <c r="F267" s="958" t="n"/>
      <c r="G267" s="838" t="n"/>
      <c r="H267" s="894" t="n"/>
      <c r="I267" s="838" t="n"/>
      <c r="J267" s="894" t="n"/>
      <c r="K267" s="838" t="n"/>
      <c r="L267" s="839" t="n"/>
      <c r="M267" s="838" t="n"/>
      <c r="N267" s="837" t="n"/>
      <c r="O267" s="836" t="n"/>
      <c r="P267" s="837" t="n"/>
      <c r="Q267" s="830" t="n"/>
      <c r="R267" s="832" t="n"/>
      <c r="S267" s="353" t="inlineStr">
        <is>
          <t>상해통원의료비</t>
        </is>
      </c>
      <c r="T267" s="959">
        <f>T204+C267+E267+G267+I267+K267+M267+O267</f>
        <v/>
      </c>
    </row>
    <row r="268" ht="14.1" customHeight="1" s="797" thickBot="1">
      <c r="A268" s="841" t="n"/>
      <c r="B268" s="459" t="inlineStr">
        <is>
          <t>3대비급여 의료비</t>
        </is>
      </c>
      <c r="C268" s="847" t="n"/>
      <c r="D268" s="848" t="n"/>
      <c r="E268" s="847" t="n"/>
      <c r="F268" s="960" t="n"/>
      <c r="G268" s="847" t="n"/>
      <c r="H268" s="885" t="n"/>
      <c r="I268" s="847" t="n"/>
      <c r="J268" s="885" t="n"/>
      <c r="K268" s="847" t="n"/>
      <c r="L268" s="848" t="n"/>
      <c r="M268" s="847" t="n"/>
      <c r="N268" s="846" t="n"/>
      <c r="O268" s="845" t="n"/>
      <c r="P268" s="846" t="n"/>
      <c r="Q268" s="830" t="n"/>
      <c r="R268" s="841" t="n"/>
      <c r="S268" s="354" t="inlineStr">
        <is>
          <t>3대비급여 의료비</t>
        </is>
      </c>
      <c r="T268" s="963">
        <f>T205+C268+E268+G268+I268+K268+M268+O268</f>
        <v/>
      </c>
    </row>
    <row r="269" ht="14.1" customHeight="1" s="797">
      <c r="A269" s="624" t="inlineStr">
        <is>
          <t>암</t>
        </is>
      </c>
      <c r="B269" s="460" t="inlineStr">
        <is>
          <t>암진단</t>
        </is>
      </c>
      <c r="C269" s="828" t="n"/>
      <c r="D269" s="908" t="n"/>
      <c r="E269" s="828" t="n"/>
      <c r="F269" s="880" t="n"/>
      <c r="G269" s="828" t="n"/>
      <c r="H269" s="880" t="n"/>
      <c r="I269" s="828" t="n"/>
      <c r="J269" s="880" t="n"/>
      <c r="K269" s="828" t="n"/>
      <c r="L269" s="913" t="n"/>
      <c r="M269" s="828" t="n"/>
      <c r="N269" s="829" t="n"/>
      <c r="O269" s="828" t="n"/>
      <c r="P269" s="827" t="n"/>
      <c r="Q269" s="830" t="n"/>
      <c r="R269" s="626" t="inlineStr">
        <is>
          <t>암</t>
        </is>
      </c>
      <c r="S269" s="490" t="inlineStr">
        <is>
          <t>암진단비</t>
        </is>
      </c>
      <c r="T269" s="957">
        <f>T206+C269+E269+G269+I269+K269+M269+O269</f>
        <v/>
      </c>
    </row>
    <row r="270" ht="14.1" customHeight="1" s="797">
      <c r="A270" s="832" t="n"/>
      <c r="B270" s="481" t="inlineStr">
        <is>
          <t>유사암진단</t>
        </is>
      </c>
      <c r="C270" s="838" t="n"/>
      <c r="D270" s="873" t="n"/>
      <c r="E270" s="838" t="n"/>
      <c r="F270" s="852" t="n"/>
      <c r="G270" s="838" t="n"/>
      <c r="H270" s="852" t="n"/>
      <c r="I270" s="838" t="n"/>
      <c r="J270" s="852" t="n"/>
      <c r="K270" s="838" t="n"/>
      <c r="L270" s="914" t="n"/>
      <c r="M270" s="838" t="n"/>
      <c r="N270" s="853" t="n"/>
      <c r="O270" s="856" t="n"/>
      <c r="P270" s="857" t="n"/>
      <c r="Q270" s="830" t="n"/>
      <c r="R270" s="832" t="n"/>
      <c r="S270" s="491" t="inlineStr">
        <is>
          <t>유사암진단</t>
        </is>
      </c>
      <c r="T270" s="959">
        <f>T207+C270+E270+G270+I270+K270+M270+O270</f>
        <v/>
      </c>
    </row>
    <row r="271" ht="14.1" customHeight="1" s="797" thickBot="1">
      <c r="A271" s="832" t="n"/>
      <c r="B271" s="553" t="inlineStr">
        <is>
          <t>전이암진단</t>
        </is>
      </c>
      <c r="C271" s="847" t="n"/>
      <c r="D271" s="961" t="n"/>
      <c r="E271" s="847" t="n"/>
      <c r="F271" s="910" t="n"/>
      <c r="G271" s="847" t="n"/>
      <c r="H271" s="910" t="n"/>
      <c r="I271" s="847" t="n"/>
      <c r="J271" s="910" t="n"/>
      <c r="K271" s="847" t="n"/>
      <c r="L271" s="916" t="n"/>
      <c r="M271" s="909" t="n"/>
      <c r="N271" s="877" t="n"/>
      <c r="O271" s="909" t="n"/>
      <c r="P271" s="962" t="n"/>
      <c r="Q271" s="830" t="n"/>
      <c r="R271" s="832" t="n"/>
      <c r="S271" s="566" t="inlineStr">
        <is>
          <t>전이암진단</t>
        </is>
      </c>
      <c r="T271" s="959">
        <f>T208+C271+E271+G271+I271+K271+M271+O271</f>
        <v/>
      </c>
    </row>
    <row r="272" ht="14.1" customHeight="1" s="797">
      <c r="A272" s="832" t="n"/>
      <c r="B272" s="554" t="inlineStr">
        <is>
          <t>암수술</t>
        </is>
      </c>
      <c r="C272" s="856" t="n"/>
      <c r="D272" s="873" t="n"/>
      <c r="E272" s="856" t="n"/>
      <c r="F272" s="852" t="n"/>
      <c r="G272" s="856" t="n"/>
      <c r="H272" s="852" t="n"/>
      <c r="I272" s="856" t="n"/>
      <c r="J272" s="852" t="n"/>
      <c r="K272" s="856" t="n"/>
      <c r="L272" s="914" t="n"/>
      <c r="M272" s="856" t="n"/>
      <c r="N272" s="853" t="n"/>
      <c r="O272" s="856" t="n"/>
      <c r="P272" s="857" t="n"/>
      <c r="Q272" s="830" t="n"/>
      <c r="R272" s="832" t="n"/>
      <c r="S272" s="343" t="inlineStr">
        <is>
          <t>암수술</t>
        </is>
      </c>
      <c r="T272" s="957">
        <f>T209+C272+E272+G272+I272+K272+M272+O272</f>
        <v/>
      </c>
    </row>
    <row r="273" ht="14.1" customHeight="1" s="797">
      <c r="A273" s="832" t="n"/>
      <c r="B273" s="555" t="inlineStr">
        <is>
          <t>다빈치로봇수술</t>
        </is>
      </c>
      <c r="C273" s="838" t="n"/>
      <c r="D273" s="873" t="n"/>
      <c r="E273" s="838" t="n"/>
      <c r="F273" s="852" t="n"/>
      <c r="G273" s="838" t="n"/>
      <c r="H273" s="852" t="n"/>
      <c r="I273" s="838" t="n"/>
      <c r="J273" s="852" t="n"/>
      <c r="K273" s="838" t="n"/>
      <c r="L273" s="914" t="n"/>
      <c r="M273" s="856" t="n"/>
      <c r="N273" s="853" t="n"/>
      <c r="O273" s="856" t="n"/>
      <c r="P273" s="857" t="n"/>
      <c r="Q273" s="830" t="n"/>
      <c r="R273" s="832" t="n"/>
      <c r="S273" s="326" t="inlineStr">
        <is>
          <t>다빈치로봇수술</t>
        </is>
      </c>
      <c r="T273" s="959">
        <f>T210+C273+E273+G273+I273+K273+M273+O273</f>
        <v/>
      </c>
    </row>
    <row r="274" ht="14.1" customHeight="1" s="797">
      <c r="A274" s="832" t="n"/>
      <c r="B274" s="556" t="inlineStr">
        <is>
          <t>항암방사선</t>
        </is>
      </c>
      <c r="C274" s="838" t="n"/>
      <c r="D274" s="873" t="n"/>
      <c r="E274" s="838" t="n"/>
      <c r="F274" s="852" t="n"/>
      <c r="G274" s="838" t="n"/>
      <c r="H274" s="852" t="n"/>
      <c r="I274" s="838" t="n"/>
      <c r="J274" s="852" t="n"/>
      <c r="K274" s="838" t="n"/>
      <c r="L274" s="914" t="n"/>
      <c r="M274" s="856" t="n"/>
      <c r="N274" s="853" t="n"/>
      <c r="O274" s="856" t="n"/>
      <c r="P274" s="857" t="n"/>
      <c r="Q274" s="830" t="n"/>
      <c r="R274" s="832" t="n"/>
      <c r="S274" s="343" t="inlineStr">
        <is>
          <t>항암방사선</t>
        </is>
      </c>
      <c r="T274" s="959">
        <f>T211+C274+E274+G274+I274+K274+M274+O274</f>
        <v/>
      </c>
    </row>
    <row r="275" ht="14.1" customHeight="1" s="797">
      <c r="A275" s="832" t="n"/>
      <c r="B275" s="555" t="inlineStr">
        <is>
          <t>중입자방사선</t>
        </is>
      </c>
      <c r="C275" s="838" t="n"/>
      <c r="D275" s="873" t="n"/>
      <c r="E275" s="838" t="n"/>
      <c r="F275" s="852" t="n"/>
      <c r="G275" s="838" t="n"/>
      <c r="H275" s="852" t="n"/>
      <c r="I275" s="838" t="n"/>
      <c r="J275" s="852" t="n"/>
      <c r="K275" s="838" t="n"/>
      <c r="L275" s="914" t="n"/>
      <c r="M275" s="856" t="n"/>
      <c r="N275" s="853" t="n"/>
      <c r="O275" s="856" t="n"/>
      <c r="P275" s="857" t="n"/>
      <c r="Q275" s="830" t="n"/>
      <c r="R275" s="832" t="n"/>
      <c r="S275" s="326" t="inlineStr">
        <is>
          <t>중입자방사선</t>
        </is>
      </c>
      <c r="T275" s="959">
        <f>T212+C275+E275+G275+I275+K275+M275+O275</f>
        <v/>
      </c>
    </row>
    <row r="276" ht="14.1" customHeight="1" s="797">
      <c r="A276" s="832" t="n"/>
      <c r="B276" s="555" t="inlineStr">
        <is>
          <t>양성자방사선</t>
        </is>
      </c>
      <c r="C276" s="838" t="n"/>
      <c r="D276" s="873" t="n"/>
      <c r="E276" s="838" t="n"/>
      <c r="F276" s="852" t="n"/>
      <c r="G276" s="838" t="n"/>
      <c r="H276" s="852" t="n"/>
      <c r="I276" s="838" t="n"/>
      <c r="J276" s="852" t="n"/>
      <c r="K276" s="838" t="n"/>
      <c r="L276" s="914" t="n"/>
      <c r="M276" s="856" t="n"/>
      <c r="N276" s="853" t="n"/>
      <c r="O276" s="856" t="n"/>
      <c r="P276" s="857" t="n"/>
      <c r="Q276" s="830" t="n"/>
      <c r="R276" s="832" t="n"/>
      <c r="S276" s="326" t="inlineStr">
        <is>
          <t>양성자방사선</t>
        </is>
      </c>
      <c r="T276" s="959">
        <f>T213+C276+E276+G276+I276+K276+M276+O276</f>
        <v/>
      </c>
    </row>
    <row r="277" ht="14.1" customHeight="1" s="797">
      <c r="A277" s="832" t="n"/>
      <c r="B277" s="555" t="inlineStr">
        <is>
          <t>세기조절방사선</t>
        </is>
      </c>
      <c r="C277" s="838" t="n"/>
      <c r="D277" s="873" t="n"/>
      <c r="E277" s="838" t="n"/>
      <c r="F277" s="852" t="n"/>
      <c r="G277" s="838" t="n"/>
      <c r="H277" s="852" t="n"/>
      <c r="I277" s="838" t="n"/>
      <c r="J277" s="852" t="n"/>
      <c r="K277" s="838" t="n"/>
      <c r="L277" s="914" t="n"/>
      <c r="M277" s="856" t="n"/>
      <c r="N277" s="853" t="n"/>
      <c r="O277" s="856" t="n"/>
      <c r="P277" s="857" t="n"/>
      <c r="Q277" s="830" t="n"/>
      <c r="R277" s="832" t="n"/>
      <c r="S277" s="326" t="inlineStr">
        <is>
          <t>세기조절방사선</t>
        </is>
      </c>
      <c r="T277" s="959">
        <f>T214+C277+E277+G277+I277+K277+M277+O277</f>
        <v/>
      </c>
    </row>
    <row r="278" ht="14.1" customHeight="1" s="797">
      <c r="A278" s="832" t="n"/>
      <c r="B278" s="556" t="inlineStr">
        <is>
          <t>항암약물</t>
        </is>
      </c>
      <c r="C278" s="838" t="n"/>
      <c r="D278" s="873" t="n"/>
      <c r="E278" s="862" t="n"/>
      <c r="F278" s="853" t="n"/>
      <c r="G278" s="862" t="n"/>
      <c r="H278" s="852" t="n"/>
      <c r="I278" s="862" t="n"/>
      <c r="J278" s="852" t="n"/>
      <c r="K278" s="862" t="n"/>
      <c r="L278" s="914" t="n"/>
      <c r="M278" s="859" t="n"/>
      <c r="N278" s="853" t="n"/>
      <c r="O278" s="856" t="n"/>
      <c r="P278" s="857" t="n"/>
      <c r="Q278" s="830" t="n"/>
      <c r="R278" s="832" t="n"/>
      <c r="S278" s="343" t="inlineStr">
        <is>
          <t>항암약물</t>
        </is>
      </c>
      <c r="T278" s="959">
        <f>T215+C278+E278+G278+I278+K278+M278+O278</f>
        <v/>
      </c>
    </row>
    <row r="279" ht="14.1" customHeight="1" s="797">
      <c r="A279" s="832" t="n"/>
      <c r="B279" s="555" t="inlineStr">
        <is>
          <t>표적항암약물</t>
        </is>
      </c>
      <c r="C279" s="862" t="n"/>
      <c r="D279" s="882" t="n"/>
      <c r="E279" s="862" t="n"/>
      <c r="F279" s="853" t="n"/>
      <c r="G279" s="862" t="n"/>
      <c r="H279" s="852" t="n"/>
      <c r="I279" s="862" t="n"/>
      <c r="J279" s="852" t="n"/>
      <c r="K279" s="862" t="n"/>
      <c r="L279" s="914" t="n"/>
      <c r="M279" s="859" t="n"/>
      <c r="N279" s="853" t="n"/>
      <c r="O279" s="859" t="n"/>
      <c r="P279" s="864" t="n"/>
      <c r="Q279" s="830" t="n"/>
      <c r="R279" s="832" t="n"/>
      <c r="S279" s="326" t="inlineStr">
        <is>
          <t>표적항암약물</t>
        </is>
      </c>
      <c r="T279" s="959">
        <f>T216+C279+E279+G279+I279+K279+M279+O279</f>
        <v/>
      </c>
    </row>
    <row r="280" ht="14.1" customHeight="1" s="797" thickBot="1">
      <c r="A280" s="832" t="n"/>
      <c r="B280" s="557" t="inlineStr">
        <is>
          <t>면역항암약물</t>
        </is>
      </c>
      <c r="C280" s="847" t="n"/>
      <c r="D280" s="848" t="n"/>
      <c r="E280" s="847" t="n"/>
      <c r="F280" s="871" t="n"/>
      <c r="G280" s="847" t="n"/>
      <c r="H280" s="852" t="n"/>
      <c r="I280" s="847" t="n"/>
      <c r="J280" s="852" t="n"/>
      <c r="K280" s="847" t="n"/>
      <c r="L280" s="914" t="n"/>
      <c r="M280" s="847" t="n"/>
      <c r="N280" s="853" t="n"/>
      <c r="O280" s="845" t="n"/>
      <c r="P280" s="846" t="n"/>
      <c r="Q280" s="830" t="n"/>
      <c r="R280" s="832" t="n"/>
      <c r="S280" s="327" t="inlineStr">
        <is>
          <t>면역항암약물</t>
        </is>
      </c>
      <c r="T280" s="963">
        <f>T217+C280+E280+G280+I280+K280+M280+O280</f>
        <v/>
      </c>
    </row>
    <row r="281" ht="14.1" customHeight="1" s="797">
      <c r="A281" s="628" t="inlineStr">
        <is>
          <t>2대
질병</t>
        </is>
      </c>
      <c r="B281" s="461" t="inlineStr">
        <is>
          <t>뇌혈관진단</t>
        </is>
      </c>
      <c r="C281" s="838" t="n"/>
      <c r="D281" s="829" t="n"/>
      <c r="E281" s="838" t="n"/>
      <c r="F281" s="880" t="n"/>
      <c r="G281" s="838" t="n"/>
      <c r="H281" s="880" t="n"/>
      <c r="I281" s="838" t="n"/>
      <c r="J281" s="880" t="n"/>
      <c r="K281" s="838" t="n"/>
      <c r="L281" s="913" t="n"/>
      <c r="M281" s="828" t="n"/>
      <c r="N281" s="829" t="n"/>
      <c r="O281" s="836" t="n"/>
      <c r="P281" s="827" t="n"/>
      <c r="Q281" s="830" t="n"/>
      <c r="R281" s="630" t="inlineStr">
        <is>
          <t>2대
질병</t>
        </is>
      </c>
      <c r="S281" s="379" t="inlineStr">
        <is>
          <t>뇌혈관</t>
        </is>
      </c>
      <c r="T281" s="957">
        <f>T218+C281+E281+G281+I281+K281+M281+O281</f>
        <v/>
      </c>
    </row>
    <row r="282" ht="14.1" customHeight="1" s="797">
      <c r="A282" s="832" t="n"/>
      <c r="B282" s="462" t="inlineStr">
        <is>
          <t>뇌졸증진단</t>
        </is>
      </c>
      <c r="C282" s="838" t="n"/>
      <c r="D282" s="853" t="n"/>
      <c r="E282" s="856" t="n"/>
      <c r="F282" s="852" t="n"/>
      <c r="G282" s="838" t="n"/>
      <c r="H282" s="852" t="n"/>
      <c r="I282" s="838" t="n"/>
      <c r="J282" s="852" t="n"/>
      <c r="K282" s="838" t="n"/>
      <c r="L282" s="914" t="n"/>
      <c r="M282" s="856" t="n"/>
      <c r="N282" s="853" t="n"/>
      <c r="O282" s="836" t="n"/>
      <c r="P282" s="857" t="n"/>
      <c r="Q282" s="830" t="n"/>
      <c r="R282" s="832" t="n"/>
      <c r="S282" s="380" t="inlineStr">
        <is>
          <t>뇌졸증</t>
        </is>
      </c>
      <c r="T282" s="959">
        <f>T219+C282+E282+G282+I282+K282+M282+O282</f>
        <v/>
      </c>
    </row>
    <row r="283" ht="14.1" customHeight="1" s="797" thickBot="1">
      <c r="A283" s="832" t="n"/>
      <c r="B283" s="463" t="inlineStr">
        <is>
          <t>뇌출혈진단</t>
        </is>
      </c>
      <c r="C283" s="859" t="n"/>
      <c r="D283" s="860" t="n"/>
      <c r="E283" s="859" t="n"/>
      <c r="F283" s="863" t="n"/>
      <c r="G283" s="859" t="n"/>
      <c r="H283" s="863" t="n"/>
      <c r="I283" s="859" t="n"/>
      <c r="J283" s="863" t="n"/>
      <c r="K283" s="859" t="n"/>
      <c r="L283" s="915" t="n"/>
      <c r="M283" s="859" t="n"/>
      <c r="N283" s="860" t="n"/>
      <c r="O283" s="883" t="n"/>
      <c r="P283" s="864" t="n"/>
      <c r="Q283" s="830" t="n"/>
      <c r="R283" s="832" t="n"/>
      <c r="S283" s="381" t="inlineStr">
        <is>
          <t>뇌출혈</t>
        </is>
      </c>
      <c r="T283" s="959">
        <f>T220+C283+E283+G283+I283+K283+M283+O283</f>
        <v/>
      </c>
    </row>
    <row r="284" ht="14.1" customHeight="1" s="797">
      <c r="A284" s="832" t="n"/>
      <c r="B284" s="461" t="inlineStr">
        <is>
          <t>심장질환진단</t>
        </is>
      </c>
      <c r="C284" s="828" t="n"/>
      <c r="D284" s="829" t="n"/>
      <c r="E284" s="828" t="n"/>
      <c r="F284" s="880" t="n"/>
      <c r="G284" s="828" t="n"/>
      <c r="H284" s="880" t="n"/>
      <c r="I284" s="828" t="n"/>
      <c r="J284" s="880" t="n"/>
      <c r="K284" s="828" t="n"/>
      <c r="L284" s="913" t="n"/>
      <c r="M284" s="828" t="n"/>
      <c r="N284" s="829" t="n"/>
      <c r="O284" s="826" t="n"/>
      <c r="P284" s="827" t="n"/>
      <c r="Q284" s="830" t="n"/>
      <c r="R284" s="832" t="n"/>
      <c r="S284" s="358" t="inlineStr">
        <is>
          <t>심장질환</t>
        </is>
      </c>
      <c r="T284" s="957">
        <f>T221+C284+E284+G284+I284+K284+M284+O284</f>
        <v/>
      </c>
    </row>
    <row r="285" ht="14.1" customHeight="1" s="797">
      <c r="A285" s="832" t="n"/>
      <c r="B285" s="488" t="inlineStr">
        <is>
          <t>허혈성심장진단</t>
        </is>
      </c>
      <c r="C285" s="838" t="n"/>
      <c r="D285" s="853" t="n"/>
      <c r="E285" s="838" t="n"/>
      <c r="F285" s="852" t="n"/>
      <c r="G285" s="838" t="n"/>
      <c r="H285" s="852" t="n"/>
      <c r="I285" s="838" t="n"/>
      <c r="J285" s="852" t="n"/>
      <c r="K285" s="838" t="n"/>
      <c r="L285" s="914" t="n"/>
      <c r="M285" s="838" t="n"/>
      <c r="N285" s="853" t="n"/>
      <c r="O285" s="836" t="n"/>
      <c r="P285" s="857" t="n"/>
      <c r="Q285" s="830" t="n"/>
      <c r="R285" s="832" t="n"/>
      <c r="S285" s="359" t="inlineStr">
        <is>
          <t>허혈성심장</t>
        </is>
      </c>
      <c r="T285" s="959">
        <f>T222+C285+E285+G285+I285+K285+M285+O285</f>
        <v/>
      </c>
    </row>
    <row r="286" ht="14.1" customHeight="1" s="797" thickBot="1">
      <c r="A286" s="832" t="n"/>
      <c r="B286" s="489" t="inlineStr">
        <is>
          <t>급성심근경색진단</t>
        </is>
      </c>
      <c r="C286" s="847" t="n"/>
      <c r="D286" s="848" t="n"/>
      <c r="E286" s="847" t="n"/>
      <c r="F286" s="885" t="n"/>
      <c r="G286" s="847" t="n"/>
      <c r="H286" s="885" t="n"/>
      <c r="I286" s="847" t="n"/>
      <c r="J286" s="885" t="n"/>
      <c r="K286" s="847" t="n"/>
      <c r="L286" s="891" t="n"/>
      <c r="M286" s="847" t="n"/>
      <c r="N286" s="848" t="n"/>
      <c r="O286" s="845" t="n"/>
      <c r="P286" s="887" t="n"/>
      <c r="Q286" s="830" t="n"/>
      <c r="R286" s="832" t="n"/>
      <c r="S286" s="360" t="inlineStr">
        <is>
          <t>급성심근경색</t>
        </is>
      </c>
      <c r="T286" s="959">
        <f>T223+C286+E286+G286+I286+K286+M286+O286</f>
        <v/>
      </c>
    </row>
    <row r="287" ht="14.1" customHeight="1" s="797">
      <c r="A287" s="832" t="n"/>
      <c r="B287" s="461" t="inlineStr">
        <is>
          <t>수술/시술비</t>
        </is>
      </c>
      <c r="C287" s="828" t="n"/>
      <c r="D287" s="829" t="n"/>
      <c r="E287" s="828" t="n"/>
      <c r="F287" s="880" t="n"/>
      <c r="G287" s="828" t="n"/>
      <c r="H287" s="880" t="n"/>
      <c r="I287" s="828" t="n"/>
      <c r="J287" s="880" t="n"/>
      <c r="K287" s="828" t="n"/>
      <c r="L287" s="913" t="n"/>
      <c r="M287" s="828" t="n"/>
      <c r="N287" s="829" t="n"/>
      <c r="O287" s="826" t="n"/>
      <c r="P287" s="827" t="n"/>
      <c r="Q287" s="830" t="n"/>
      <c r="R287" s="832" t="n"/>
      <c r="S287" s="361" t="inlineStr">
        <is>
          <t>수술비</t>
        </is>
      </c>
      <c r="T287" s="957">
        <f>T224+C287+E287+G287+I287+K287+M287+O287</f>
        <v/>
      </c>
    </row>
    <row r="288" ht="14.1" customHeight="1" s="797">
      <c r="A288" s="832" t="n"/>
      <c r="B288" s="488" t="inlineStr">
        <is>
          <t>혈전용해치료</t>
        </is>
      </c>
      <c r="C288" s="838" t="n"/>
      <c r="D288" s="853" t="n"/>
      <c r="E288" s="838" t="n"/>
      <c r="F288" s="852" t="n"/>
      <c r="G288" s="838" t="n"/>
      <c r="H288" s="852" t="n"/>
      <c r="I288" s="838" t="n"/>
      <c r="J288" s="852" t="n"/>
      <c r="K288" s="838" t="n"/>
      <c r="L288" s="914" t="n"/>
      <c r="M288" s="838" t="n"/>
      <c r="N288" s="853" t="n"/>
      <c r="O288" s="836" t="n"/>
      <c r="P288" s="857" t="n"/>
      <c r="Q288" s="830" t="n"/>
      <c r="R288" s="832" t="n"/>
      <c r="S288" s="362" t="inlineStr">
        <is>
          <t>혈전용해치료</t>
        </is>
      </c>
      <c r="T288" s="959">
        <f>T225+C288+E288+G288+I288+K288+M288+O288</f>
        <v/>
      </c>
    </row>
    <row r="289" ht="14.1" customHeight="1" s="797" thickBot="1">
      <c r="A289" s="832" t="n"/>
      <c r="B289" s="489" t="inlineStr">
        <is>
          <t>혈전제거치료</t>
        </is>
      </c>
      <c r="C289" s="847" t="n"/>
      <c r="D289" s="848" t="n"/>
      <c r="E289" s="847" t="n"/>
      <c r="F289" s="885" t="n"/>
      <c r="G289" s="847" t="n"/>
      <c r="H289" s="885" t="n"/>
      <c r="I289" s="847" t="n"/>
      <c r="J289" s="885" t="n"/>
      <c r="K289" s="847" t="n"/>
      <c r="L289" s="891" t="n"/>
      <c r="M289" s="847" t="n"/>
      <c r="N289" s="848" t="n"/>
      <c r="O289" s="845" t="n"/>
      <c r="P289" s="887" t="n"/>
      <c r="Q289" s="830" t="n"/>
      <c r="R289" s="832" t="n"/>
      <c r="S289" s="363" t="inlineStr">
        <is>
          <t>중환자실치료</t>
        </is>
      </c>
      <c r="T289" s="959">
        <f>T226+C289+E289+G289+I289+K289+M289+O289</f>
        <v/>
      </c>
    </row>
    <row r="290" ht="14.1" customHeight="1" s="797">
      <c r="A290" s="892" t="inlineStr">
        <is>
          <t>후유장해</t>
        </is>
      </c>
      <c r="B290" s="464" t="inlineStr">
        <is>
          <t>질병 80% 이상</t>
        </is>
      </c>
      <c r="C290" s="828" t="n"/>
      <c r="D290" s="966" t="n"/>
      <c r="E290" s="828" t="n"/>
      <c r="F290" s="880" t="n"/>
      <c r="G290" s="828" t="n"/>
      <c r="H290" s="880" t="n"/>
      <c r="I290" s="828" t="n"/>
      <c r="J290" s="880" t="n"/>
      <c r="K290" s="828" t="n"/>
      <c r="L290" s="913" t="n"/>
      <c r="M290" s="828" t="n"/>
      <c r="N290" s="829" t="n"/>
      <c r="O290" s="826" t="n"/>
      <c r="P290" s="827" t="n"/>
      <c r="Q290" s="830" t="n"/>
      <c r="R290" s="892" t="inlineStr">
        <is>
          <t>후유장해</t>
        </is>
      </c>
      <c r="S290" s="364" t="inlineStr">
        <is>
          <t>질병 80% 이상</t>
        </is>
      </c>
      <c r="T290" s="957">
        <f>T227+C290+E290+G290+I290+K290+M290+O290</f>
        <v/>
      </c>
    </row>
    <row r="291" ht="14.1" customHeight="1" s="797">
      <c r="A291" s="832" t="n"/>
      <c r="B291" s="465" t="inlineStr">
        <is>
          <t>질병 3% ~80%</t>
        </is>
      </c>
      <c r="C291" s="838" t="n"/>
      <c r="D291" s="967" t="n"/>
      <c r="E291" s="838" t="n"/>
      <c r="F291" s="931" t="n"/>
      <c r="G291" s="838" t="n"/>
      <c r="H291" s="894" t="n"/>
      <c r="I291" s="838" t="n"/>
      <c r="J291" s="894" t="n"/>
      <c r="K291" s="838" t="n"/>
      <c r="L291" s="968" t="n"/>
      <c r="M291" s="838" t="n"/>
      <c r="N291" s="839" t="n"/>
      <c r="O291" s="836" t="n"/>
      <c r="P291" s="837" t="n"/>
      <c r="Q291" s="830" t="n"/>
      <c r="R291" s="832" t="n"/>
      <c r="S291" s="365" t="inlineStr">
        <is>
          <t>질병 3% ~80%</t>
        </is>
      </c>
      <c r="T291" s="959">
        <f>T228+C291+E291+G291+I291+K291+M291+O291</f>
        <v/>
      </c>
    </row>
    <row r="292" ht="14.1" customHeight="1" s="797">
      <c r="A292" s="832" t="n"/>
      <c r="B292" s="465" t="inlineStr">
        <is>
          <t>상해 80% 이상</t>
        </is>
      </c>
      <c r="C292" s="838" t="n"/>
      <c r="D292" s="902" t="n"/>
      <c r="E292" s="838" t="n"/>
      <c r="F292" s="902" t="n"/>
      <c r="G292" s="838" t="n"/>
      <c r="H292" s="839" t="n"/>
      <c r="I292" s="838" t="n"/>
      <c r="J292" s="839" t="n"/>
      <c r="K292" s="838" t="n"/>
      <c r="L292" s="968" t="n"/>
      <c r="M292" s="838" t="n"/>
      <c r="N292" s="839" t="n"/>
      <c r="O292" s="836" t="n"/>
      <c r="P292" s="837" t="n"/>
      <c r="Q292" s="830" t="n"/>
      <c r="R292" s="832" t="n"/>
      <c r="S292" s="365" t="inlineStr">
        <is>
          <t>상해 80% 이상</t>
        </is>
      </c>
      <c r="T292" s="959">
        <f>T229+C292+E292+G292+I292+K292+M292+O292</f>
        <v/>
      </c>
    </row>
    <row r="293" ht="14.1" customHeight="1" s="797" thickBot="1">
      <c r="A293" s="841" t="n"/>
      <c r="B293" s="466" t="inlineStr">
        <is>
          <t>상해 3% ~ 80%</t>
        </is>
      </c>
      <c r="C293" s="847" t="n"/>
      <c r="D293" s="899" t="n"/>
      <c r="E293" s="847" t="n"/>
      <c r="F293" s="899" t="n"/>
      <c r="G293" s="838" t="n"/>
      <c r="H293" s="848" t="n"/>
      <c r="I293" s="838" t="n"/>
      <c r="J293" s="848" t="n"/>
      <c r="K293" s="838" t="n"/>
      <c r="L293" s="891" t="n"/>
      <c r="M293" s="847" t="n"/>
      <c r="N293" s="848" t="n"/>
      <c r="O293" s="845" t="n"/>
      <c r="P293" s="846" t="n"/>
      <c r="Q293" s="830" t="n"/>
      <c r="R293" s="841" t="n"/>
      <c r="S293" s="366" t="inlineStr">
        <is>
          <t>상해 3% ~ 80%</t>
        </is>
      </c>
      <c r="T293" s="959">
        <f>T230+C293+E293+G293+I293+K293+M293+O293</f>
        <v/>
      </c>
    </row>
    <row r="294" ht="14.1" customHeight="1" s="797">
      <c r="A294" s="897" t="inlineStr">
        <is>
          <t>사망</t>
        </is>
      </c>
      <c r="B294" s="467" t="inlineStr">
        <is>
          <t>일반</t>
        </is>
      </c>
      <c r="C294" s="856" t="n"/>
      <c r="D294" s="939" t="n"/>
      <c r="E294" s="828" t="n"/>
      <c r="F294" s="880" t="n"/>
      <c r="G294" s="828" t="n"/>
      <c r="H294" s="829" t="n"/>
      <c r="I294" s="828" t="n"/>
      <c r="J294" s="829" t="n"/>
      <c r="K294" s="828" t="n"/>
      <c r="L294" s="913" t="n"/>
      <c r="M294" s="828" t="n"/>
      <c r="N294" s="829" t="n"/>
      <c r="O294" s="826" t="n"/>
      <c r="P294" s="827" t="n"/>
      <c r="Q294" s="830" t="n"/>
      <c r="R294" s="897" t="inlineStr">
        <is>
          <t>사망</t>
        </is>
      </c>
      <c r="S294" s="367" t="inlineStr">
        <is>
          <t>일반</t>
        </is>
      </c>
      <c r="T294" s="957">
        <f>T231+C294+E294+G294+I294+K294+M294+O294</f>
        <v/>
      </c>
    </row>
    <row r="295" ht="14.1" customHeight="1" s="797">
      <c r="A295" s="832" t="n"/>
      <c r="B295" s="468" t="inlineStr">
        <is>
          <t>질병</t>
        </is>
      </c>
      <c r="C295" s="838" t="n"/>
      <c r="D295" s="931" t="n"/>
      <c r="E295" s="838" t="n"/>
      <c r="F295" s="894" t="n"/>
      <c r="G295" s="838" t="n"/>
      <c r="H295" s="839" t="n"/>
      <c r="I295" s="838" t="n"/>
      <c r="J295" s="839" t="n"/>
      <c r="K295" s="838" t="n"/>
      <c r="L295" s="968" t="n"/>
      <c r="M295" s="838" t="n"/>
      <c r="N295" s="839" t="n"/>
      <c r="O295" s="836" t="n"/>
      <c r="P295" s="837" t="n"/>
      <c r="Q295" s="830" t="n"/>
      <c r="R295" s="832" t="n"/>
      <c r="S295" s="368" t="inlineStr">
        <is>
          <t>질병</t>
        </is>
      </c>
      <c r="T295" s="959">
        <f>T232+C295+E295+G295+I295+K295+M295+O295</f>
        <v/>
      </c>
    </row>
    <row r="296" ht="14.1" customHeight="1" s="797" thickBot="1">
      <c r="A296" s="841" t="n"/>
      <c r="B296" s="469" t="inlineStr">
        <is>
          <t>상해</t>
        </is>
      </c>
      <c r="C296" s="847" t="n"/>
      <c r="D296" s="900" t="n"/>
      <c r="E296" s="847" t="n"/>
      <c r="F296" s="885" t="n"/>
      <c r="G296" s="847" t="n"/>
      <c r="H296" s="848" t="n"/>
      <c r="I296" s="847" t="n"/>
      <c r="J296" s="848" t="n"/>
      <c r="K296" s="847" t="n"/>
      <c r="L296" s="891" t="n"/>
      <c r="M296" s="847" t="n"/>
      <c r="N296" s="848" t="n"/>
      <c r="O296" s="901" t="n"/>
      <c r="P296" s="857" t="n"/>
      <c r="Q296" s="830" t="n"/>
      <c r="R296" s="841" t="n"/>
      <c r="S296" s="369" t="inlineStr">
        <is>
          <t>상해</t>
        </is>
      </c>
      <c r="T296" s="959">
        <f>T233+C296+E296+G296+I296+K296+M296+O296</f>
        <v/>
      </c>
    </row>
    <row r="297" ht="14.1" customHeight="1" s="797">
      <c r="A297" s="617" t="inlineStr">
        <is>
          <t>수술비</t>
        </is>
      </c>
      <c r="B297" s="470" t="inlineStr">
        <is>
          <t>질병</t>
        </is>
      </c>
      <c r="C297" s="828" t="n"/>
      <c r="D297" s="908" t="n"/>
      <c r="E297" s="828" t="n"/>
      <c r="F297" s="852" t="n"/>
      <c r="G297" s="828" t="n"/>
      <c r="H297" s="853" t="n"/>
      <c r="I297" s="828" t="n"/>
      <c r="J297" s="853" t="n"/>
      <c r="K297" s="828" t="n"/>
      <c r="L297" s="913" t="n"/>
      <c r="M297" s="856" t="n"/>
      <c r="N297" s="853" t="n"/>
      <c r="O297" s="826" t="n"/>
      <c r="P297" s="827" t="n"/>
      <c r="Q297" s="830" t="n"/>
      <c r="R297" s="617" t="inlineStr">
        <is>
          <t>수술비</t>
        </is>
      </c>
      <c r="S297" s="480" t="inlineStr">
        <is>
          <t>질병</t>
        </is>
      </c>
      <c r="T297" s="957">
        <f>T234+C297+E297+G297+I297+K297+M297+O297</f>
        <v/>
      </c>
    </row>
    <row r="298" ht="14.1" customHeight="1" s="797">
      <c r="A298" s="832" t="n"/>
      <c r="B298" s="470" t="inlineStr">
        <is>
          <t>상해</t>
        </is>
      </c>
      <c r="C298" s="838" t="n"/>
      <c r="D298" s="902" t="n"/>
      <c r="E298" s="838" t="n"/>
      <c r="F298" s="894" t="n"/>
      <c r="G298" s="838" t="n"/>
      <c r="H298" s="839" t="n"/>
      <c r="I298" s="838" t="n"/>
      <c r="J298" s="839" t="n"/>
      <c r="K298" s="838" t="n"/>
      <c r="L298" s="968" t="n"/>
      <c r="M298" s="838" t="n"/>
      <c r="N298" s="853" t="n"/>
      <c r="O298" s="836" t="n"/>
      <c r="P298" s="837" t="n"/>
      <c r="Q298" s="830" t="n"/>
      <c r="R298" s="832" t="n"/>
      <c r="S298" s="480" t="inlineStr">
        <is>
          <t>상해</t>
        </is>
      </c>
      <c r="T298" s="959">
        <f>T235+C298+E298+G298+I298+K298+M298+O298</f>
        <v/>
      </c>
    </row>
    <row r="299" ht="14.1" customHeight="1" s="797">
      <c r="A299" s="832" t="n"/>
      <c r="B299" s="470" t="inlineStr">
        <is>
          <t>1-5종</t>
        </is>
      </c>
      <c r="C299" s="838" t="n"/>
      <c r="D299" s="902" t="n"/>
      <c r="E299" s="838" t="n"/>
      <c r="F299" s="852" t="n"/>
      <c r="G299" s="838" t="n"/>
      <c r="H299" s="853" t="n"/>
      <c r="I299" s="838" t="n"/>
      <c r="J299" s="853" t="n"/>
      <c r="K299" s="838" t="n"/>
      <c r="L299" s="914" t="n"/>
      <c r="M299" s="838" t="n"/>
      <c r="N299" s="853" t="n"/>
      <c r="O299" s="836" t="n"/>
      <c r="P299" s="837" t="n"/>
      <c r="Q299" s="830" t="n"/>
      <c r="R299" s="832" t="n"/>
      <c r="S299" s="480" t="inlineStr">
        <is>
          <t>1-5종</t>
        </is>
      </c>
      <c r="T299" s="959">
        <f>T236+C299+E299+G299+I299+K299+M299+O299</f>
        <v/>
      </c>
    </row>
    <row r="300" ht="14.1" customHeight="1" s="797" thickBot="1">
      <c r="A300" s="832" t="n"/>
      <c r="B300" s="471" t="inlineStr">
        <is>
          <t>N대질병</t>
        </is>
      </c>
      <c r="C300" s="862" t="n"/>
      <c r="D300" s="899" t="n"/>
      <c r="E300" s="862" t="n"/>
      <c r="F300" s="863" t="n"/>
      <c r="G300" s="862" t="n"/>
      <c r="H300" s="860" t="n"/>
      <c r="I300" s="862" t="n"/>
      <c r="J300" s="860" t="n"/>
      <c r="K300" s="862" t="n"/>
      <c r="L300" s="969" t="n"/>
      <c r="M300" s="862" t="n"/>
      <c r="N300" s="905" t="n"/>
      <c r="O300" s="907" t="n"/>
      <c r="P300" s="887" t="n"/>
      <c r="Q300" s="830" t="n"/>
      <c r="R300" s="832" t="n"/>
      <c r="S300" s="513" t="inlineStr">
        <is>
          <t>N대질병</t>
        </is>
      </c>
      <c r="T300" s="959">
        <f>T237+C300+E300+G300+I300+K300+M300+O300</f>
        <v/>
      </c>
    </row>
    <row r="301" ht="14.1" customHeight="1" s="797">
      <c r="A301" s="603" t="inlineStr">
        <is>
          <t>상해진단</t>
        </is>
      </c>
      <c r="B301" s="472" t="inlineStr">
        <is>
          <t>골절</t>
        </is>
      </c>
      <c r="C301" s="828" t="n"/>
      <c r="D301" s="908" t="n"/>
      <c r="E301" s="828" t="n"/>
      <c r="F301" s="880" t="n"/>
      <c r="G301" s="828" t="n"/>
      <c r="H301" s="829" t="n"/>
      <c r="I301" s="828" t="n"/>
      <c r="J301" s="829" t="n"/>
      <c r="K301" s="828" t="n"/>
      <c r="L301" s="913" t="n"/>
      <c r="M301" s="828" t="n"/>
      <c r="N301" s="829" t="n"/>
      <c r="O301" s="826" t="n"/>
      <c r="P301" s="827" t="n"/>
      <c r="Q301" s="830" t="n"/>
      <c r="R301" s="603" t="inlineStr">
        <is>
          <t>상해진단</t>
        </is>
      </c>
      <c r="S301" s="483" t="inlineStr">
        <is>
          <t>골절</t>
        </is>
      </c>
      <c r="T301" s="957">
        <f>T238+C301+E301+G301+I301+K301+M301+O301</f>
        <v/>
      </c>
    </row>
    <row r="302" ht="14.1" customHeight="1" s="797" thickBot="1">
      <c r="A302" s="832" t="n"/>
      <c r="B302" s="482" t="inlineStr">
        <is>
          <t>화상</t>
        </is>
      </c>
      <c r="C302" s="909" t="n"/>
      <c r="D302" s="970" t="n"/>
      <c r="E302" s="909" t="n"/>
      <c r="F302" s="885" t="n"/>
      <c r="G302" s="909" t="n"/>
      <c r="H302" s="848" t="n"/>
      <c r="I302" s="909" t="n"/>
      <c r="J302" s="848" t="n"/>
      <c r="K302" s="909" t="n"/>
      <c r="L302" s="916" t="n"/>
      <c r="M302" s="909" t="n"/>
      <c r="N302" s="877" t="n"/>
      <c r="O302" s="911" t="n"/>
      <c r="P302" s="846" t="n"/>
      <c r="Q302" s="830" t="n"/>
      <c r="R302" s="832" t="n"/>
      <c r="S302" s="503" t="inlineStr">
        <is>
          <t>화상</t>
        </is>
      </c>
      <c r="T302" s="959">
        <f>T239+C302+E302+G302+I302+K302+M302+O302</f>
        <v/>
      </c>
    </row>
    <row r="303" ht="14.1" customHeight="1" s="797">
      <c r="A303" s="605" t="inlineStr">
        <is>
          <t>입원비</t>
        </is>
      </c>
      <c r="B303" s="484" t="inlineStr">
        <is>
          <t>질병</t>
        </is>
      </c>
      <c r="C303" s="859" t="n"/>
      <c r="D303" s="971" t="n"/>
      <c r="E303" s="859" t="n"/>
      <c r="F303" s="863" t="n"/>
      <c r="G303" s="859" t="n"/>
      <c r="H303" s="860" t="n"/>
      <c r="I303" s="859" t="n"/>
      <c r="J303" s="860" t="n"/>
      <c r="K303" s="859" t="n"/>
      <c r="L303" s="915" t="n"/>
      <c r="M303" s="859" t="n"/>
      <c r="N303" s="860" t="n"/>
      <c r="O303" s="883" t="n"/>
      <c r="P303" s="864" t="n"/>
      <c r="Q303" s="830" t="n"/>
      <c r="R303" s="605" t="inlineStr">
        <is>
          <t>입원비</t>
        </is>
      </c>
      <c r="S303" s="486" t="inlineStr">
        <is>
          <t>질병</t>
        </is>
      </c>
      <c r="T303" s="957">
        <f>T240+C303+E303+G303+I303+K303+M303+O303</f>
        <v/>
      </c>
    </row>
    <row r="304" ht="14.1" customHeight="1" s="797" thickBot="1">
      <c r="A304" s="912" t="n"/>
      <c r="B304" s="485" t="inlineStr">
        <is>
          <t>상해</t>
        </is>
      </c>
      <c r="C304" s="859" t="n"/>
      <c r="D304" s="971" t="n"/>
      <c r="E304" s="859" t="n"/>
      <c r="F304" s="863" t="n"/>
      <c r="G304" s="859" t="n"/>
      <c r="H304" s="860" t="n"/>
      <c r="I304" s="859" t="n"/>
      <c r="J304" s="860" t="n"/>
      <c r="K304" s="859" t="n"/>
      <c r="L304" s="915" t="n"/>
      <c r="M304" s="859" t="n"/>
      <c r="N304" s="860" t="n"/>
      <c r="O304" s="883" t="n"/>
      <c r="P304" s="864" t="n"/>
      <c r="Q304" s="830" t="n"/>
      <c r="R304" s="912" t="n"/>
      <c r="S304" s="559" t="inlineStr">
        <is>
          <t>상해</t>
        </is>
      </c>
      <c r="T304" s="959">
        <f>T241+C304+E304+G304+I304+K304+M304+O304</f>
        <v/>
      </c>
    </row>
    <row r="305" ht="14.1" customHeight="1" s="797">
      <c r="A305" s="609" t="inlineStr">
        <is>
          <t>간병인</t>
        </is>
      </c>
      <c r="B305" s="473" t="inlineStr">
        <is>
          <t>병원사용</t>
        </is>
      </c>
      <c r="C305" s="828" t="n"/>
      <c r="D305" s="966" t="n"/>
      <c r="E305" s="828" t="n"/>
      <c r="F305" s="880" t="n"/>
      <c r="G305" s="828" t="n"/>
      <c r="H305" s="913" t="n"/>
      <c r="I305" s="828" t="n"/>
      <c r="J305" s="829" t="n"/>
      <c r="K305" s="828" t="n"/>
      <c r="L305" s="913" t="n"/>
      <c r="M305" s="828" t="n"/>
      <c r="N305" s="829" t="n"/>
      <c r="O305" s="826" t="n"/>
      <c r="P305" s="827" t="n"/>
      <c r="Q305" s="830" t="n"/>
      <c r="R305" s="973" t="inlineStr">
        <is>
          <t>간병인</t>
        </is>
      </c>
      <c r="S305" s="562" t="inlineStr">
        <is>
          <t>병원사용</t>
        </is>
      </c>
      <c r="T305" s="957">
        <f>T242+C305+E305+G305+I305+K305+M305+O305</f>
        <v/>
      </c>
    </row>
    <row r="306" ht="14.1" customHeight="1" s="797">
      <c r="A306" s="832" t="n"/>
      <c r="B306" s="474" t="inlineStr">
        <is>
          <t>요양병원사용</t>
        </is>
      </c>
      <c r="C306" s="859" t="n"/>
      <c r="D306" s="971" t="n"/>
      <c r="E306" s="859" t="n"/>
      <c r="F306" s="852" t="n"/>
      <c r="G306" s="859" t="n"/>
      <c r="H306" s="914" t="n"/>
      <c r="I306" s="859" t="n"/>
      <c r="J306" s="853" t="n"/>
      <c r="K306" s="859" t="n"/>
      <c r="L306" s="915" t="n"/>
      <c r="M306" s="859" t="n"/>
      <c r="N306" s="860" t="n"/>
      <c r="O306" s="883" t="n"/>
      <c r="P306" s="864" t="n"/>
      <c r="Q306" s="830" t="n"/>
      <c r="R306" s="832" t="n"/>
      <c r="S306" s="504" t="inlineStr">
        <is>
          <t>요양병원사용</t>
        </is>
      </c>
      <c r="T306" s="959">
        <f>T243+C306+E306+G306+I306+K306+M306+O306</f>
        <v/>
      </c>
    </row>
    <row r="307" ht="14.1" customHeight="1" s="797" thickBot="1">
      <c r="A307" s="841" t="n"/>
      <c r="B307" s="475" t="inlineStr">
        <is>
          <t>간호간병통합사용</t>
        </is>
      </c>
      <c r="C307" s="847" t="n"/>
      <c r="D307" s="974" t="n"/>
      <c r="E307" s="847" t="n"/>
      <c r="F307" s="852" t="n"/>
      <c r="G307" s="847" t="n"/>
      <c r="H307" s="914" t="n"/>
      <c r="I307" s="847" t="n"/>
      <c r="J307" s="853" t="n"/>
      <c r="K307" s="847" t="n"/>
      <c r="L307" s="891" t="n"/>
      <c r="M307" s="847" t="n"/>
      <c r="N307" s="848" t="n"/>
      <c r="O307" s="845" t="n"/>
      <c r="P307" s="846" t="n"/>
      <c r="Q307" s="830" t="n"/>
      <c r="R307" s="841" t="n"/>
      <c r="S307" s="505" t="inlineStr">
        <is>
          <t>간호간병통합사용</t>
        </is>
      </c>
      <c r="T307" s="959">
        <f>T244+C307+E307+G307+I307+K307+M307+O307</f>
        <v/>
      </c>
    </row>
    <row r="308" ht="14.1" customHeight="1" s="797">
      <c r="A308" s="917" t="inlineStr">
        <is>
          <t>운전자</t>
        </is>
      </c>
      <c r="B308" s="476" t="inlineStr">
        <is>
          <t>벌금</t>
        </is>
      </c>
      <c r="C308" s="828" t="n"/>
      <c r="D308" s="975" t="n"/>
      <c r="E308" s="826" t="n"/>
      <c r="F308" s="880" t="n"/>
      <c r="G308" s="828" t="n"/>
      <c r="H308" s="913" t="n"/>
      <c r="I308" s="828" t="n"/>
      <c r="J308" s="829" t="n"/>
      <c r="K308" s="828" t="n"/>
      <c r="L308" s="913" t="n"/>
      <c r="M308" s="828" t="n"/>
      <c r="N308" s="829" t="n"/>
      <c r="O308" s="836" t="n"/>
      <c r="P308" s="827" t="n"/>
      <c r="Q308" s="830" t="n"/>
      <c r="R308" s="917" t="inlineStr">
        <is>
          <t>운전자</t>
        </is>
      </c>
      <c r="S308" s="377" t="inlineStr">
        <is>
          <t>벌금</t>
        </is>
      </c>
      <c r="T308" s="957">
        <f>T245+C308+E308+G308+I308+K308+M308+O308</f>
        <v/>
      </c>
    </row>
    <row r="309" ht="14.1" customHeight="1" s="797">
      <c r="A309" s="832" t="n"/>
      <c r="B309" s="476" t="inlineStr">
        <is>
          <t>변호사선임</t>
        </is>
      </c>
      <c r="C309" s="838" t="n"/>
      <c r="D309" s="976" t="n"/>
      <c r="E309" s="836" t="n"/>
      <c r="F309" s="894" t="n"/>
      <c r="G309" s="838" t="n"/>
      <c r="H309" s="968" t="n"/>
      <c r="I309" s="838" t="n"/>
      <c r="J309" s="443" t="n"/>
      <c r="K309" s="838" t="n"/>
      <c r="L309" s="968" t="n"/>
      <c r="M309" s="838" t="n"/>
      <c r="N309" s="839" t="n"/>
      <c r="O309" s="836" t="n"/>
      <c r="P309" s="837" t="n"/>
      <c r="Q309" s="830" t="n"/>
      <c r="R309" s="832" t="n"/>
      <c r="S309" s="377" t="inlineStr">
        <is>
          <t>변호사선임</t>
        </is>
      </c>
      <c r="T309" s="959">
        <f>T246+C309+E309+G309+I309+K309+M309+O309</f>
        <v/>
      </c>
    </row>
    <row r="310" ht="14.1" customHeight="1" s="797" thickBot="1">
      <c r="A310" s="841" t="n"/>
      <c r="B310" s="477" t="inlineStr">
        <is>
          <t>교통사고처리지원</t>
        </is>
      </c>
      <c r="C310" s="856" t="n"/>
      <c r="D310" s="967" t="n"/>
      <c r="E310" s="901" t="n"/>
      <c r="F310" s="852" t="n"/>
      <c r="G310" s="856" t="n"/>
      <c r="H310" s="914" t="n"/>
      <c r="I310" s="856" t="n"/>
      <c r="J310" s="839" t="n"/>
      <c r="K310" s="856" t="n"/>
      <c r="L310" s="914" t="n"/>
      <c r="M310" s="856" t="n"/>
      <c r="N310" s="853" t="n"/>
      <c r="O310" s="836" t="n"/>
      <c r="P310" s="837" t="n"/>
      <c r="Q310" s="830" t="n"/>
      <c r="R310" s="841" t="n"/>
      <c r="S310" s="378" t="inlineStr">
        <is>
          <t>교통사고처리지원</t>
        </is>
      </c>
      <c r="T310" s="959">
        <f>T247+C310+E310+G310+I310+K310+M310+O310</f>
        <v/>
      </c>
    </row>
    <row r="311" ht="14.1" customHeight="1" s="797" thickBot="1">
      <c r="A311" s="585" t="inlineStr">
        <is>
          <t>일상생활배상책임</t>
        </is>
      </c>
      <c r="B311" s="919" t="n"/>
      <c r="C311" s="920" t="n"/>
      <c r="D311" s="977" t="n"/>
      <c r="E311" s="920" t="n"/>
      <c r="F311" s="922" t="n"/>
      <c r="G311" s="920" t="n"/>
      <c r="H311" s="978" t="n"/>
      <c r="I311" s="920" t="n"/>
      <c r="J311" s="923" t="n"/>
      <c r="K311" s="920" t="n"/>
      <c r="L311" s="978" t="n"/>
      <c r="M311" s="920" t="n"/>
      <c r="N311" s="923" t="n"/>
      <c r="O311" s="925" t="n"/>
      <c r="P311" s="926" t="n"/>
      <c r="Q311" s="830" t="n"/>
      <c r="R311" s="585" t="inlineStr">
        <is>
          <t>일상생활배상책임</t>
        </is>
      </c>
      <c r="S311" s="919" t="n"/>
      <c r="T311" s="957">
        <f>T248+C311+E311+G311+I311+K311+M311+O311</f>
        <v/>
      </c>
    </row>
    <row r="312" ht="14.1" customHeight="1" s="797">
      <c r="A312" s="928" t="inlineStr">
        <is>
          <t>기타</t>
        </is>
      </c>
      <c r="B312" s="929" t="n"/>
      <c r="C312" s="930" t="n"/>
      <c r="D312" s="829" t="n"/>
      <c r="E312" s="930" t="n"/>
      <c r="F312" s="839" t="n"/>
      <c r="G312" s="930" t="n"/>
      <c r="H312" s="913" t="n"/>
      <c r="I312" s="930" t="n"/>
      <c r="J312" s="979" t="n"/>
      <c r="K312" s="938" t="n"/>
      <c r="L312" s="913" t="n"/>
      <c r="M312" s="930" t="n"/>
      <c r="N312" s="914" t="n"/>
      <c r="O312" s="930" t="n"/>
      <c r="P312" s="827" t="n"/>
      <c r="Q312" s="830" t="n"/>
      <c r="R312" s="935" t="inlineStr">
        <is>
          <t>기타</t>
        </is>
      </c>
      <c r="S312" s="980" t="n"/>
      <c r="T312" s="937" t="n"/>
    </row>
    <row r="313" ht="14.1" customHeight="1" s="797">
      <c r="A313" s="804" t="n"/>
      <c r="C313" s="938" t="n"/>
      <c r="D313" s="839" t="n"/>
      <c r="E313" s="938" t="n"/>
      <c r="F313" s="853" t="n"/>
      <c r="G313" s="938" t="n"/>
      <c r="H313" s="968" t="n"/>
      <c r="I313" s="938" t="n"/>
      <c r="J313" s="839" t="n"/>
      <c r="K313" s="454" t="n"/>
      <c r="L313" s="968" t="n"/>
      <c r="M313" s="938" t="n"/>
      <c r="N313" s="968" t="n"/>
      <c r="O313" s="938" t="n"/>
      <c r="P313" s="837" t="n"/>
      <c r="Q313" s="830" t="n"/>
      <c r="R313" s="804" t="n"/>
      <c r="S313" s="804" t="n"/>
      <c r="T313" s="805" t="n"/>
    </row>
    <row r="314" ht="14.1" customHeight="1" s="797">
      <c r="A314" s="804" t="n"/>
      <c r="C314" s="938" t="n"/>
      <c r="D314" s="839" t="n"/>
      <c r="E314" s="938" t="n"/>
      <c r="F314" s="853" t="n"/>
      <c r="G314" s="938" t="n"/>
      <c r="H314" s="968" t="n"/>
      <c r="I314" s="938" t="n"/>
      <c r="J314" s="853" t="n"/>
      <c r="K314" s="938" t="n"/>
      <c r="L314" s="839" t="n"/>
      <c r="M314" s="938" t="n"/>
      <c r="N314" s="914" t="n"/>
      <c r="O314" s="938" t="n"/>
      <c r="P314" s="837" t="n"/>
      <c r="Q314" s="830" t="n"/>
      <c r="R314" s="804" t="n"/>
      <c r="S314" s="804" t="n"/>
      <c r="T314" s="805" t="n"/>
    </row>
    <row r="315" ht="14.1" customHeight="1" s="797" thickBot="1">
      <c r="A315" s="942" t="n"/>
      <c r="B315" s="943" t="n"/>
      <c r="C315" s="944" t="n"/>
      <c r="D315" s="848" t="n"/>
      <c r="E315" s="944" t="n"/>
      <c r="F315" s="981" t="n"/>
      <c r="G315" s="944" t="n"/>
      <c r="H315" s="891" t="n"/>
      <c r="I315" s="944" t="n"/>
      <c r="J315" s="885" t="n"/>
      <c r="K315" s="944" t="n"/>
      <c r="L315" s="885" t="n"/>
      <c r="M315" s="944" t="n"/>
      <c r="N315" s="848" t="n"/>
      <c r="O315" s="944" t="n"/>
      <c r="P315" s="846" t="n"/>
      <c r="Q315" s="830" t="n"/>
      <c r="R315" s="942" t="n"/>
      <c r="S315" s="942" t="n"/>
      <c r="T315" s="946" t="n"/>
    </row>
  </sheetData>
  <mergeCells count="565">
    <mergeCell ref="R123:R126"/>
    <mergeCell ref="R116:R118"/>
    <mergeCell ref="A64:B64"/>
    <mergeCell ref="A257:B257"/>
    <mergeCell ref="A191:B191"/>
    <mergeCell ref="C191:D191"/>
    <mergeCell ref="E71:F71"/>
    <mergeCell ref="R60:R63"/>
    <mergeCell ref="G71:H71"/>
    <mergeCell ref="E8:F8"/>
    <mergeCell ref="C73:D73"/>
    <mergeCell ref="M70:N70"/>
    <mergeCell ref="E73:F73"/>
    <mergeCell ref="R196:S196"/>
    <mergeCell ref="M10:N10"/>
    <mergeCell ref="R133:S133"/>
    <mergeCell ref="E137:F137"/>
    <mergeCell ref="G66:H66"/>
    <mergeCell ref="O197:P197"/>
    <mergeCell ref="G137:H137"/>
    <mergeCell ref="I66:J66"/>
    <mergeCell ref="R198:S198"/>
    <mergeCell ref="O259:P259"/>
    <mergeCell ref="M74:N74"/>
    <mergeCell ref="O74:P74"/>
    <mergeCell ref="R135:S135"/>
    <mergeCell ref="O261:P261"/>
    <mergeCell ref="A164:A167"/>
    <mergeCell ref="R262:S262"/>
    <mergeCell ref="R175:R176"/>
    <mergeCell ref="A297:A300"/>
    <mergeCell ref="R92:R100"/>
    <mergeCell ref="A262:B262"/>
    <mergeCell ref="I193:J193"/>
    <mergeCell ref="C262:D262"/>
    <mergeCell ref="C3:D3"/>
    <mergeCell ref="E3:F3"/>
    <mergeCell ref="A59:B59"/>
    <mergeCell ref="E67:F67"/>
    <mergeCell ref="G67:H67"/>
    <mergeCell ref="A128:B128"/>
    <mergeCell ref="A312:B315"/>
    <mergeCell ref="O193:P193"/>
    <mergeCell ref="R182:R184"/>
    <mergeCell ref="G127:H127"/>
    <mergeCell ref="A136:B136"/>
    <mergeCell ref="A192:B192"/>
    <mergeCell ref="I127:J127"/>
    <mergeCell ref="C192:D192"/>
    <mergeCell ref="A249:B252"/>
    <mergeCell ref="M7:N7"/>
    <mergeCell ref="R119:R121"/>
    <mergeCell ref="O134:P134"/>
    <mergeCell ref="A129:B129"/>
    <mergeCell ref="A194:B194"/>
    <mergeCell ref="O71:P71"/>
    <mergeCell ref="A131:B131"/>
    <mergeCell ref="R72:S72"/>
    <mergeCell ref="R199:S199"/>
    <mergeCell ref="A105:A107"/>
    <mergeCell ref="A38:A41"/>
    <mergeCell ref="O73:P73"/>
    <mergeCell ref="A305:A307"/>
    <mergeCell ref="A269:A280"/>
    <mergeCell ref="R136:S136"/>
    <mergeCell ref="G9:H9"/>
    <mergeCell ref="I9:J9"/>
    <mergeCell ref="R1:S1"/>
    <mergeCell ref="I196:J196"/>
    <mergeCell ref="A294:A296"/>
    <mergeCell ref="K196:L196"/>
    <mergeCell ref="G11:H11"/>
    <mergeCell ref="I11:J11"/>
    <mergeCell ref="A231:A233"/>
    <mergeCell ref="I198:J198"/>
    <mergeCell ref="A1:B1"/>
    <mergeCell ref="K198:L198"/>
    <mergeCell ref="C128:D128"/>
    <mergeCell ref="R56:R58"/>
    <mergeCell ref="R49:R50"/>
    <mergeCell ref="M2:N2"/>
    <mergeCell ref="R105:R107"/>
    <mergeCell ref="A65:B65"/>
    <mergeCell ref="K262:L262"/>
    <mergeCell ref="C65:D65"/>
    <mergeCell ref="M262:N262"/>
    <mergeCell ref="E69:F69"/>
    <mergeCell ref="G69:H69"/>
    <mergeCell ref="C129:D129"/>
    <mergeCell ref="S60:T63"/>
    <mergeCell ref="E6:F6"/>
    <mergeCell ref="E133:F133"/>
    <mergeCell ref="G133:H133"/>
    <mergeCell ref="R234:R237"/>
    <mergeCell ref="G64:H64"/>
    <mergeCell ref="G135:H135"/>
    <mergeCell ref="I64:J64"/>
    <mergeCell ref="A4:B4"/>
    <mergeCell ref="A200:B200"/>
    <mergeCell ref="I191:J191"/>
    <mergeCell ref="K191:L191"/>
    <mergeCell ref="A242:A244"/>
    <mergeCell ref="E72:F72"/>
    <mergeCell ref="G1:H1"/>
    <mergeCell ref="I128:J128"/>
    <mergeCell ref="K128:L128"/>
    <mergeCell ref="I255:J255"/>
    <mergeCell ref="A258:B258"/>
    <mergeCell ref="K255:L255"/>
    <mergeCell ref="R9:S9"/>
    <mergeCell ref="C258:D258"/>
    <mergeCell ref="E258:F258"/>
    <mergeCell ref="I65:J65"/>
    <mergeCell ref="I192:J192"/>
    <mergeCell ref="R290:R293"/>
    <mergeCell ref="C195:D195"/>
    <mergeCell ref="S249:T252"/>
    <mergeCell ref="A260:B260"/>
    <mergeCell ref="E195:F195"/>
    <mergeCell ref="C260:D260"/>
    <mergeCell ref="O10:P10"/>
    <mergeCell ref="R11:S11"/>
    <mergeCell ref="A197:B197"/>
    <mergeCell ref="A206:A217"/>
    <mergeCell ref="C259:D259"/>
    <mergeCell ref="C197:D197"/>
    <mergeCell ref="E259:F259"/>
    <mergeCell ref="E253:F253"/>
    <mergeCell ref="G253:H253"/>
    <mergeCell ref="C261:D261"/>
    <mergeCell ref="E190:F190"/>
    <mergeCell ref="A308:A310"/>
    <mergeCell ref="G190:H190"/>
    <mergeCell ref="A301:A302"/>
    <mergeCell ref="G6:H6"/>
    <mergeCell ref="G254:H254"/>
    <mergeCell ref="A303:A304"/>
    <mergeCell ref="M3:N3"/>
    <mergeCell ref="A168:A170"/>
    <mergeCell ref="K70:L70"/>
    <mergeCell ref="I1:J1"/>
    <mergeCell ref="O67:P67"/>
    <mergeCell ref="M134:N134"/>
    <mergeCell ref="G72:H72"/>
    <mergeCell ref="O6:P6"/>
    <mergeCell ref="G136:H136"/>
    <mergeCell ref="I136:J136"/>
    <mergeCell ref="A143:A154"/>
    <mergeCell ref="A70:B70"/>
    <mergeCell ref="K192:L192"/>
    <mergeCell ref="I129:J129"/>
    <mergeCell ref="I200:J200"/>
    <mergeCell ref="A7:B7"/>
    <mergeCell ref="K129:L129"/>
    <mergeCell ref="S186:T189"/>
    <mergeCell ref="C134:D134"/>
    <mergeCell ref="A245:A247"/>
    <mergeCell ref="O1:P1"/>
    <mergeCell ref="R108:R111"/>
    <mergeCell ref="I71:J71"/>
    <mergeCell ref="A74:B74"/>
    <mergeCell ref="R238:R239"/>
    <mergeCell ref="R155:R163"/>
    <mergeCell ref="K258:L258"/>
    <mergeCell ref="M258:N258"/>
    <mergeCell ref="E261:F261"/>
    <mergeCell ref="R248:S248"/>
    <mergeCell ref="K2:L2"/>
    <mergeCell ref="R240:R241"/>
    <mergeCell ref="K195:L195"/>
    <mergeCell ref="M195:N195"/>
    <mergeCell ref="K260:L260"/>
    <mergeCell ref="A311:B311"/>
    <mergeCell ref="E196:F196"/>
    <mergeCell ref="M253:N253"/>
    <mergeCell ref="O11:P11"/>
    <mergeCell ref="E256:F256"/>
    <mergeCell ref="O253:P253"/>
    <mergeCell ref="G256:H256"/>
    <mergeCell ref="A80:A91"/>
    <mergeCell ref="M190:N190"/>
    <mergeCell ref="E193:F193"/>
    <mergeCell ref="G193:H193"/>
    <mergeCell ref="E198:F198"/>
    <mergeCell ref="G198:H198"/>
    <mergeCell ref="A42:A44"/>
    <mergeCell ref="M129:N129"/>
    <mergeCell ref="R59:S59"/>
    <mergeCell ref="A177:A178"/>
    <mergeCell ref="M73:N73"/>
    <mergeCell ref="R227:R230"/>
    <mergeCell ref="R231:R233"/>
    <mergeCell ref="R164:R167"/>
    <mergeCell ref="M137:N137"/>
    <mergeCell ref="O137:P137"/>
    <mergeCell ref="A71:B71"/>
    <mergeCell ref="C71:D71"/>
    <mergeCell ref="I8:J8"/>
    <mergeCell ref="A8:B8"/>
    <mergeCell ref="C8:D8"/>
    <mergeCell ref="I10:J10"/>
    <mergeCell ref="A10:B10"/>
    <mergeCell ref="K10:L10"/>
    <mergeCell ref="K66:L66"/>
    <mergeCell ref="K259:L259"/>
    <mergeCell ref="C66:D66"/>
    <mergeCell ref="M66:N66"/>
    <mergeCell ref="K197:L197"/>
    <mergeCell ref="E66:F66"/>
    <mergeCell ref="M197:N197"/>
    <mergeCell ref="R127:S127"/>
    <mergeCell ref="M259:N259"/>
    <mergeCell ref="R38:R41"/>
    <mergeCell ref="K3:L3"/>
    <mergeCell ref="I74:J74"/>
    <mergeCell ref="K74:L74"/>
    <mergeCell ref="M130:N130"/>
    <mergeCell ref="R64:S64"/>
    <mergeCell ref="O130:P130"/>
    <mergeCell ref="E130:F130"/>
    <mergeCell ref="O190:P190"/>
    <mergeCell ref="G130:H130"/>
    <mergeCell ref="M261:N261"/>
    <mergeCell ref="M67:N67"/>
    <mergeCell ref="M132:N132"/>
    <mergeCell ref="E135:F135"/>
    <mergeCell ref="E132:F132"/>
    <mergeCell ref="O132:P132"/>
    <mergeCell ref="O254:P254"/>
    <mergeCell ref="G132:H132"/>
    <mergeCell ref="R114:R115"/>
    <mergeCell ref="M69:N69"/>
    <mergeCell ref="G199:H199"/>
    <mergeCell ref="O256:P256"/>
    <mergeCell ref="R51:R52"/>
    <mergeCell ref="A255:B255"/>
    <mergeCell ref="C255:D255"/>
    <mergeCell ref="A3:B3"/>
    <mergeCell ref="O127:P127"/>
    <mergeCell ref="G263:H263"/>
    <mergeCell ref="A101:A104"/>
    <mergeCell ref="I263:J263"/>
    <mergeCell ref="K8:L8"/>
    <mergeCell ref="A5:B5"/>
    <mergeCell ref="R303:R304"/>
    <mergeCell ref="A12:A16"/>
    <mergeCell ref="C74:D74"/>
    <mergeCell ref="C9:D9"/>
    <mergeCell ref="S123:T126"/>
    <mergeCell ref="E9:F9"/>
    <mergeCell ref="O69:P69"/>
    <mergeCell ref="R263:S263"/>
    <mergeCell ref="G196:H196"/>
    <mergeCell ref="R308:R310"/>
    <mergeCell ref="M6:N6"/>
    <mergeCell ref="C11:D11"/>
    <mergeCell ref="M133:N133"/>
    <mergeCell ref="E11:F11"/>
    <mergeCell ref="O133:P133"/>
    <mergeCell ref="O198:P198"/>
    <mergeCell ref="A263:B263"/>
    <mergeCell ref="M135:N135"/>
    <mergeCell ref="O64:P64"/>
    <mergeCell ref="G4:H4"/>
    <mergeCell ref="O135:P135"/>
    <mergeCell ref="G200:H200"/>
    <mergeCell ref="I4:J4"/>
    <mergeCell ref="O262:P262"/>
    <mergeCell ref="A134:B134"/>
    <mergeCell ref="R305:R307"/>
    <mergeCell ref="I262:J262"/>
    <mergeCell ref="M72:N72"/>
    <mergeCell ref="O72:P72"/>
    <mergeCell ref="O199:P199"/>
    <mergeCell ref="R128:T132"/>
    <mergeCell ref="R260:S260"/>
    <mergeCell ref="R269:R280"/>
    <mergeCell ref="S312:T315"/>
    <mergeCell ref="R201:R205"/>
    <mergeCell ref="C6:D6"/>
    <mergeCell ref="R206:R217"/>
    <mergeCell ref="A73:B73"/>
    <mergeCell ref="I260:J260"/>
    <mergeCell ref="C64:D64"/>
    <mergeCell ref="I197:J197"/>
    <mergeCell ref="E64:F64"/>
    <mergeCell ref="C1:D1"/>
    <mergeCell ref="E1:F1"/>
    <mergeCell ref="E128:F128"/>
    <mergeCell ref="K261:L261"/>
    <mergeCell ref="G128:H128"/>
    <mergeCell ref="A29:A37"/>
    <mergeCell ref="A201:A205"/>
    <mergeCell ref="E65:F65"/>
    <mergeCell ref="A138:A142"/>
    <mergeCell ref="A195:B195"/>
    <mergeCell ref="A171:A174"/>
    <mergeCell ref="A259:B259"/>
    <mergeCell ref="A123:B126"/>
    <mergeCell ref="A253:B253"/>
    <mergeCell ref="R200:S200"/>
    <mergeCell ref="C253:D253"/>
    <mergeCell ref="R249:R252"/>
    <mergeCell ref="R242:R244"/>
    <mergeCell ref="A60:B63"/>
    <mergeCell ref="A68:B68"/>
    <mergeCell ref="A190:B190"/>
    <mergeCell ref="C190:D190"/>
    <mergeCell ref="R186:R189"/>
    <mergeCell ref="R8:S8"/>
    <mergeCell ref="C254:D254"/>
    <mergeCell ref="R73:S73"/>
    <mergeCell ref="I199:J199"/>
    <mergeCell ref="A264:A268"/>
    <mergeCell ref="R10:S10"/>
    <mergeCell ref="O136:P136"/>
    <mergeCell ref="R65:T69"/>
    <mergeCell ref="R137:S137"/>
    <mergeCell ref="M1:N1"/>
    <mergeCell ref="G70:H70"/>
    <mergeCell ref="R197:S197"/>
    <mergeCell ref="O263:P263"/>
    <mergeCell ref="I70:J70"/>
    <mergeCell ref="O200:P200"/>
    <mergeCell ref="G7:H7"/>
    <mergeCell ref="I7:J7"/>
    <mergeCell ref="O65:P65"/>
    <mergeCell ref="I134:J134"/>
    <mergeCell ref="A137:B137"/>
    <mergeCell ref="R301:R302"/>
    <mergeCell ref="K134:L134"/>
    <mergeCell ref="C137:D137"/>
    <mergeCell ref="R245:R247"/>
    <mergeCell ref="R179:R181"/>
    <mergeCell ref="R2:T6"/>
    <mergeCell ref="G65:H65"/>
    <mergeCell ref="C132:D132"/>
    <mergeCell ref="G192:H192"/>
    <mergeCell ref="R168:R170"/>
    <mergeCell ref="R80:R91"/>
    <mergeCell ref="R297:R300"/>
    <mergeCell ref="G129:H129"/>
    <mergeCell ref="A179:A181"/>
    <mergeCell ref="A49:A50"/>
    <mergeCell ref="A281:A289"/>
    <mergeCell ref="A261:B261"/>
    <mergeCell ref="A116:A118"/>
    <mergeCell ref="G2:H2"/>
    <mergeCell ref="A218:A226"/>
    <mergeCell ref="I2:J2"/>
    <mergeCell ref="K9:L9"/>
    <mergeCell ref="M9:N9"/>
    <mergeCell ref="E254:F254"/>
    <mergeCell ref="O9:P9"/>
    <mergeCell ref="R143:R154"/>
    <mergeCell ref="A69:B69"/>
    <mergeCell ref="A256:B256"/>
    <mergeCell ref="K11:L11"/>
    <mergeCell ref="K253:L253"/>
    <mergeCell ref="R7:S7"/>
    <mergeCell ref="M11:N11"/>
    <mergeCell ref="C256:D256"/>
    <mergeCell ref="R294:R296"/>
    <mergeCell ref="A133:B133"/>
    <mergeCell ref="A193:B193"/>
    <mergeCell ref="C133:D133"/>
    <mergeCell ref="C193:D193"/>
    <mergeCell ref="R74:S74"/>
    <mergeCell ref="C127:D127"/>
    <mergeCell ref="O4:P4"/>
    <mergeCell ref="A175:A176"/>
    <mergeCell ref="E191:F191"/>
    <mergeCell ref="A92:A100"/>
    <mergeCell ref="K71:L71"/>
    <mergeCell ref="A112:A113"/>
    <mergeCell ref="R311:S311"/>
    <mergeCell ref="O70:P70"/>
    <mergeCell ref="G73:H73"/>
    <mergeCell ref="I73:J73"/>
    <mergeCell ref="K73:L73"/>
    <mergeCell ref="I137:J137"/>
    <mergeCell ref="K137:L137"/>
    <mergeCell ref="A67:B67"/>
    <mergeCell ref="R42:R44"/>
    <mergeCell ref="R218:R226"/>
    <mergeCell ref="R312:R315"/>
    <mergeCell ref="R53:R55"/>
    <mergeCell ref="G8:H8"/>
    <mergeCell ref="R177:R178"/>
    <mergeCell ref="A6:B6"/>
    <mergeCell ref="I195:J195"/>
    <mergeCell ref="A53:A55"/>
    <mergeCell ref="E262:F262"/>
    <mergeCell ref="G262:H262"/>
    <mergeCell ref="C10:D10"/>
    <mergeCell ref="E10:F10"/>
    <mergeCell ref="G10:H10"/>
    <mergeCell ref="A66:B66"/>
    <mergeCell ref="A182:A184"/>
    <mergeCell ref="E74:F74"/>
    <mergeCell ref="G3:H3"/>
    <mergeCell ref="G74:H74"/>
    <mergeCell ref="I3:J3"/>
    <mergeCell ref="I130:J130"/>
    <mergeCell ref="I190:J190"/>
    <mergeCell ref="K130:L130"/>
    <mergeCell ref="K190:L190"/>
    <mergeCell ref="A119:A121"/>
    <mergeCell ref="C130:D130"/>
    <mergeCell ref="I67:J67"/>
    <mergeCell ref="R112:R113"/>
    <mergeCell ref="I132:J132"/>
    <mergeCell ref="A135:B135"/>
    <mergeCell ref="R29:R37"/>
    <mergeCell ref="C135:D135"/>
    <mergeCell ref="K132:L132"/>
    <mergeCell ref="K254:L254"/>
    <mergeCell ref="A122:B122"/>
    <mergeCell ref="M254:N254"/>
    <mergeCell ref="A72:B72"/>
    <mergeCell ref="C72:D72"/>
    <mergeCell ref="A199:B199"/>
    <mergeCell ref="C199:D199"/>
    <mergeCell ref="E199:F199"/>
    <mergeCell ref="E255:F255"/>
    <mergeCell ref="M256:N256"/>
    <mergeCell ref="G255:H255"/>
    <mergeCell ref="C136:D136"/>
    <mergeCell ref="A75:A79"/>
    <mergeCell ref="K193:L193"/>
    <mergeCell ref="K127:L127"/>
    <mergeCell ref="R191:T195"/>
    <mergeCell ref="A114:A115"/>
    <mergeCell ref="M127:N127"/>
    <mergeCell ref="O7:P7"/>
    <mergeCell ref="E192:F192"/>
    <mergeCell ref="C263:D263"/>
    <mergeCell ref="E263:F263"/>
    <mergeCell ref="E129:F129"/>
    <mergeCell ref="A51:A52"/>
    <mergeCell ref="A45:A48"/>
    <mergeCell ref="R101:R104"/>
    <mergeCell ref="K67:L67"/>
    <mergeCell ref="R70:S70"/>
    <mergeCell ref="M196:N196"/>
    <mergeCell ref="O196:P196"/>
    <mergeCell ref="A186:B189"/>
    <mergeCell ref="R134:S134"/>
    <mergeCell ref="M198:N198"/>
    <mergeCell ref="A234:A237"/>
    <mergeCell ref="M8:N8"/>
    <mergeCell ref="O8:P8"/>
    <mergeCell ref="O2:P2"/>
    <mergeCell ref="C67:D67"/>
    <mergeCell ref="E136:F136"/>
    <mergeCell ref="O66:P66"/>
    <mergeCell ref="I69:J69"/>
    <mergeCell ref="A9:B9"/>
    <mergeCell ref="K69:L69"/>
    <mergeCell ref="C69:D69"/>
    <mergeCell ref="R12:R16"/>
    <mergeCell ref="O3:P3"/>
    <mergeCell ref="I6:J6"/>
    <mergeCell ref="I133:J133"/>
    <mergeCell ref="A11:B11"/>
    <mergeCell ref="K133:L133"/>
    <mergeCell ref="M193:N193"/>
    <mergeCell ref="E127:F127"/>
    <mergeCell ref="I135:J135"/>
    <mergeCell ref="K64:L64"/>
    <mergeCell ref="C4:D4"/>
    <mergeCell ref="K135:L135"/>
    <mergeCell ref="M64:N64"/>
    <mergeCell ref="E4:F4"/>
    <mergeCell ref="C200:D200"/>
    <mergeCell ref="M191:N191"/>
    <mergeCell ref="E200:F200"/>
    <mergeCell ref="R264:R268"/>
    <mergeCell ref="O191:P191"/>
    <mergeCell ref="G191:H191"/>
    <mergeCell ref="I72:J72"/>
    <mergeCell ref="K1:L1"/>
    <mergeCell ref="K72:L72"/>
    <mergeCell ref="M128:N128"/>
    <mergeCell ref="O128:P128"/>
    <mergeCell ref="M255:N255"/>
    <mergeCell ref="O255:P255"/>
    <mergeCell ref="G258:H258"/>
    <mergeCell ref="I258:J258"/>
    <mergeCell ref="M65:N65"/>
    <mergeCell ref="M192:N192"/>
    <mergeCell ref="O192:P192"/>
    <mergeCell ref="G195:H195"/>
    <mergeCell ref="R253:S253"/>
    <mergeCell ref="E260:F260"/>
    <mergeCell ref="G260:H260"/>
    <mergeCell ref="E197:F197"/>
    <mergeCell ref="G259:H259"/>
    <mergeCell ref="G197:H197"/>
    <mergeCell ref="I259:J259"/>
    <mergeCell ref="I253:J253"/>
    <mergeCell ref="R171:R174"/>
    <mergeCell ref="G261:H261"/>
    <mergeCell ref="R71:S71"/>
    <mergeCell ref="K6:L6"/>
    <mergeCell ref="I256:J256"/>
    <mergeCell ref="A108:A111"/>
    <mergeCell ref="A238:A239"/>
    <mergeCell ref="A155:A163"/>
    <mergeCell ref="K199:L199"/>
    <mergeCell ref="R138:R142"/>
    <mergeCell ref="A248:B248"/>
    <mergeCell ref="M199:N199"/>
    <mergeCell ref="A240:A241"/>
    <mergeCell ref="K136:L136"/>
    <mergeCell ref="A185:B185"/>
    <mergeCell ref="M136:N136"/>
    <mergeCell ref="C70:D70"/>
    <mergeCell ref="K263:L263"/>
    <mergeCell ref="R259:S259"/>
    <mergeCell ref="E70:F70"/>
    <mergeCell ref="M263:N263"/>
    <mergeCell ref="K7:L7"/>
    <mergeCell ref="K200:L200"/>
    <mergeCell ref="C7:D7"/>
    <mergeCell ref="M200:N200"/>
    <mergeCell ref="E7:F7"/>
    <mergeCell ref="O129:P129"/>
    <mergeCell ref="K65:L65"/>
    <mergeCell ref="E134:F134"/>
    <mergeCell ref="R190:S190"/>
    <mergeCell ref="R261:S261"/>
    <mergeCell ref="G134:H134"/>
    <mergeCell ref="A290:A293"/>
    <mergeCell ref="M71:N71"/>
    <mergeCell ref="A56:A58"/>
    <mergeCell ref="O258:P258"/>
    <mergeCell ref="A130:B130"/>
    <mergeCell ref="I261:J261"/>
    <mergeCell ref="A17:A28"/>
    <mergeCell ref="O195:P195"/>
    <mergeCell ref="M260:N260"/>
    <mergeCell ref="O260:P260"/>
    <mergeCell ref="A132:B132"/>
    <mergeCell ref="R75:R79"/>
    <mergeCell ref="A227:A230"/>
    <mergeCell ref="A196:B196"/>
    <mergeCell ref="K256:L256"/>
    <mergeCell ref="C196:D196"/>
    <mergeCell ref="I254:J254"/>
    <mergeCell ref="R45:R48"/>
    <mergeCell ref="A198:B198"/>
    <mergeCell ref="C198:D198"/>
    <mergeCell ref="A2:B2"/>
    <mergeCell ref="C2:D2"/>
    <mergeCell ref="E2:F2"/>
    <mergeCell ref="R185:S185"/>
    <mergeCell ref="A254:B254"/>
    <mergeCell ref="R122:S122"/>
    <mergeCell ref="R254:T258"/>
    <mergeCell ref="A127:B127"/>
    <mergeCell ref="K4:L4"/>
    <mergeCell ref="R281:R289"/>
    <mergeCell ref="M4:N4"/>
    <mergeCell ref="R17:R28"/>
  </mergeCells>
  <printOptions horizontalCentered="1" verticalCentered="1"/>
  <pageMargins left="0" right="0" top="0" bottom="0" header="0" footer="0"/>
  <pageSetup orientation="landscape" paperSize="9" scale="63"/>
  <rowBreaks count="4" manualBreakCount="4">
    <brk id="63" min="0" max="19" man="1"/>
    <brk id="126" min="0" max="19" man="1"/>
    <brk id="189" min="0" max="19" man="1"/>
    <brk id="252" min="0" max="19" man="1"/>
  </rowBreaks>
</worksheet>
</file>

<file path=xl/worksheets/sheet2.xml><?xml version="1.0" encoding="utf-8"?>
<worksheet xmlns="http://schemas.openxmlformats.org/spreadsheetml/2006/main">
  <sheetPr>
    <tabColor rgb="FF17375E"/>
    <outlinePr summaryBelow="1" summaryRight="1"/>
    <pageSetUpPr/>
  </sheetPr>
  <dimension ref="A1:U315"/>
  <sheetViews>
    <sheetView view="pageBreakPreview" zoomScaleNormal="100" zoomScaleSheetLayoutView="100" workbookViewId="0">
      <pane ySplit="11" topLeftCell="A12" activePane="bottomLeft" state="frozen"/>
      <selection pane="bottomLeft" activeCell="B42" sqref="B42"/>
    </sheetView>
  </sheetViews>
  <sheetFormatPr baseColWidth="8" defaultColWidth="8.625" defaultRowHeight="14.1" customHeight="1"/>
  <cols>
    <col width="7.625" customWidth="1" style="5" min="1" max="1"/>
    <col width="12.25" customWidth="1" style="3" min="2" max="2"/>
    <col width="14.625" customWidth="1" style="3" min="3" max="3"/>
    <col width="5.25" customWidth="1" style="16" min="4" max="4"/>
    <col width="14.625" customWidth="1" style="3" min="5" max="5"/>
    <col width="5.25" customWidth="1" style="16" min="6" max="6"/>
    <col width="14.625" customWidth="1" style="3" min="7" max="7"/>
    <col width="5.25" customWidth="1" style="16" min="8" max="8"/>
    <col width="14.625" customWidth="1" style="4" min="9" max="9"/>
    <col width="5.25" customWidth="1" style="16" min="10" max="10"/>
    <col width="14.625" customWidth="1" style="185" min="11" max="11"/>
    <col width="5.25" customWidth="1" style="16" min="12" max="12"/>
    <col width="14.625" customWidth="1" style="16" min="13" max="13"/>
    <col width="5.25" customWidth="1" style="16" min="14" max="14"/>
    <col width="14.625" customWidth="1" style="4" min="15" max="15"/>
    <col width="5.25" customWidth="1" style="78" min="16" max="16"/>
    <col width="3.625" customWidth="1" style="4" min="17" max="17"/>
    <col width="8.5" customWidth="1" style="5" min="18" max="18"/>
    <col width="12.5" customWidth="1" style="3" min="19" max="19"/>
    <col width="11.625" customWidth="1" style="17" min="20" max="20"/>
  </cols>
  <sheetData>
    <row r="1" ht="19.5" customFormat="1" customHeight="1" s="1">
      <c r="A1" s="652" t="inlineStr">
        <is>
          <t>홍길동 보장분석</t>
        </is>
      </c>
      <c r="B1" s="793" t="n"/>
      <c r="C1" s="649" t="inlineStr">
        <is>
          <t>삼성생명</t>
        </is>
      </c>
      <c r="D1" s="794" t="n"/>
      <c r="E1" s="649" t="inlineStr">
        <is>
          <t>롯데손해보험</t>
        </is>
      </c>
      <c r="F1" s="794" t="n"/>
      <c r="G1" s="649" t="inlineStr">
        <is>
          <t>삼성화재</t>
        </is>
      </c>
      <c r="H1" s="794" t="n"/>
      <c r="I1" s="649" t="inlineStr">
        <is>
          <t>삼성생명</t>
        </is>
      </c>
      <c r="J1" s="794" t="n"/>
      <c r="K1" s="649" t="n"/>
      <c r="L1" s="794" t="n"/>
      <c r="M1" s="649" t="n"/>
      <c r="N1" s="794" t="n"/>
      <c r="O1" s="649" t="n"/>
      <c r="P1" s="794" t="n"/>
      <c r="Q1" s="136" t="n"/>
      <c r="R1" s="795" t="inlineStr">
        <is>
          <t>평가 기준일</t>
        </is>
      </c>
      <c r="S1" s="796" t="n"/>
      <c r="T1" s="137">
        <f>TODAY()</f>
        <v/>
      </c>
    </row>
    <row r="2" ht="14.1" customHeight="1" s="797">
      <c r="A2" s="647" t="inlineStr">
        <is>
          <t>상품명</t>
        </is>
      </c>
      <c r="B2" s="798" t="n"/>
      <c r="C2" s="645" t="inlineStr">
        <is>
          <t>실손의료비보장보험</t>
        </is>
      </c>
      <c r="D2" s="799" t="n"/>
      <c r="E2" s="645" t="inlineStr">
        <is>
          <t>let:play1540종합보험</t>
        </is>
      </c>
      <c r="F2" s="799" t="n"/>
      <c r="G2" s="645" t="inlineStr">
        <is>
          <t>다이렉트 운전자보험</t>
        </is>
      </c>
      <c r="H2" s="799" t="n"/>
      <c r="I2" s="645" t="inlineStr">
        <is>
          <t>정기보험</t>
        </is>
      </c>
      <c r="J2" s="799" t="n"/>
      <c r="K2" s="645" t="n"/>
      <c r="L2" s="799" t="n"/>
      <c r="M2" s="645" t="n"/>
      <c r="N2" s="799" t="n"/>
      <c r="O2" s="645" t="n"/>
      <c r="P2" s="799" t="n"/>
      <c r="Q2" s="25" t="n"/>
      <c r="R2" s="800" t="n"/>
      <c r="S2" s="801" t="n"/>
      <c r="T2" s="802" t="n"/>
    </row>
    <row r="3" ht="14.1" customHeight="1" s="797">
      <c r="A3" s="637" t="inlineStr">
        <is>
          <t>계약자 / 피보험자</t>
        </is>
      </c>
      <c r="B3" s="803" t="n"/>
      <c r="C3" s="645" t="inlineStr">
        <is>
          <t>홍길동/홍길동</t>
        </is>
      </c>
      <c r="D3" s="799" t="n"/>
      <c r="E3" s="645" t="inlineStr">
        <is>
          <t>홍길동/홍길동</t>
        </is>
      </c>
      <c r="F3" s="799" t="n"/>
      <c r="G3" s="645" t="inlineStr">
        <is>
          <t>홍길동/홍길동</t>
        </is>
      </c>
      <c r="H3" s="799" t="n"/>
      <c r="I3" s="645" t="inlineStr">
        <is>
          <t>홍길동/홍길동</t>
        </is>
      </c>
      <c r="J3" s="799" t="n"/>
      <c r="K3" s="645" t="n"/>
      <c r="L3" s="799" t="n"/>
      <c r="M3" s="645" t="n"/>
      <c r="N3" s="799" t="n"/>
      <c r="O3" s="645" t="n"/>
      <c r="P3" s="799" t="n"/>
      <c r="Q3" s="25" t="n"/>
      <c r="R3" s="804" t="n"/>
      <c r="T3" s="805" t="n"/>
    </row>
    <row r="4" ht="14.1" customHeight="1" s="797">
      <c r="A4" s="647" t="inlineStr">
        <is>
          <t>계약일자</t>
        </is>
      </c>
      <c r="B4" s="798" t="n"/>
      <c r="C4" s="646" t="n">
        <v>43547</v>
      </c>
      <c r="D4" s="799" t="n"/>
      <c r="E4" s="646" t="n">
        <v>46051</v>
      </c>
      <c r="F4" s="799" t="n"/>
      <c r="G4" s="646" t="n">
        <v>44859</v>
      </c>
      <c r="H4" s="799" t="n"/>
      <c r="I4" s="646" t="n">
        <v>46051</v>
      </c>
      <c r="J4" s="799" t="n"/>
      <c r="K4" s="646" t="n"/>
      <c r="L4" s="799" t="n"/>
      <c r="M4" s="646" t="n"/>
      <c r="N4" s="799" t="n"/>
      <c r="O4" s="646" t="n"/>
      <c r="P4" s="799" t="n"/>
      <c r="Q4" s="25" t="n"/>
      <c r="R4" s="804" t="n"/>
      <c r="T4" s="805" t="n"/>
    </row>
    <row r="5" ht="14.1" customHeight="1" s="797">
      <c r="A5" s="647" t="inlineStr">
        <is>
          <t>납입기간 / 기납입기간</t>
        </is>
      </c>
      <c r="B5" s="798" t="n"/>
      <c r="C5" s="806" t="n">
        <v>15</v>
      </c>
      <c r="D5" s="807">
        <f>IF(DATEDIF(C4,$T$1,"m")&lt;C5*12,DATEDIF(C4,$T$1,"m"),C5*12)</f>
        <v/>
      </c>
      <c r="E5" s="806" t="n">
        <v>25</v>
      </c>
      <c r="F5" s="807">
        <f>IF(DATEDIF(E4,$T$1,"m")&lt;E5*12,DATEDIF(E4,$T$1,"m"),E5*12)</f>
        <v/>
      </c>
      <c r="G5" s="806" t="n">
        <v>10</v>
      </c>
      <c r="H5" s="807">
        <f>IF(DATEDIF(G4,$T$1,"m")&lt;G5*12,DATEDIF(G4,$T$1,"m"),G5*12)</f>
        <v/>
      </c>
      <c r="I5" s="806" t="n">
        <v>27</v>
      </c>
      <c r="J5" s="807">
        <f>IF(DATEDIF(I4,$T$1,"m")&lt;I5*12,DATEDIF(I4,$T$1,"m"),I5*12)</f>
        <v/>
      </c>
      <c r="K5" s="806" t="n"/>
      <c r="L5" s="807">
        <f>IF(DATEDIF(K4,$T$1,"m")&lt;K5*12,DATEDIF(K4,$T$1,"m"),K5*12)</f>
        <v/>
      </c>
      <c r="M5" s="806" t="n"/>
      <c r="N5" s="807">
        <f>IF(DATEDIF(M4,$T$1,"m")&lt;M5*12,DATEDIF(M4,$T$1,"m"),M5*12)</f>
        <v/>
      </c>
      <c r="O5" s="806" t="n"/>
      <c r="P5" s="807">
        <f>IF(DATEDIF(O4,$T$1,"m")&lt;O5*12,DATEDIF(O4,$T$1,"m"),O5*12)</f>
        <v/>
      </c>
      <c r="Q5" s="25" t="n"/>
      <c r="R5" s="804" t="n"/>
      <c r="T5" s="805" t="n"/>
    </row>
    <row r="6" ht="14.1" customHeight="1" s="797">
      <c r="A6" s="647" t="inlineStr">
        <is>
          <t>보장기간</t>
        </is>
      </c>
      <c r="B6" s="798" t="n"/>
      <c r="C6" s="645" t="inlineStr">
        <is>
          <t>41세 만기자개입연장</t>
        </is>
      </c>
      <c r="D6" s="799" t="n"/>
      <c r="E6" s="645" t="inlineStr">
        <is>
          <t>90세</t>
        </is>
      </c>
      <c r="F6" s="799" t="n"/>
      <c r="G6" s="645" t="inlineStr">
        <is>
          <t>39세</t>
        </is>
      </c>
      <c r="H6" s="799" t="n"/>
      <c r="I6" s="645" t="inlineStr">
        <is>
          <t>55세</t>
        </is>
      </c>
      <c r="J6" s="799" t="n"/>
      <c r="K6" s="645" t="n"/>
      <c r="L6" s="799" t="n"/>
      <c r="M6" s="645" t="n"/>
      <c r="N6" s="799" t="n"/>
      <c r="O6" s="645" t="n"/>
      <c r="P6" s="799" t="n"/>
      <c r="Q6" s="25" t="n"/>
      <c r="R6" s="808" t="n"/>
      <c r="S6" s="809" t="n"/>
      <c r="T6" s="810" t="n"/>
    </row>
    <row r="7" ht="14.1" customHeight="1" s="797">
      <c r="A7" s="632" t="inlineStr">
        <is>
          <t>비고 / 갱신종류</t>
        </is>
      </c>
      <c r="B7" s="811" t="n"/>
      <c r="C7" s="642" t="inlineStr">
        <is>
          <t>실비/1년갱신15년재가입</t>
        </is>
      </c>
      <c r="D7" s="799" t="n"/>
      <c r="E7" s="642" t="inlineStr">
        <is>
          <t>종합/비갱신+10년갱신</t>
        </is>
      </c>
      <c r="F7" s="799" t="n"/>
      <c r="G7" s="642" t="inlineStr">
        <is>
          <t>운전자+상해/10년만기</t>
        </is>
      </c>
      <c r="H7" s="799" t="n"/>
      <c r="I7" s="642" t="inlineStr">
        <is>
          <t>20년만기</t>
        </is>
      </c>
      <c r="J7" s="799" t="n"/>
      <c r="K7" s="642" t="n"/>
      <c r="L7" s="799" t="n"/>
      <c r="M7" s="642" t="n"/>
      <c r="N7" s="799" t="n"/>
      <c r="O7" s="642" t="n"/>
      <c r="P7" s="799" t="n"/>
      <c r="Q7" s="25" t="n"/>
      <c r="R7" s="812" t="n"/>
      <c r="S7" s="799" t="n"/>
      <c r="T7" s="478" t="inlineStr">
        <is>
          <t>총 보장 (원)</t>
        </is>
      </c>
    </row>
    <row r="8" ht="14.1" customHeight="1" s="797">
      <c r="A8" s="639" t="inlineStr">
        <is>
          <t>월 보험료</t>
        </is>
      </c>
      <c r="B8" s="798" t="n"/>
      <c r="C8" s="813" t="n">
        <v>16560</v>
      </c>
      <c r="D8" s="799" t="n"/>
      <c r="E8" s="813" t="n">
        <v>117303</v>
      </c>
      <c r="F8" s="799" t="n"/>
      <c r="G8" s="813" t="n">
        <v>16900</v>
      </c>
      <c r="H8" s="799" t="n"/>
      <c r="I8" s="813" t="n">
        <v>16830</v>
      </c>
      <c r="J8" s="799" t="n"/>
      <c r="K8" s="813" t="n"/>
      <c r="L8" s="799" t="n"/>
      <c r="M8" s="813" t="n"/>
      <c r="N8" s="799" t="n"/>
      <c r="O8" s="813" t="n"/>
      <c r="P8" s="799" t="n"/>
      <c r="Q8" s="814" t="n"/>
      <c r="R8" s="815" t="inlineStr">
        <is>
          <t>합산 월 보험료</t>
        </is>
      </c>
      <c r="S8" s="799" t="n"/>
      <c r="T8" s="816">
        <f>SUM(B8:P8)</f>
        <v/>
      </c>
    </row>
    <row r="9" ht="14.1" customHeight="1" s="797">
      <c r="A9" s="637" t="inlineStr">
        <is>
          <t>보험료 총액</t>
        </is>
      </c>
      <c r="B9" s="803" t="n"/>
      <c r="C9" s="817">
        <f>C8*C5*12</f>
        <v/>
      </c>
      <c r="D9" s="799" t="n"/>
      <c r="E9" s="817">
        <f>E8*E5*12</f>
        <v/>
      </c>
      <c r="F9" s="799" t="n"/>
      <c r="G9" s="817">
        <f>G8*G5*12</f>
        <v/>
      </c>
      <c r="H9" s="799" t="n"/>
      <c r="I9" s="817">
        <f>I8*I5*12</f>
        <v/>
      </c>
      <c r="J9" s="799" t="n"/>
      <c r="K9" s="817">
        <f>K8*K5*12</f>
        <v/>
      </c>
      <c r="L9" s="799" t="n"/>
      <c r="M9" s="817">
        <f>M8*M5*12</f>
        <v/>
      </c>
      <c r="N9" s="799" t="n"/>
      <c r="O9" s="817">
        <f>O8*O5*12</f>
        <v/>
      </c>
      <c r="P9" s="799" t="n"/>
      <c r="Q9" s="814" t="n"/>
      <c r="R9" s="815" t="inlineStr">
        <is>
          <t>합산 보험료 총액</t>
        </is>
      </c>
      <c r="S9" s="799" t="n"/>
      <c r="T9" s="818">
        <f>SUM(B9:P9)</f>
        <v/>
      </c>
    </row>
    <row r="10" ht="14.1" customHeight="1" s="797">
      <c r="A10" s="637" t="inlineStr">
        <is>
          <t>기 납입금</t>
        </is>
      </c>
      <c r="B10" s="803" t="n"/>
      <c r="C10" s="817">
        <f>C8*D5</f>
        <v/>
      </c>
      <c r="D10" s="799" t="n"/>
      <c r="E10" s="817">
        <f>E8*F5</f>
        <v/>
      </c>
      <c r="F10" s="799" t="n"/>
      <c r="G10" s="817">
        <f>G8*H5</f>
        <v/>
      </c>
      <c r="H10" s="799" t="n"/>
      <c r="I10" s="817">
        <f>I8*J5</f>
        <v/>
      </c>
      <c r="J10" s="799" t="n"/>
      <c r="K10" s="817">
        <f>K8*L5</f>
        <v/>
      </c>
      <c r="L10" s="799" t="n"/>
      <c r="M10" s="817">
        <f>M8*N5</f>
        <v/>
      </c>
      <c r="N10" s="799" t="n"/>
      <c r="O10" s="817">
        <f>O8*P5</f>
        <v/>
      </c>
      <c r="P10" s="799" t="n"/>
      <c r="Q10" s="814" t="n"/>
      <c r="R10" s="815" t="inlineStr">
        <is>
          <t>합산 기 납입금</t>
        </is>
      </c>
      <c r="S10" s="799" t="n"/>
      <c r="T10" s="818">
        <f>SUM(B10:P10)</f>
        <v/>
      </c>
    </row>
    <row r="11" ht="14.1" customHeight="1" s="797" thickBot="1">
      <c r="A11" s="632" t="inlineStr">
        <is>
          <t>미 납입금</t>
        </is>
      </c>
      <c r="B11" s="811" t="n"/>
      <c r="C11" s="817">
        <f>C9-C10</f>
        <v/>
      </c>
      <c r="D11" s="799" t="n"/>
      <c r="E11" s="817">
        <f>E9-E10</f>
        <v/>
      </c>
      <c r="F11" s="799" t="n"/>
      <c r="G11" s="817">
        <f>G9-G10</f>
        <v/>
      </c>
      <c r="H11" s="799" t="n"/>
      <c r="I11" s="817">
        <f>I9-I10</f>
        <v/>
      </c>
      <c r="J11" s="799" t="n"/>
      <c r="K11" s="817">
        <f>K9-K10</f>
        <v/>
      </c>
      <c r="L11" s="799" t="n"/>
      <c r="M11" s="817">
        <f>M9-M10</f>
        <v/>
      </c>
      <c r="N11" s="799" t="n"/>
      <c r="O11" s="817">
        <f>O9-O10</f>
        <v/>
      </c>
      <c r="P11" s="799" t="n"/>
      <c r="Q11" s="814" t="n"/>
      <c r="R11" s="819" t="inlineStr">
        <is>
          <t>합산 미 납입금</t>
        </is>
      </c>
      <c r="S11" s="820" t="n"/>
      <c r="T11" s="818">
        <f>SUM(B11:P11)</f>
        <v/>
      </c>
    </row>
    <row r="12" ht="14.1" customHeight="1" s="797">
      <c r="A12" s="821" t="inlineStr">
        <is>
          <t>실비
(갱신)</t>
        </is>
      </c>
      <c r="B12" s="457" t="inlineStr">
        <is>
          <t>질병입원의료비</t>
        </is>
      </c>
      <c r="C12" s="822" t="n">
        <v>50000000</v>
      </c>
      <c r="D12" s="823" t="inlineStr">
        <is>
          <t>1년갱신</t>
        </is>
      </c>
      <c r="E12" s="822" t="n"/>
      <c r="F12" s="825" t="n"/>
      <c r="G12" s="826" t="n"/>
      <c r="H12" s="827" t="n"/>
      <c r="I12" s="826" t="n"/>
      <c r="J12" s="827" t="n"/>
      <c r="K12" s="828" t="n"/>
      <c r="L12" s="829" t="n"/>
      <c r="M12" s="828" t="n"/>
      <c r="N12" s="827" t="n"/>
      <c r="O12" s="826" t="n"/>
      <c r="P12" s="827" t="n"/>
      <c r="Q12" s="830" t="n"/>
      <c r="R12" s="821" t="inlineStr">
        <is>
          <t>실비
(갱신)</t>
        </is>
      </c>
      <c r="S12" s="352" t="inlineStr">
        <is>
          <t>질병입원의료비</t>
        </is>
      </c>
      <c r="T12" s="831">
        <f>C12+E12+G12+I12+K12+M12+O12</f>
        <v/>
      </c>
    </row>
    <row r="13" ht="14.1" customHeight="1" s="797">
      <c r="A13" s="832" t="n"/>
      <c r="B13" s="458" t="inlineStr">
        <is>
          <t>질병통원의료비</t>
        </is>
      </c>
      <c r="C13" s="833" t="n">
        <v>200000</v>
      </c>
      <c r="D13" s="984" t="inlineStr">
        <is>
          <t>1년갱신</t>
        </is>
      </c>
      <c r="E13" s="833" t="n"/>
      <c r="F13" s="835" t="n"/>
      <c r="G13" s="836" t="n"/>
      <c r="H13" s="837" t="n"/>
      <c r="I13" s="836" t="n"/>
      <c r="J13" s="837" t="n"/>
      <c r="K13" s="838" t="n"/>
      <c r="L13" s="839" t="n"/>
      <c r="M13" s="838" t="n"/>
      <c r="N13" s="837" t="n"/>
      <c r="O13" s="836" t="n"/>
      <c r="P13" s="837" t="n"/>
      <c r="Q13" s="830" t="n"/>
      <c r="R13" s="832" t="n"/>
      <c r="S13" s="353" t="inlineStr">
        <is>
          <t>질병통원의료비</t>
        </is>
      </c>
      <c r="T13" s="840">
        <f>C13+E13+G13+I13+K13+M13+O13</f>
        <v/>
      </c>
    </row>
    <row r="14" ht="14.1" customHeight="1" s="797">
      <c r="A14" s="832" t="n"/>
      <c r="B14" s="458" t="inlineStr">
        <is>
          <t>상해입원의료비</t>
        </is>
      </c>
      <c r="C14" s="833" t="n">
        <v>50000000</v>
      </c>
      <c r="D14" s="984" t="inlineStr">
        <is>
          <t>1년갱신</t>
        </is>
      </c>
      <c r="E14" s="833" t="n"/>
      <c r="F14" s="835" t="n"/>
      <c r="G14" s="836" t="n"/>
      <c r="H14" s="837" t="n"/>
      <c r="I14" s="836" t="n"/>
      <c r="J14" s="837" t="n"/>
      <c r="K14" s="838" t="n"/>
      <c r="L14" s="839" t="n"/>
      <c r="M14" s="838" t="n"/>
      <c r="N14" s="837" t="n"/>
      <c r="O14" s="836" t="n"/>
      <c r="P14" s="837" t="n"/>
      <c r="Q14" s="830" t="n"/>
      <c r="R14" s="832" t="n"/>
      <c r="S14" s="353" t="inlineStr">
        <is>
          <t>상해입원의료비</t>
        </is>
      </c>
      <c r="T14" s="840">
        <f>C14+E14+G14+I14+K14+M14+O14</f>
        <v/>
      </c>
    </row>
    <row r="15" ht="14.1" customHeight="1" s="797">
      <c r="A15" s="832" t="n"/>
      <c r="B15" s="458" t="inlineStr">
        <is>
          <t>상해통원의료비</t>
        </is>
      </c>
      <c r="C15" s="833" t="n">
        <v>200000</v>
      </c>
      <c r="D15" s="984" t="inlineStr">
        <is>
          <t>1년갱신</t>
        </is>
      </c>
      <c r="E15" s="833" t="n"/>
      <c r="F15" s="835" t="n"/>
      <c r="G15" s="836" t="n"/>
      <c r="H15" s="837" t="n"/>
      <c r="I15" s="836" t="n"/>
      <c r="J15" s="837" t="n"/>
      <c r="K15" s="838" t="n"/>
      <c r="L15" s="839" t="n"/>
      <c r="M15" s="838" t="n"/>
      <c r="N15" s="837" t="n"/>
      <c r="O15" s="836" t="n"/>
      <c r="P15" s="837" t="n"/>
      <c r="Q15" s="830" t="n"/>
      <c r="R15" s="832" t="n"/>
      <c r="S15" s="353" t="inlineStr">
        <is>
          <t>상해통원의료비</t>
        </is>
      </c>
      <c r="T15" s="840">
        <f>C15+E15+G15+I15+K15+M15+O15</f>
        <v/>
      </c>
    </row>
    <row r="16" ht="14.1" customHeight="1" s="797" thickBot="1">
      <c r="A16" s="841" t="n"/>
      <c r="B16" s="459" t="inlineStr">
        <is>
          <t>3대비급여 의료비</t>
        </is>
      </c>
      <c r="C16" s="842" t="n">
        <v>3500000</v>
      </c>
      <c r="D16" s="985" t="inlineStr">
        <is>
          <t>1년갱신</t>
        </is>
      </c>
      <c r="E16" s="842" t="n"/>
      <c r="F16" s="844" t="n"/>
      <c r="G16" s="845" t="n"/>
      <c r="H16" s="846" t="n"/>
      <c r="I16" s="845" t="n"/>
      <c r="J16" s="846" t="n"/>
      <c r="K16" s="847" t="n"/>
      <c r="L16" s="848" t="n"/>
      <c r="M16" s="847" t="n"/>
      <c r="N16" s="846" t="n"/>
      <c r="O16" s="845" t="n"/>
      <c r="P16" s="846" t="n"/>
      <c r="Q16" s="830" t="n"/>
      <c r="R16" s="841" t="n"/>
      <c r="S16" s="354" t="inlineStr">
        <is>
          <t>3대비급여 의료비</t>
        </is>
      </c>
      <c r="T16" s="849">
        <f>C16+E16+G16+I16+K16+M16+O16</f>
        <v/>
      </c>
    </row>
    <row r="17" ht="14.1" customHeight="1" s="797">
      <c r="A17" s="624" t="inlineStr">
        <is>
          <t>암</t>
        </is>
      </c>
      <c r="B17" s="460" t="inlineStr">
        <is>
          <t>암진단</t>
        </is>
      </c>
      <c r="C17" s="828" t="n"/>
      <c r="D17" s="850" t="n"/>
      <c r="E17" s="838" t="n">
        <v>50000000</v>
      </c>
      <c r="F17" s="850" t="inlineStr">
        <is>
          <t>90세</t>
        </is>
      </c>
      <c r="G17" s="838" t="n"/>
      <c r="H17" s="852" t="n"/>
      <c r="I17" s="838" t="n"/>
      <c r="J17" s="852" t="n"/>
      <c r="K17" s="838" t="n"/>
      <c r="L17" s="850" t="n"/>
      <c r="M17" s="828" t="n"/>
      <c r="N17" s="853" t="n"/>
      <c r="O17" s="828" t="n"/>
      <c r="P17" s="827" t="n"/>
      <c r="Q17" s="830" t="n"/>
      <c r="R17" s="624" t="inlineStr">
        <is>
          <t>암</t>
        </is>
      </c>
      <c r="S17" s="490" t="inlineStr">
        <is>
          <t>암진단</t>
        </is>
      </c>
      <c r="T17" s="854">
        <f>C17+E17+G17+I17+K17+M17+O17</f>
        <v/>
      </c>
    </row>
    <row r="18" ht="14.1" customHeight="1" s="797">
      <c r="A18" s="832" t="n"/>
      <c r="B18" s="481" t="inlineStr">
        <is>
          <t>유사암진단</t>
        </is>
      </c>
      <c r="C18" s="838" t="n"/>
      <c r="D18" s="855" t="n"/>
      <c r="E18" s="838" t="n">
        <v>10000000</v>
      </c>
      <c r="F18" s="855" t="inlineStr">
        <is>
          <t>90세</t>
        </is>
      </c>
      <c r="G18" s="838" t="n"/>
      <c r="H18" s="852" t="n"/>
      <c r="I18" s="838" t="n"/>
      <c r="J18" s="852" t="n"/>
      <c r="K18" s="838" t="n"/>
      <c r="L18" s="855" t="n"/>
      <c r="M18" s="856" t="n"/>
      <c r="N18" s="853" t="n"/>
      <c r="O18" s="856" t="n"/>
      <c r="P18" s="857" t="n"/>
      <c r="Q18" s="830" t="n"/>
      <c r="R18" s="832" t="n"/>
      <c r="S18" s="491" t="inlineStr">
        <is>
          <t>유사암진단</t>
        </is>
      </c>
      <c r="T18" s="858">
        <f>C18+E18+G18+I18+K18+M18+O18</f>
        <v/>
      </c>
    </row>
    <row r="19" ht="14.1" customHeight="1" s="797" thickBot="1">
      <c r="A19" s="832" t="n"/>
      <c r="B19" s="553" t="inlineStr">
        <is>
          <t>전이암진단</t>
        </is>
      </c>
      <c r="C19" s="859" t="n"/>
      <c r="D19" s="860" t="n"/>
      <c r="E19" s="862" t="n"/>
      <c r="F19" s="863" t="n"/>
      <c r="G19" s="859" t="n"/>
      <c r="H19" s="863" t="n"/>
      <c r="I19" s="859" t="n"/>
      <c r="J19" s="863" t="n"/>
      <c r="K19" s="862" t="n"/>
      <c r="L19" s="861" t="n"/>
      <c r="M19" s="859" t="n"/>
      <c r="N19" s="860" t="n"/>
      <c r="O19" s="859" t="n"/>
      <c r="P19" s="864" t="n"/>
      <c r="Q19" s="830" t="n"/>
      <c r="R19" s="832" t="n"/>
      <c r="S19" s="552" t="inlineStr">
        <is>
          <t>전이암진단</t>
        </is>
      </c>
      <c r="T19" s="865">
        <f>C19+E19+G19+I19+K19+M19+O19</f>
        <v/>
      </c>
    </row>
    <row r="20" ht="14.1" customHeight="1" s="797">
      <c r="A20" s="832" t="n"/>
      <c r="B20" s="554" t="inlineStr">
        <is>
          <t>암수술</t>
        </is>
      </c>
      <c r="C20" s="822" t="n"/>
      <c r="D20" s="824" t="n"/>
      <c r="E20" s="822" t="n">
        <v>10000000</v>
      </c>
      <c r="F20" s="824" t="inlineStr">
        <is>
          <t>90세</t>
        </is>
      </c>
      <c r="G20" s="828" t="n"/>
      <c r="H20" s="866" t="n"/>
      <c r="I20" s="828" t="n"/>
      <c r="J20" s="866" t="n"/>
      <c r="K20" s="828" t="n"/>
      <c r="L20" s="850" t="n"/>
      <c r="M20" s="828" t="n"/>
      <c r="N20" s="850" t="n"/>
      <c r="O20" s="828" t="n"/>
      <c r="P20" s="827" t="n"/>
      <c r="Q20" s="830" t="n"/>
      <c r="R20" s="832" t="n"/>
      <c r="S20" s="554" t="inlineStr">
        <is>
          <t>암수술</t>
        </is>
      </c>
      <c r="T20" s="854">
        <f>C20+E20+G20+I20+K20+M20+O20</f>
        <v/>
      </c>
    </row>
    <row r="21" ht="14.1" customHeight="1" s="797">
      <c r="A21" s="832" t="n"/>
      <c r="B21" s="555" t="inlineStr">
        <is>
          <t>다빈치로봇수술</t>
        </is>
      </c>
      <c r="C21" s="867" t="n"/>
      <c r="D21" s="868" t="n"/>
      <c r="E21" s="867" t="n">
        <v>10000000</v>
      </c>
      <c r="F21" s="870" t="inlineStr">
        <is>
          <t>10년갱신</t>
        </is>
      </c>
      <c r="G21" s="856" t="n"/>
      <c r="H21" s="871" t="n"/>
      <c r="I21" s="856" t="n"/>
      <c r="J21" s="871" t="n"/>
      <c r="K21" s="838" t="n"/>
      <c r="L21" s="871" t="n"/>
      <c r="M21" s="838" t="n"/>
      <c r="N21" s="872" t="n"/>
      <c r="O21" s="856" t="n"/>
      <c r="P21" s="857" t="n"/>
      <c r="Q21" s="830" t="n"/>
      <c r="R21" s="832" t="n"/>
      <c r="S21" s="555" t="inlineStr">
        <is>
          <t>다빈치로봇수술</t>
        </is>
      </c>
      <c r="T21" s="858">
        <f>C21+E21+G21+I21+K21+M21+O21</f>
        <v/>
      </c>
    </row>
    <row r="22" ht="14.1" customHeight="1" s="797">
      <c r="A22" s="832" t="n"/>
      <c r="B22" s="556" t="inlineStr">
        <is>
          <t>항암방사선</t>
        </is>
      </c>
      <c r="C22" s="838" t="n"/>
      <c r="D22" s="873" t="n"/>
      <c r="E22" s="856" t="n">
        <v>10000000</v>
      </c>
      <c r="F22" s="857" t="inlineStr">
        <is>
          <t>90세</t>
        </is>
      </c>
      <c r="G22" s="856" t="n"/>
      <c r="H22" s="871" t="n"/>
      <c r="I22" s="856" t="n"/>
      <c r="J22" s="871" t="n"/>
      <c r="K22" s="838" t="n"/>
      <c r="L22" s="855" t="n"/>
      <c r="M22" s="838" t="n"/>
      <c r="N22" s="855" t="n"/>
      <c r="O22" s="856" t="n"/>
      <c r="P22" s="857" t="n"/>
      <c r="Q22" s="830" t="n"/>
      <c r="R22" s="832" t="n"/>
      <c r="S22" s="556" t="inlineStr">
        <is>
          <t>항암방사선</t>
        </is>
      </c>
      <c r="T22" s="858">
        <f>C22+E22+G22+I22+K22+M22+O22</f>
        <v/>
      </c>
    </row>
    <row r="23" ht="14.1" customHeight="1" s="797">
      <c r="A23" s="832" t="n"/>
      <c r="B23" s="555" t="inlineStr">
        <is>
          <t>중입자방사선</t>
        </is>
      </c>
      <c r="C23" s="838" t="n"/>
      <c r="D23" s="873" t="n"/>
      <c r="E23" s="856" t="n">
        <v>50000000</v>
      </c>
      <c r="F23" s="857" t="inlineStr">
        <is>
          <t>90세</t>
        </is>
      </c>
      <c r="G23" s="856" t="n"/>
      <c r="H23" s="874" t="n"/>
      <c r="I23" s="856" t="n"/>
      <c r="J23" s="874" t="n"/>
      <c r="K23" s="838" t="n"/>
      <c r="L23" s="855" t="n"/>
      <c r="M23" s="838" t="n"/>
      <c r="N23" s="855" t="n"/>
      <c r="O23" s="856" t="n"/>
      <c r="P23" s="857" t="n"/>
      <c r="Q23" s="830" t="n"/>
      <c r="R23" s="832" t="n"/>
      <c r="S23" s="555" t="inlineStr">
        <is>
          <t>중입자방사선</t>
        </is>
      </c>
      <c r="T23" s="858">
        <f>C23+E23+G23+I23+K23+M23+O23</f>
        <v/>
      </c>
    </row>
    <row r="24" ht="14.1" customHeight="1" s="797">
      <c r="A24" s="832" t="n"/>
      <c r="B24" s="555" t="inlineStr">
        <is>
          <t>양성자방사선</t>
        </is>
      </c>
      <c r="C24" s="838" t="n"/>
      <c r="D24" s="873" t="n"/>
      <c r="E24" s="856" t="n">
        <v>30000000</v>
      </c>
      <c r="F24" s="857" t="inlineStr">
        <is>
          <t>90세</t>
        </is>
      </c>
      <c r="G24" s="856" t="n"/>
      <c r="H24" s="871" t="n"/>
      <c r="I24" s="856" t="n"/>
      <c r="J24" s="871" t="n"/>
      <c r="K24" s="838" t="n"/>
      <c r="L24" s="855" t="n"/>
      <c r="M24" s="838" t="n"/>
      <c r="N24" s="855" t="n"/>
      <c r="O24" s="856" t="n"/>
      <c r="P24" s="857" t="n"/>
      <c r="Q24" s="830" t="n"/>
      <c r="R24" s="832" t="n"/>
      <c r="S24" s="555" t="inlineStr">
        <is>
          <t>양성자방사선</t>
        </is>
      </c>
      <c r="T24" s="858">
        <f>C24+E24+G24+I24+K24+M24+O24</f>
        <v/>
      </c>
    </row>
    <row r="25" ht="14.1" customHeight="1" s="797">
      <c r="A25" s="832" t="n"/>
      <c r="B25" s="555" t="inlineStr">
        <is>
          <t>세기조절방사선</t>
        </is>
      </c>
      <c r="C25" s="838" t="n"/>
      <c r="D25" s="873" t="n"/>
      <c r="E25" s="856" t="n">
        <v>20000000</v>
      </c>
      <c r="F25" s="871" t="inlineStr">
        <is>
          <t>10년갱신</t>
        </is>
      </c>
      <c r="G25" s="856" t="n"/>
      <c r="H25" s="871" t="n"/>
      <c r="I25" s="856" t="n"/>
      <c r="J25" s="871" t="n"/>
      <c r="K25" s="838" t="n"/>
      <c r="L25" s="855" t="n"/>
      <c r="M25" s="838" t="n"/>
      <c r="N25" s="855" t="n"/>
      <c r="O25" s="856" t="n"/>
      <c r="P25" s="857" t="n"/>
      <c r="Q25" s="830" t="n"/>
      <c r="R25" s="832" t="n"/>
      <c r="S25" s="555" t="inlineStr">
        <is>
          <t>세기조절방사선</t>
        </is>
      </c>
      <c r="T25" s="858">
        <f>C25+E25+G25+I25+K25+M25+O25</f>
        <v/>
      </c>
    </row>
    <row r="26" ht="14.1" customHeight="1" s="797">
      <c r="A26" s="832" t="n"/>
      <c r="B26" s="556" t="inlineStr">
        <is>
          <t>항암약물</t>
        </is>
      </c>
      <c r="C26" s="838" t="n"/>
      <c r="D26" s="873" t="n"/>
      <c r="E26" s="859" t="n">
        <v>7000000</v>
      </c>
      <c r="F26" s="855" t="inlineStr">
        <is>
          <t>90세</t>
        </is>
      </c>
      <c r="G26" s="859" t="n"/>
      <c r="H26" s="871" t="n"/>
      <c r="I26" s="859" t="n"/>
      <c r="J26" s="871" t="n"/>
      <c r="K26" s="862" t="n"/>
      <c r="L26" s="875" t="n"/>
      <c r="M26" s="862" t="n"/>
      <c r="N26" s="875" t="n"/>
      <c r="O26" s="856" t="n"/>
      <c r="P26" s="857" t="n"/>
      <c r="Q26" s="830" t="n"/>
      <c r="R26" s="832" t="n"/>
      <c r="S26" s="556" t="inlineStr">
        <is>
          <t>항암약물</t>
        </is>
      </c>
      <c r="T26" s="858">
        <f>C26+E26+G26+I26+K26+M26+O26</f>
        <v/>
      </c>
    </row>
    <row r="27" ht="14.1" customHeight="1" s="797">
      <c r="A27" s="832" t="n"/>
      <c r="B27" s="555" t="inlineStr">
        <is>
          <t>표적항암약물</t>
        </is>
      </c>
      <c r="C27" s="862" t="n"/>
      <c r="D27" s="876" t="n"/>
      <c r="E27" s="859" t="n">
        <v>70000000</v>
      </c>
      <c r="F27" s="871" t="inlineStr">
        <is>
          <t>10년갱신</t>
        </is>
      </c>
      <c r="G27" s="859" t="n"/>
      <c r="H27" s="871" t="n"/>
      <c r="I27" s="859" t="n"/>
      <c r="J27" s="871" t="n"/>
      <c r="K27" s="862" t="n"/>
      <c r="L27" s="871" t="n"/>
      <c r="M27" s="862" t="n"/>
      <c r="N27" s="871" t="n"/>
      <c r="O27" s="859" t="n"/>
      <c r="P27" s="864" t="n"/>
      <c r="Q27" s="830" t="n"/>
      <c r="R27" s="832" t="n"/>
      <c r="S27" s="555" t="inlineStr">
        <is>
          <t>표적항암약물</t>
        </is>
      </c>
      <c r="T27" s="858">
        <f>C27+E27+G27+I27+K27+M27+O27</f>
        <v/>
      </c>
    </row>
    <row r="28" ht="14.1" customHeight="1" s="797" thickBot="1">
      <c r="A28" s="832" t="n"/>
      <c r="B28" s="557" t="inlineStr">
        <is>
          <t>카티항암약물</t>
        </is>
      </c>
      <c r="C28" s="847" t="n"/>
      <c r="D28" s="848" t="n"/>
      <c r="E28" s="847" t="n">
        <v>50000000</v>
      </c>
      <c r="F28" s="878" t="inlineStr">
        <is>
          <t>10년갱신</t>
        </is>
      </c>
      <c r="G28" s="847" t="n"/>
      <c r="H28" s="878" t="n"/>
      <c r="I28" s="847" t="n"/>
      <c r="J28" s="878" t="n"/>
      <c r="K28" s="847" t="n"/>
      <c r="L28" s="879" t="n"/>
      <c r="M28" s="847" t="n"/>
      <c r="N28" s="879" t="n"/>
      <c r="O28" s="845" t="n"/>
      <c r="P28" s="846" t="n"/>
      <c r="Q28" s="830" t="n"/>
      <c r="R28" s="832" t="n"/>
      <c r="S28" s="557" t="inlineStr">
        <is>
          <t>카티항암약물</t>
        </is>
      </c>
      <c r="T28" s="865">
        <f>C28+E28+G28+I28+K28+M28+O28</f>
        <v/>
      </c>
    </row>
    <row r="29" ht="14.1" customHeight="1" s="797">
      <c r="A29" s="628" t="inlineStr">
        <is>
          <t>2대
질병</t>
        </is>
      </c>
      <c r="B29" s="461" t="inlineStr">
        <is>
          <t>뇌혈관진단</t>
        </is>
      </c>
      <c r="C29" s="838" t="n"/>
      <c r="D29" s="829" t="n"/>
      <c r="E29" s="838" t="n">
        <v>10000000</v>
      </c>
      <c r="F29" s="850" t="inlineStr">
        <is>
          <t>90세</t>
        </is>
      </c>
      <c r="G29" s="838" t="n"/>
      <c r="H29" s="866" t="n"/>
      <c r="I29" s="838" t="n"/>
      <c r="J29" s="866" t="n"/>
      <c r="K29" s="838" t="n"/>
      <c r="L29" s="850" t="n"/>
      <c r="M29" s="828" t="n"/>
      <c r="N29" s="829" t="n"/>
      <c r="O29" s="836" t="n"/>
      <c r="P29" s="827" t="n"/>
      <c r="Q29" s="830" t="n"/>
      <c r="R29" s="630" t="inlineStr">
        <is>
          <t>2대
질병</t>
        </is>
      </c>
      <c r="S29" s="492" t="inlineStr">
        <is>
          <t>뇌혈관진단</t>
        </is>
      </c>
      <c r="T29" s="881">
        <f>C29+E29+G29+I29+K29+M29+O29</f>
        <v/>
      </c>
    </row>
    <row r="30" ht="14.1" customHeight="1" s="797">
      <c r="A30" s="832" t="n"/>
      <c r="B30" s="462" t="inlineStr">
        <is>
          <t>뇌졸증진단</t>
        </is>
      </c>
      <c r="C30" s="838" t="n"/>
      <c r="D30" s="855" t="n"/>
      <c r="E30" s="838" t="n">
        <v>10000000</v>
      </c>
      <c r="F30" s="855" t="inlineStr">
        <is>
          <t>90세</t>
        </is>
      </c>
      <c r="G30" s="838" t="n"/>
      <c r="H30" s="871" t="n"/>
      <c r="I30" s="838" t="n"/>
      <c r="J30" s="871" t="n"/>
      <c r="K30" s="838" t="n"/>
      <c r="L30" s="855" t="n"/>
      <c r="M30" s="856" t="n"/>
      <c r="N30" s="853" t="n"/>
      <c r="O30" s="836" t="n"/>
      <c r="P30" s="857" t="n"/>
      <c r="Q30" s="830" t="n"/>
      <c r="R30" s="832" t="n"/>
      <c r="S30" s="493" t="inlineStr">
        <is>
          <t>뇌졸증진단</t>
        </is>
      </c>
      <c r="T30" s="840">
        <f>C30+E30+G30+I30+K30+M30+O30</f>
        <v/>
      </c>
    </row>
    <row r="31" ht="14.1" customHeight="1" s="797" thickBot="1">
      <c r="A31" s="832" t="n"/>
      <c r="B31" s="463" t="inlineStr">
        <is>
          <t>뇌출혈진단</t>
        </is>
      </c>
      <c r="C31" s="859" t="n"/>
      <c r="D31" s="861" t="n"/>
      <c r="E31" s="859" t="n">
        <v>40000000</v>
      </c>
      <c r="F31" s="861" t="inlineStr">
        <is>
          <t>90세</t>
        </is>
      </c>
      <c r="G31" s="859" t="n"/>
      <c r="H31" s="882" t="n"/>
      <c r="I31" s="859" t="n"/>
      <c r="J31" s="882" t="n"/>
      <c r="K31" s="859" t="n"/>
      <c r="L31" s="861" t="n"/>
      <c r="M31" s="859" t="n"/>
      <c r="N31" s="860" t="n"/>
      <c r="O31" s="883" t="n"/>
      <c r="P31" s="864" t="n"/>
      <c r="Q31" s="830" t="n"/>
      <c r="R31" s="832" t="n"/>
      <c r="S31" s="494" t="inlineStr">
        <is>
          <t>뇌출혈진단</t>
        </is>
      </c>
      <c r="T31" s="849">
        <f>C31+E31+G31+I31+K31+M31+O31</f>
        <v/>
      </c>
    </row>
    <row r="32" ht="14.1" customHeight="1" s="797">
      <c r="A32" s="832" t="n"/>
      <c r="B32" s="461" t="inlineStr">
        <is>
          <t>심장질환진단</t>
        </is>
      </c>
      <c r="C32" s="828" t="n"/>
      <c r="D32" s="850" t="n"/>
      <c r="E32" s="828" t="n">
        <v>10000000</v>
      </c>
      <c r="F32" s="850" t="inlineStr">
        <is>
          <t>90세</t>
        </is>
      </c>
      <c r="G32" s="828" t="n"/>
      <c r="H32" s="866" t="n"/>
      <c r="I32" s="828" t="n"/>
      <c r="J32" s="866" t="n"/>
      <c r="K32" s="828" t="n"/>
      <c r="L32" s="850" t="n"/>
      <c r="M32" s="828" t="n"/>
      <c r="N32" s="829" t="n"/>
      <c r="O32" s="826" t="n"/>
      <c r="P32" s="827" t="n"/>
      <c r="Q32" s="830" t="n"/>
      <c r="R32" s="832" t="n"/>
      <c r="S32" s="492" t="inlineStr">
        <is>
          <t>심장질환진단</t>
        </is>
      </c>
      <c r="T32" s="854">
        <f>C32+E32+G32+I32+K32+M32+O32</f>
        <v/>
      </c>
    </row>
    <row r="33" ht="14.1" customHeight="1" s="797">
      <c r="A33" s="832" t="n"/>
      <c r="B33" s="488" t="inlineStr">
        <is>
          <t>허혈성심장진단</t>
        </is>
      </c>
      <c r="C33" s="838" t="n"/>
      <c r="D33" s="855" t="n"/>
      <c r="E33" s="838" t="n">
        <v>20000000</v>
      </c>
      <c r="F33" s="855" t="inlineStr">
        <is>
          <t>90세</t>
        </is>
      </c>
      <c r="G33" s="838" t="n"/>
      <c r="H33" s="871" t="n"/>
      <c r="I33" s="838" t="n"/>
      <c r="J33" s="871" t="n"/>
      <c r="K33" s="838" t="n"/>
      <c r="L33" s="855" t="n"/>
      <c r="M33" s="838" t="n"/>
      <c r="N33" s="853" t="n"/>
      <c r="O33" s="836" t="n"/>
      <c r="P33" s="857" t="n"/>
      <c r="Q33" s="830" t="n"/>
      <c r="R33" s="832" t="n"/>
      <c r="S33" s="495" t="inlineStr">
        <is>
          <t>허혈성심장진단</t>
        </is>
      </c>
      <c r="T33" s="858">
        <f>C33+E33+G33+I33+K33+M33+O33</f>
        <v/>
      </c>
    </row>
    <row r="34" ht="14.1" customHeight="1" s="797" thickBot="1">
      <c r="A34" s="832" t="n"/>
      <c r="B34" s="489" t="inlineStr">
        <is>
          <t>급성심근경색진단</t>
        </is>
      </c>
      <c r="C34" s="847" t="n"/>
      <c r="D34" s="884" t="n"/>
      <c r="E34" s="847" t="n">
        <v>40000000</v>
      </c>
      <c r="F34" s="884" t="inlineStr">
        <is>
          <t>90세</t>
        </is>
      </c>
      <c r="G34" s="847" t="n"/>
      <c r="H34" s="886" t="n"/>
      <c r="I34" s="847" t="n"/>
      <c r="J34" s="886" t="n"/>
      <c r="K34" s="847" t="n"/>
      <c r="L34" s="884" t="n"/>
      <c r="M34" s="847" t="n"/>
      <c r="N34" s="848" t="n"/>
      <c r="O34" s="845" t="n"/>
      <c r="P34" s="887" t="n"/>
      <c r="Q34" s="830" t="n"/>
      <c r="R34" s="832" t="n"/>
      <c r="S34" s="496" t="inlineStr">
        <is>
          <t>급성심근경색진단</t>
        </is>
      </c>
      <c r="T34" s="865">
        <f>C34+E34+G34+I34+K34+M34+O34</f>
        <v/>
      </c>
    </row>
    <row r="35" ht="14.1" customHeight="1" s="797">
      <c r="A35" s="832" t="n"/>
      <c r="B35" s="461" t="inlineStr">
        <is>
          <t>수술/시술비</t>
        </is>
      </c>
      <c r="C35" s="828" t="n"/>
      <c r="D35" s="850" t="n"/>
      <c r="E35" s="828" t="n">
        <v>10000000</v>
      </c>
      <c r="F35" s="850" t="inlineStr">
        <is>
          <t>90세</t>
        </is>
      </c>
      <c r="G35" s="828" t="n"/>
      <c r="H35" s="866" t="n"/>
      <c r="I35" s="828" t="n"/>
      <c r="J35" s="866" t="n"/>
      <c r="K35" s="828" t="n"/>
      <c r="L35" s="850" t="n"/>
      <c r="M35" s="828" t="n"/>
      <c r="N35" s="829" t="n"/>
      <c r="O35" s="826" t="n"/>
      <c r="P35" s="827" t="n"/>
      <c r="Q35" s="830" t="n"/>
      <c r="R35" s="832" t="n"/>
      <c r="S35" s="461" t="inlineStr">
        <is>
          <t>수술/시술비</t>
        </is>
      </c>
      <c r="T35" s="881">
        <f>C35+E35+G35+I35+K35+M35+O35</f>
        <v/>
      </c>
    </row>
    <row r="36" ht="14.1" customHeight="1" s="797">
      <c r="A36" s="832" t="n"/>
      <c r="B36" s="488" t="inlineStr">
        <is>
          <t>혈전용해치료</t>
        </is>
      </c>
      <c r="C36" s="838" t="n"/>
      <c r="D36" s="855" t="n"/>
      <c r="E36" s="838" t="n">
        <v>10000000</v>
      </c>
      <c r="F36" s="855" t="inlineStr">
        <is>
          <t>90세</t>
        </is>
      </c>
      <c r="G36" s="838" t="n"/>
      <c r="H36" s="871" t="n"/>
      <c r="I36" s="838" t="n"/>
      <c r="J36" s="871" t="n"/>
      <c r="K36" s="838" t="n"/>
      <c r="L36" s="855" t="n"/>
      <c r="M36" s="838" t="n"/>
      <c r="N36" s="853" t="n"/>
      <c r="O36" s="836" t="n"/>
      <c r="P36" s="857" t="n"/>
      <c r="Q36" s="830" t="n"/>
      <c r="R36" s="832" t="n"/>
      <c r="S36" s="488" t="inlineStr">
        <is>
          <t>혈전용해치료</t>
        </is>
      </c>
      <c r="T36" s="840">
        <f>C36+E36+G36+I36+K36+M36+O36</f>
        <v/>
      </c>
    </row>
    <row r="37" ht="14.1" customHeight="1" s="797" thickBot="1">
      <c r="A37" s="832" t="n"/>
      <c r="B37" s="489" t="inlineStr">
        <is>
          <t>중환자실치료</t>
        </is>
      </c>
      <c r="C37" s="847" t="n"/>
      <c r="D37" s="884" t="n"/>
      <c r="E37" s="847" t="n">
        <v>10000000</v>
      </c>
      <c r="F37" s="884" t="inlineStr">
        <is>
          <t>90세</t>
        </is>
      </c>
      <c r="G37" s="847" t="n"/>
      <c r="H37" s="886" t="n"/>
      <c r="I37" s="847" t="n"/>
      <c r="J37" s="886" t="n"/>
      <c r="K37" s="847" t="n"/>
      <c r="L37" s="884" t="n"/>
      <c r="M37" s="847" t="n"/>
      <c r="N37" s="848" t="n"/>
      <c r="O37" s="845" t="n"/>
      <c r="P37" s="887" t="n"/>
      <c r="Q37" s="830" t="n"/>
      <c r="R37" s="832" t="n"/>
      <c r="S37" s="489" t="inlineStr">
        <is>
          <t>중환자실치료</t>
        </is>
      </c>
      <c r="T37" s="849">
        <f>C37+E37+G37+I37+K37+M37+O37</f>
        <v/>
      </c>
    </row>
    <row r="38" ht="14.1" customHeight="1" s="797">
      <c r="A38" s="892" t="inlineStr">
        <is>
          <t>후유장해</t>
        </is>
      </c>
      <c r="B38" s="464" t="inlineStr">
        <is>
          <t>질병 80% 이상</t>
        </is>
      </c>
      <c r="C38" s="828" t="n"/>
      <c r="D38" s="850" t="n"/>
      <c r="E38" s="828" t="n">
        <v>30000000</v>
      </c>
      <c r="F38" s="850" t="inlineStr">
        <is>
          <t>80세</t>
        </is>
      </c>
      <c r="G38" s="828" t="n"/>
      <c r="H38" s="893" t="n"/>
      <c r="I38" s="828" t="n"/>
      <c r="J38" s="893" t="n"/>
      <c r="K38" s="828" t="n"/>
      <c r="L38" s="850" t="n"/>
      <c r="M38" s="828" t="n"/>
      <c r="N38" s="829" t="n"/>
      <c r="O38" s="826" t="n"/>
      <c r="P38" s="827" t="n"/>
      <c r="Q38" s="830" t="n"/>
      <c r="R38" s="892" t="inlineStr">
        <is>
          <t>후유장해</t>
        </is>
      </c>
      <c r="S38" s="497" t="inlineStr">
        <is>
          <t>질병 80% 이상</t>
        </is>
      </c>
      <c r="T38" s="854">
        <f>C38+E38+G38+I38+K38+M38+O38</f>
        <v/>
      </c>
    </row>
    <row r="39" ht="14.1" customHeight="1" s="797">
      <c r="A39" s="832" t="n"/>
      <c r="B39" s="465" t="inlineStr">
        <is>
          <t>질병 3% ~80%</t>
        </is>
      </c>
      <c r="C39" s="838" t="n"/>
      <c r="D39" s="855" t="n"/>
      <c r="E39" s="838" t="n">
        <v>30000000</v>
      </c>
      <c r="F39" s="890" t="inlineStr">
        <is>
          <t>80세</t>
        </is>
      </c>
      <c r="G39" s="838" t="n"/>
      <c r="H39" s="895" t="n"/>
      <c r="I39" s="838" t="n"/>
      <c r="J39" s="895" t="n"/>
      <c r="K39" s="838" t="n"/>
      <c r="L39" s="890" t="n"/>
      <c r="M39" s="838" t="n"/>
      <c r="N39" s="839" t="n"/>
      <c r="O39" s="836" t="n"/>
      <c r="P39" s="837" t="n"/>
      <c r="Q39" s="830" t="n"/>
      <c r="R39" s="832" t="n"/>
      <c r="S39" s="498" t="inlineStr">
        <is>
          <t>질병 3% ~80%</t>
        </is>
      </c>
      <c r="T39" s="858">
        <f>C39+E39+G39+I39+K39+M39+O39</f>
        <v/>
      </c>
    </row>
    <row r="40" ht="14.1" customHeight="1" s="797">
      <c r="A40" s="832" t="n"/>
      <c r="B40" s="465" t="inlineStr">
        <is>
          <t>상해 80% 이상</t>
        </is>
      </c>
      <c r="C40" s="838" t="n"/>
      <c r="D40" s="890" t="n"/>
      <c r="E40" s="838" t="n">
        <v>100000000</v>
      </c>
      <c r="F40" s="890" t="inlineStr">
        <is>
          <t>90세</t>
        </is>
      </c>
      <c r="G40" s="838" t="n"/>
      <c r="H40" s="896" t="n"/>
      <c r="I40" s="838" t="n"/>
      <c r="J40" s="896" t="n"/>
      <c r="K40" s="838" t="n"/>
      <c r="L40" s="890" t="n"/>
      <c r="M40" s="838" t="n"/>
      <c r="N40" s="839" t="n"/>
      <c r="O40" s="836" t="n"/>
      <c r="P40" s="837" t="n"/>
      <c r="Q40" s="830" t="n"/>
      <c r="R40" s="832" t="n"/>
      <c r="S40" s="498" t="inlineStr">
        <is>
          <t>상해 80% 이상</t>
        </is>
      </c>
      <c r="T40" s="858">
        <f>C40+E40+G40+I40+K40+M40+O40</f>
        <v/>
      </c>
    </row>
    <row r="41" ht="14.1" customHeight="1" s="797" thickBot="1">
      <c r="A41" s="841" t="n"/>
      <c r="B41" s="466" t="inlineStr">
        <is>
          <t>상해 3% ~ 80%</t>
        </is>
      </c>
      <c r="C41" s="847" t="n"/>
      <c r="D41" s="884" t="n"/>
      <c r="E41" s="838" t="n">
        <v>100000000</v>
      </c>
      <c r="F41" s="884" t="inlineStr">
        <is>
          <t>90세</t>
        </is>
      </c>
      <c r="G41" s="838" t="n"/>
      <c r="H41" s="886" t="n"/>
      <c r="I41" s="838" t="n"/>
      <c r="J41" s="886" t="n"/>
      <c r="K41" s="838" t="n"/>
      <c r="L41" s="884" t="n"/>
      <c r="M41" s="847" t="n"/>
      <c r="N41" s="848" t="n"/>
      <c r="O41" s="845" t="n"/>
      <c r="P41" s="846" t="n"/>
      <c r="Q41" s="830" t="n"/>
      <c r="R41" s="841" t="n"/>
      <c r="S41" s="499" t="inlineStr">
        <is>
          <t>상해 3% ~ 80%</t>
        </is>
      </c>
      <c r="T41" s="865">
        <f>C41+E41+G41+I41+K41+M41+O41</f>
        <v/>
      </c>
    </row>
    <row r="42" ht="14.1" customHeight="1" s="797">
      <c r="A42" s="897" t="inlineStr">
        <is>
          <t>사망</t>
        </is>
      </c>
      <c r="B42" s="467" t="inlineStr">
        <is>
          <t>일반</t>
        </is>
      </c>
      <c r="C42" s="856" t="n"/>
      <c r="D42" s="855" t="n"/>
      <c r="E42" s="828" t="n"/>
      <c r="F42" s="850" t="n"/>
      <c r="G42" s="828" t="n"/>
      <c r="H42" s="898" t="n"/>
      <c r="I42" s="828" t="n">
        <v>100000000</v>
      </c>
      <c r="J42" s="908" t="inlineStr">
        <is>
          <t>55세</t>
        </is>
      </c>
      <c r="K42" s="828" t="n"/>
      <c r="L42" s="829" t="n"/>
      <c r="M42" s="828" t="n"/>
      <c r="N42" s="829" t="n"/>
      <c r="O42" s="826" t="n"/>
      <c r="P42" s="827" t="n"/>
      <c r="Q42" s="830" t="n"/>
      <c r="R42" s="897" t="inlineStr">
        <is>
          <t>사망</t>
        </is>
      </c>
      <c r="S42" s="500" t="inlineStr">
        <is>
          <t>일반</t>
        </is>
      </c>
      <c r="T42" s="881">
        <f>C42+E42+G42+I42+K42+M42+O42</f>
        <v/>
      </c>
    </row>
    <row r="43" ht="14.1" customHeight="1" s="797">
      <c r="A43" s="832" t="n"/>
      <c r="B43" s="468" t="inlineStr">
        <is>
          <t>질병</t>
        </is>
      </c>
      <c r="C43" s="838" t="n"/>
      <c r="D43" s="890" t="n"/>
      <c r="E43" s="838" t="n"/>
      <c r="F43" s="890" t="n"/>
      <c r="G43" s="838" t="n"/>
      <c r="H43" s="896" t="n"/>
      <c r="I43" s="838" t="n"/>
      <c r="J43" s="896" t="n"/>
      <c r="K43" s="838" t="n"/>
      <c r="L43" s="839" t="n"/>
      <c r="M43" s="838" t="n"/>
      <c r="N43" s="839" t="n"/>
      <c r="O43" s="836" t="n"/>
      <c r="P43" s="837" t="n"/>
      <c r="Q43" s="830" t="n"/>
      <c r="R43" s="832" t="n"/>
      <c r="S43" s="501" t="inlineStr">
        <is>
          <t>질병</t>
        </is>
      </c>
      <c r="T43" s="840">
        <f>C43+E43+G43+I43+K43+M43+O43</f>
        <v/>
      </c>
    </row>
    <row r="44" ht="14.1" customHeight="1" s="797" thickBot="1">
      <c r="A44" s="841" t="n"/>
      <c r="B44" s="469" t="inlineStr">
        <is>
          <t>상해</t>
        </is>
      </c>
      <c r="C44" s="847" t="n"/>
      <c r="D44" s="884" t="n"/>
      <c r="E44" s="847" t="n">
        <v>1000000</v>
      </c>
      <c r="F44" s="884" t="inlineStr">
        <is>
          <t>90세</t>
        </is>
      </c>
      <c r="G44" s="847" t="n"/>
      <c r="H44" s="899" t="n"/>
      <c r="I44" s="847" t="n"/>
      <c r="J44" s="899" t="n"/>
      <c r="K44" s="847" t="n"/>
      <c r="L44" s="900" t="n"/>
      <c r="M44" s="847" t="n"/>
      <c r="N44" s="848" t="n"/>
      <c r="O44" s="901" t="n"/>
      <c r="P44" s="857" t="n"/>
      <c r="Q44" s="830" t="n"/>
      <c r="R44" s="841" t="n"/>
      <c r="S44" s="502" t="inlineStr">
        <is>
          <t>상해</t>
        </is>
      </c>
      <c r="T44" s="849">
        <f>C44+E44+G44+I44+K44+M44+O44</f>
        <v/>
      </c>
      <c r="U44" s="2" t="n"/>
    </row>
    <row r="45" ht="14.1" customHeight="1" s="797">
      <c r="A45" s="617" t="inlineStr">
        <is>
          <t>수술비</t>
        </is>
      </c>
      <c r="B45" s="470" t="inlineStr">
        <is>
          <t>질병</t>
        </is>
      </c>
      <c r="C45" s="828" t="n"/>
      <c r="D45" s="850" t="n"/>
      <c r="E45" s="828" t="n">
        <v>500000</v>
      </c>
      <c r="F45" s="855" t="inlineStr">
        <is>
          <t>90세</t>
        </is>
      </c>
      <c r="G45" s="828" t="n"/>
      <c r="H45" s="873" t="n"/>
      <c r="I45" s="828" t="n"/>
      <c r="J45" s="873" t="n"/>
      <c r="K45" s="828" t="n"/>
      <c r="L45" s="829" t="n"/>
      <c r="M45" s="856" t="n"/>
      <c r="N45" s="853" t="n"/>
      <c r="O45" s="826" t="n"/>
      <c r="P45" s="827" t="n"/>
      <c r="Q45" s="830" t="n"/>
      <c r="R45" s="617" t="inlineStr">
        <is>
          <t>수술비</t>
        </is>
      </c>
      <c r="S45" s="480" t="inlineStr">
        <is>
          <t>질병</t>
        </is>
      </c>
      <c r="T45" s="854">
        <f>C45+E45+G45+I45+K45+M45+O45</f>
        <v/>
      </c>
    </row>
    <row r="46" ht="14.1" customHeight="1" s="797">
      <c r="A46" s="832" t="n"/>
      <c r="B46" s="470" t="inlineStr">
        <is>
          <t>상해</t>
        </is>
      </c>
      <c r="C46" s="838" t="n"/>
      <c r="D46" s="890" t="n"/>
      <c r="E46" s="838" t="n">
        <v>1000000</v>
      </c>
      <c r="F46" s="890" t="inlineStr">
        <is>
          <t>90세</t>
        </is>
      </c>
      <c r="G46" s="838" t="n">
        <v>300000</v>
      </c>
      <c r="H46" s="902" t="inlineStr">
        <is>
          <t>39세</t>
        </is>
      </c>
      <c r="I46" s="838" t="n"/>
      <c r="J46" s="902" t="n"/>
      <c r="K46" s="838" t="n"/>
      <c r="L46" s="839" t="n"/>
      <c r="M46" s="838" t="n"/>
      <c r="N46" s="903" t="n"/>
      <c r="O46" s="836" t="n"/>
      <c r="P46" s="837" t="n"/>
      <c r="Q46" s="830" t="n"/>
      <c r="R46" s="832" t="n"/>
      <c r="S46" s="480" t="inlineStr">
        <is>
          <t>상해</t>
        </is>
      </c>
      <c r="T46" s="858">
        <f>C46+E46+G46+I46+K46+M46+O46</f>
        <v/>
      </c>
    </row>
    <row r="47" ht="14.1" customHeight="1" s="797">
      <c r="A47" s="832" t="n"/>
      <c r="B47" s="470" t="inlineStr">
        <is>
          <t>1-5종</t>
        </is>
      </c>
      <c r="C47" s="838" t="n"/>
      <c r="D47" s="890" t="n"/>
      <c r="E47" s="838" t="n">
        <v>10000000</v>
      </c>
      <c r="F47" s="890" t="inlineStr">
        <is>
          <t>90세</t>
        </is>
      </c>
      <c r="G47" s="838" t="n"/>
      <c r="H47" s="873" t="n"/>
      <c r="I47" s="838" t="n"/>
      <c r="J47" s="873" t="n"/>
      <c r="K47" s="838" t="n"/>
      <c r="L47" s="853" t="n"/>
      <c r="M47" s="838" t="n"/>
      <c r="N47" s="904" t="n"/>
      <c r="O47" s="836" t="n"/>
      <c r="P47" s="837" t="n"/>
      <c r="Q47" s="830" t="n"/>
      <c r="R47" s="832" t="n"/>
      <c r="S47" s="480" t="inlineStr">
        <is>
          <t>1-5종</t>
        </is>
      </c>
      <c r="T47" s="858">
        <f>C47+E47+G47+I47+K47+M47+O47</f>
        <v/>
      </c>
    </row>
    <row r="48" ht="14.1" customHeight="1" s="797" thickBot="1">
      <c r="A48" s="832" t="n"/>
      <c r="B48" s="471" t="inlineStr">
        <is>
          <t>111대질병</t>
        </is>
      </c>
      <c r="C48" s="862" t="n"/>
      <c r="D48" s="884" t="n"/>
      <c r="E48" s="862" t="n"/>
      <c r="F48" s="861" t="n"/>
      <c r="G48" s="862" t="n"/>
      <c r="H48" s="876" t="n"/>
      <c r="I48" s="862" t="n"/>
      <c r="J48" s="876" t="n"/>
      <c r="K48" s="862" t="n"/>
      <c r="L48" s="905" t="n"/>
      <c r="M48" s="862" t="n"/>
      <c r="N48" s="906" t="n"/>
      <c r="O48" s="907" t="n"/>
      <c r="P48" s="887" t="n"/>
      <c r="Q48" s="830" t="n"/>
      <c r="R48" s="832" t="n"/>
      <c r="S48" s="513" t="inlineStr">
        <is>
          <t>N대질병</t>
        </is>
      </c>
      <c r="T48" s="865">
        <f>C48+E48+G48+I48+K48+M48+O48</f>
        <v/>
      </c>
    </row>
    <row r="49" ht="14.1" customHeight="1" s="797">
      <c r="A49" s="603" t="inlineStr">
        <is>
          <t>상해진단</t>
        </is>
      </c>
      <c r="B49" s="472" t="inlineStr">
        <is>
          <t>골절</t>
        </is>
      </c>
      <c r="C49" s="828" t="n"/>
      <c r="D49" s="850" t="n"/>
      <c r="E49" s="828" t="n">
        <v>300000</v>
      </c>
      <c r="F49" s="850" t="inlineStr">
        <is>
          <t>90세</t>
        </is>
      </c>
      <c r="G49" s="828" t="n">
        <v>400000</v>
      </c>
      <c r="H49" s="908" t="inlineStr">
        <is>
          <t>39세</t>
        </is>
      </c>
      <c r="I49" s="828" t="n"/>
      <c r="J49" s="908" t="n"/>
      <c r="K49" s="828" t="n"/>
      <c r="L49" s="880" t="n"/>
      <c r="M49" s="828" t="n"/>
      <c r="N49" s="850" t="n"/>
      <c r="O49" s="826" t="n"/>
      <c r="P49" s="827" t="n"/>
      <c r="Q49" s="830" t="n"/>
      <c r="R49" s="603" t="inlineStr">
        <is>
          <t>상해진단</t>
        </is>
      </c>
      <c r="S49" s="483" t="inlineStr">
        <is>
          <t>골절</t>
        </is>
      </c>
      <c r="T49" s="881">
        <f>C49+E49+G49+I49+K49+M49+O49</f>
        <v/>
      </c>
    </row>
    <row r="50" ht="14.1" customHeight="1" s="797" thickBot="1">
      <c r="A50" s="832" t="n"/>
      <c r="B50" s="482" t="inlineStr">
        <is>
          <t>화상</t>
        </is>
      </c>
      <c r="C50" s="909" t="n"/>
      <c r="D50" s="879" t="n"/>
      <c r="E50" s="909" t="n">
        <v>200000</v>
      </c>
      <c r="F50" s="884" t="inlineStr">
        <is>
          <t>90세</t>
        </is>
      </c>
      <c r="G50" s="909" t="n"/>
      <c r="H50" s="899" t="n"/>
      <c r="I50" s="909" t="n"/>
      <c r="J50" s="899" t="n"/>
      <c r="K50" s="909" t="n"/>
      <c r="L50" s="910" t="n"/>
      <c r="M50" s="909" t="n"/>
      <c r="N50" s="879" t="n"/>
      <c r="O50" s="911" t="n"/>
      <c r="P50" s="846" t="n"/>
      <c r="Q50" s="830" t="n"/>
      <c r="R50" s="832" t="n"/>
      <c r="S50" s="503" t="inlineStr">
        <is>
          <t>화상</t>
        </is>
      </c>
      <c r="T50" s="849">
        <f>C50+E50+G50+I50+K50+M50+O50</f>
        <v/>
      </c>
    </row>
    <row r="51" ht="14.1" customHeight="1" s="797">
      <c r="A51" s="605" t="inlineStr">
        <is>
          <t>입원비</t>
        </is>
      </c>
      <c r="B51" s="484" t="inlineStr">
        <is>
          <t>질병</t>
        </is>
      </c>
      <c r="C51" s="856" t="n"/>
      <c r="D51" s="855" t="n"/>
      <c r="E51" s="856" t="n"/>
      <c r="F51" s="853" t="n"/>
      <c r="G51" s="856" t="n"/>
      <c r="H51" s="873" t="n"/>
      <c r="I51" s="856" t="n"/>
      <c r="J51" s="873" t="n"/>
      <c r="K51" s="856" t="n"/>
      <c r="L51" s="852" t="n"/>
      <c r="M51" s="856" t="n"/>
      <c r="N51" s="855" t="n"/>
      <c r="O51" s="883" t="n"/>
      <c r="P51" s="864" t="n"/>
      <c r="Q51" s="830" t="n"/>
      <c r="R51" s="605" t="inlineStr">
        <is>
          <t>입원비</t>
        </is>
      </c>
      <c r="S51" s="486" t="inlineStr">
        <is>
          <t>질병</t>
        </is>
      </c>
      <c r="T51" s="854">
        <f>C51+E51+G51+I51+K51+M51+O51</f>
        <v/>
      </c>
    </row>
    <row r="52" ht="14.1" customHeight="1" s="797" thickBot="1">
      <c r="A52" s="912" t="n"/>
      <c r="B52" s="485" t="inlineStr">
        <is>
          <t>상해</t>
        </is>
      </c>
      <c r="C52" s="847" t="n"/>
      <c r="D52" s="884" t="n"/>
      <c r="E52" s="847" t="n"/>
      <c r="F52" s="853" t="n"/>
      <c r="G52" s="847" t="n"/>
      <c r="H52" s="873" t="n"/>
      <c r="I52" s="847" t="n"/>
      <c r="J52" s="873" t="n"/>
      <c r="K52" s="847" t="n"/>
      <c r="L52" s="885" t="n"/>
      <c r="M52" s="847" t="n"/>
      <c r="N52" s="884" t="n"/>
      <c r="O52" s="883" t="n"/>
      <c r="P52" s="864" t="n"/>
      <c r="Q52" s="830" t="n"/>
      <c r="R52" s="912" t="n"/>
      <c r="S52" s="487" t="inlineStr">
        <is>
          <t>상해</t>
        </is>
      </c>
      <c r="T52" s="865">
        <f>C52+E52+G52+I52+K52+M52+O52</f>
        <v/>
      </c>
    </row>
    <row r="53" ht="14.1" customHeight="1" s="797">
      <c r="A53" s="609" t="inlineStr">
        <is>
          <t>간병인</t>
        </is>
      </c>
      <c r="B53" s="473" t="inlineStr">
        <is>
          <t>병원사용</t>
        </is>
      </c>
      <c r="C53" s="828" t="n"/>
      <c r="D53" s="850" t="n"/>
      <c r="E53" s="828" t="n"/>
      <c r="F53" s="913" t="n"/>
      <c r="G53" s="828" t="n"/>
      <c r="H53" s="908" t="n"/>
      <c r="I53" s="828" t="n"/>
      <c r="J53" s="908" t="n"/>
      <c r="K53" s="828" t="n"/>
      <c r="L53" s="913" t="n"/>
      <c r="M53" s="828" t="n"/>
      <c r="N53" s="850" t="n"/>
      <c r="O53" s="826" t="n"/>
      <c r="P53" s="827" t="n"/>
      <c r="Q53" s="830" t="n"/>
      <c r="R53" s="609" t="inlineStr">
        <is>
          <t>간병인</t>
        </is>
      </c>
      <c r="S53" s="504" t="inlineStr">
        <is>
          <t>병원사용</t>
        </is>
      </c>
      <c r="T53" s="881">
        <f>C53+E53+G53+I53+K53+M53+O53</f>
        <v/>
      </c>
    </row>
    <row r="54" ht="14.1" customHeight="1" s="797">
      <c r="A54" s="832" t="n"/>
      <c r="B54" s="474" t="inlineStr">
        <is>
          <t>요양병원사용</t>
        </is>
      </c>
      <c r="C54" s="859" t="n"/>
      <c r="D54" s="861" t="n"/>
      <c r="E54" s="859" t="n"/>
      <c r="F54" s="853" t="n"/>
      <c r="G54" s="859" t="n"/>
      <c r="H54" s="876" t="n"/>
      <c r="I54" s="859" t="n"/>
      <c r="J54" s="876" t="n"/>
      <c r="K54" s="859" t="n"/>
      <c r="L54" s="915" t="n"/>
      <c r="M54" s="859" t="n"/>
      <c r="N54" s="861" t="n"/>
      <c r="O54" s="883" t="n"/>
      <c r="P54" s="864" t="n"/>
      <c r="Q54" s="830" t="n"/>
      <c r="R54" s="832" t="n"/>
      <c r="S54" s="504" t="inlineStr">
        <is>
          <t>요양병원사용</t>
        </is>
      </c>
      <c r="T54" s="840">
        <f>C54+E54+G54+I54+K54+M54+O54</f>
        <v/>
      </c>
    </row>
    <row r="55" ht="14.1" customHeight="1" s="797" thickBot="1">
      <c r="A55" s="841" t="n"/>
      <c r="B55" s="475" t="inlineStr">
        <is>
          <t>간호간병통합사용</t>
        </is>
      </c>
      <c r="C55" s="847" t="n"/>
      <c r="D55" s="884" t="n"/>
      <c r="E55" s="847" t="n"/>
      <c r="F55" s="877" t="n"/>
      <c r="G55" s="847" t="n"/>
      <c r="H55" s="899" t="n"/>
      <c r="I55" s="847" t="n"/>
      <c r="J55" s="899" t="n"/>
      <c r="K55" s="847" t="n"/>
      <c r="L55" s="891" t="n"/>
      <c r="M55" s="847" t="n"/>
      <c r="N55" s="884" t="n"/>
      <c r="O55" s="845" t="n"/>
      <c r="P55" s="846" t="n"/>
      <c r="Q55" s="830" t="n"/>
      <c r="R55" s="841" t="n"/>
      <c r="S55" s="505" t="inlineStr">
        <is>
          <t>간호간병통합사용</t>
        </is>
      </c>
      <c r="T55" s="849">
        <f>C55+E55+G55+I55+K55+M55+O55</f>
        <v/>
      </c>
    </row>
    <row r="56" ht="14.1" customHeight="1" s="797">
      <c r="A56" s="917" t="inlineStr">
        <is>
          <t>운전자</t>
        </is>
      </c>
      <c r="B56" s="476" t="inlineStr">
        <is>
          <t>벌금</t>
        </is>
      </c>
      <c r="C56" s="918" t="n"/>
      <c r="D56" s="850" t="n"/>
      <c r="E56" s="828" t="n"/>
      <c r="F56" s="829" t="n"/>
      <c r="G56" s="828" t="n">
        <v>30000000</v>
      </c>
      <c r="H56" s="908" t="inlineStr">
        <is>
          <t>39세</t>
        </is>
      </c>
      <c r="I56" s="828" t="n"/>
      <c r="J56" s="908" t="n"/>
      <c r="K56" s="828" t="n"/>
      <c r="L56" s="880" t="n"/>
      <c r="M56" s="828" t="n"/>
      <c r="N56" s="850" t="n"/>
      <c r="O56" s="836" t="n"/>
      <c r="P56" s="827" t="n"/>
      <c r="Q56" s="830" t="n"/>
      <c r="R56" s="917" t="inlineStr">
        <is>
          <t>운전자</t>
        </is>
      </c>
      <c r="S56" s="506" t="inlineStr">
        <is>
          <t>벌금</t>
        </is>
      </c>
      <c r="T56" s="854">
        <f>C56+E56+G56+I56+K56+M56+O56</f>
        <v/>
      </c>
    </row>
    <row r="57" ht="14.1" customHeight="1" s="797">
      <c r="A57" s="832" t="n"/>
      <c r="B57" s="476" t="inlineStr">
        <is>
          <t>변호사선임</t>
        </is>
      </c>
      <c r="C57" s="838" t="n"/>
      <c r="D57" s="890" t="n"/>
      <c r="E57" s="838" t="n"/>
      <c r="F57" s="839" t="n"/>
      <c r="G57" s="838" t="n">
        <v>30000000</v>
      </c>
      <c r="H57" s="902" t="inlineStr">
        <is>
          <t>39세</t>
        </is>
      </c>
      <c r="I57" s="838" t="n"/>
      <c r="J57" s="902" t="n"/>
      <c r="K57" s="838" t="n"/>
      <c r="L57" s="894" t="n"/>
      <c r="M57" s="838" t="n"/>
      <c r="N57" s="890" t="n"/>
      <c r="O57" s="836" t="n"/>
      <c r="P57" s="837" t="n"/>
      <c r="Q57" s="830" t="n"/>
      <c r="R57" s="832" t="n"/>
      <c r="S57" s="506" t="inlineStr">
        <is>
          <t>변호사선임</t>
        </is>
      </c>
      <c r="T57" s="858">
        <f>C57+E57+G57+I57+K57+M57+O57</f>
        <v/>
      </c>
    </row>
    <row r="58" ht="14.1" customHeight="1" s="797" thickBot="1">
      <c r="A58" s="841" t="n"/>
      <c r="B58" s="477" t="inlineStr">
        <is>
          <t>교통사고처리지원</t>
        </is>
      </c>
      <c r="C58" s="856" t="n"/>
      <c r="D58" s="855" t="n"/>
      <c r="E58" s="856" t="n"/>
      <c r="F58" s="853" t="n"/>
      <c r="G58" s="856" t="n">
        <v>200000000</v>
      </c>
      <c r="H58" s="873" t="inlineStr">
        <is>
          <t>39세</t>
        </is>
      </c>
      <c r="I58" s="856" t="n"/>
      <c r="J58" s="873" t="n"/>
      <c r="K58" s="856" t="n"/>
      <c r="L58" s="852" t="n"/>
      <c r="M58" s="856" t="n"/>
      <c r="N58" s="855" t="n"/>
      <c r="O58" s="836" t="n"/>
      <c r="P58" s="837" t="n"/>
      <c r="Q58" s="830" t="n"/>
      <c r="R58" s="841" t="n"/>
      <c r="S58" s="507" t="inlineStr">
        <is>
          <t>교통사고처리지원</t>
        </is>
      </c>
      <c r="T58" s="865">
        <f>C58+E58+G58+I58+K58+M58+O58</f>
        <v/>
      </c>
    </row>
    <row r="59" ht="14.1" customHeight="1" s="797" thickBot="1">
      <c r="A59" s="585" t="inlineStr">
        <is>
          <t>일상생활배상책임</t>
        </is>
      </c>
      <c r="B59" s="919" t="n"/>
      <c r="C59" s="920" t="n"/>
      <c r="D59" s="921" t="n"/>
      <c r="E59" s="920" t="n"/>
      <c r="F59" s="923" t="n"/>
      <c r="G59" s="920" t="n">
        <v>100000000</v>
      </c>
      <c r="H59" s="924" t="inlineStr">
        <is>
          <t>39세</t>
        </is>
      </c>
      <c r="I59" s="920" t="n"/>
      <c r="J59" s="924" t="n"/>
      <c r="K59" s="920" t="n"/>
      <c r="L59" s="922" t="n"/>
      <c r="M59" s="920" t="n"/>
      <c r="N59" s="921" t="n"/>
      <c r="O59" s="925" t="n"/>
      <c r="P59" s="926" t="n"/>
      <c r="Q59" s="830" t="n"/>
      <c r="R59" s="585" t="inlineStr">
        <is>
          <t>일상생활배상책임</t>
        </is>
      </c>
      <c r="S59" s="919" t="n"/>
      <c r="T59" s="927">
        <f>C59+E59+G59+I59+K59+M59+O59</f>
        <v/>
      </c>
    </row>
    <row r="60" ht="14.1" customHeight="1" s="797">
      <c r="A60" s="928" t="inlineStr">
        <is>
          <t>기타</t>
        </is>
      </c>
      <c r="B60" s="929" t="n"/>
      <c r="C60" s="930" t="n"/>
      <c r="D60" s="850" t="n"/>
      <c r="E60" s="930" t="inlineStr">
        <is>
          <t>양성뇌종양2000만</t>
        </is>
      </c>
      <c r="F60" s="932" t="inlineStr">
        <is>
          <t>90세</t>
        </is>
      </c>
      <c r="G60" s="930" t="inlineStr">
        <is>
          <t>자동차부상치료비20만</t>
        </is>
      </c>
      <c r="H60" s="986" t="inlineStr">
        <is>
          <t>39세</t>
        </is>
      </c>
      <c r="I60" s="930" t="n"/>
      <c r="J60" s="933" t="n"/>
      <c r="K60" s="930" t="n"/>
      <c r="L60" s="932" t="n"/>
      <c r="M60" s="930" t="n"/>
      <c r="N60" s="934" t="n"/>
      <c r="O60" s="930" t="n"/>
      <c r="P60" s="827" t="n"/>
      <c r="Q60" s="830" t="n"/>
      <c r="R60" s="935" t="inlineStr">
        <is>
          <t>기타</t>
        </is>
      </c>
      <c r="S60" s="936" t="n"/>
      <c r="T60" s="937" t="n"/>
    </row>
    <row r="61" ht="14.1" customHeight="1" s="797">
      <c r="A61" s="804" t="n"/>
      <c r="C61" s="938" t="n"/>
      <c r="D61" s="890" t="n"/>
      <c r="E61" s="938" t="inlineStr">
        <is>
          <t>5대장기이식수술2000만</t>
        </is>
      </c>
      <c r="F61" s="931" t="inlineStr">
        <is>
          <t>80세</t>
        </is>
      </c>
      <c r="G61" s="938" t="inlineStr">
        <is>
          <t>상해입원수술30만</t>
        </is>
      </c>
      <c r="H61" s="902" t="inlineStr">
        <is>
          <t>39세</t>
        </is>
      </c>
      <c r="I61" s="938" t="n"/>
      <c r="J61" s="940" t="n"/>
      <c r="K61" s="938" t="n"/>
      <c r="L61" s="931" t="n"/>
      <c r="M61" s="938" t="n"/>
      <c r="N61" s="941" t="n"/>
      <c r="O61" s="938" t="n"/>
      <c r="P61" s="837" t="n"/>
      <c r="Q61" s="830" t="n"/>
      <c r="R61" s="804" t="n"/>
      <c r="S61" s="804" t="n"/>
      <c r="T61" s="805" t="n"/>
    </row>
    <row r="62" ht="14.1" customHeight="1" s="797">
      <c r="A62" s="804" t="n"/>
      <c r="C62" s="938" t="n"/>
      <c r="D62" s="890" t="n"/>
      <c r="E62" s="938" t="inlineStr">
        <is>
          <t>조혈모세포이식수술1000만</t>
        </is>
      </c>
      <c r="F62" s="931" t="inlineStr">
        <is>
          <t>80세</t>
        </is>
      </c>
      <c r="G62" s="938" t="inlineStr">
        <is>
          <t>창상봉합술2~20만</t>
        </is>
      </c>
      <c r="H62" s="873" t="inlineStr">
        <is>
          <t>39세</t>
        </is>
      </c>
      <c r="I62" s="938" t="n"/>
      <c r="J62" s="873" t="n"/>
      <c r="K62" s="938" t="n"/>
      <c r="L62" s="931" t="n"/>
      <c r="M62" s="938" t="n"/>
      <c r="N62" s="904" t="n"/>
      <c r="O62" s="938" t="n"/>
      <c r="P62" s="837" t="n"/>
      <c r="Q62" s="830" t="n"/>
      <c r="R62" s="804" t="n"/>
      <c r="S62" s="804" t="n"/>
      <c r="T62" s="805" t="n"/>
    </row>
    <row r="63" ht="14.1" customHeight="1" s="797" thickBot="1">
      <c r="A63" s="942" t="n"/>
      <c r="B63" s="943" t="n"/>
      <c r="C63" s="944" t="n"/>
      <c r="D63" s="884" t="n"/>
      <c r="E63" s="944" t="inlineStr">
        <is>
          <t>각막이식수술3000만</t>
        </is>
      </c>
      <c r="F63" s="885" t="inlineStr">
        <is>
          <t>80세</t>
        </is>
      </c>
      <c r="G63" s="944" t="inlineStr">
        <is>
          <t>교통상해입원2만</t>
        </is>
      </c>
      <c r="H63" s="899" t="inlineStr">
        <is>
          <t>39세</t>
        </is>
      </c>
      <c r="I63" s="944" t="n"/>
      <c r="J63" s="899" t="n"/>
      <c r="K63" s="944" t="n"/>
      <c r="L63" s="900" t="n"/>
      <c r="M63" s="944" t="n"/>
      <c r="N63" s="848" t="n"/>
      <c r="O63" s="944" t="n"/>
      <c r="P63" s="846" t="n"/>
      <c r="Q63" s="830" t="n"/>
      <c r="R63" s="942" t="n"/>
      <c r="S63" s="942" t="n"/>
      <c r="T63" s="946" t="n"/>
    </row>
    <row r="64" ht="19.5" customHeight="1" s="797">
      <c r="A64" s="947">
        <f>A1</f>
        <v/>
      </c>
      <c r="B64" s="796" t="n"/>
      <c r="C64" s="649" t="n"/>
      <c r="D64" s="794" t="n"/>
      <c r="E64" s="649" t="n"/>
      <c r="F64" s="794" t="n"/>
      <c r="G64" s="649" t="n"/>
      <c r="H64" s="794" t="n"/>
      <c r="I64" s="649" t="n"/>
      <c r="J64" s="794" t="n"/>
      <c r="K64" s="649" t="n"/>
      <c r="L64" s="794" t="n"/>
      <c r="M64" s="649" t="n"/>
      <c r="N64" s="794" t="n"/>
      <c r="O64" s="649" t="n"/>
      <c r="P64" s="794" t="n"/>
      <c r="Q64" s="138" t="n"/>
      <c r="R64" s="795" t="inlineStr">
        <is>
          <t>평가 기준일</t>
        </is>
      </c>
      <c r="S64" s="796" t="n"/>
      <c r="T64" s="137">
        <f>T1</f>
        <v/>
      </c>
    </row>
    <row r="65" ht="14.1" customHeight="1" s="797">
      <c r="A65" s="647" t="inlineStr">
        <is>
          <t>상품명</t>
        </is>
      </c>
      <c r="B65" s="798" t="n"/>
      <c r="C65" s="645" t="n"/>
      <c r="D65" s="799" t="n"/>
      <c r="E65" s="645" t="n"/>
      <c r="F65" s="799" t="n"/>
      <c r="G65" s="645" t="n"/>
      <c r="H65" s="799" t="n"/>
      <c r="I65" s="645" t="n"/>
      <c r="J65" s="799" t="n"/>
      <c r="K65" s="645" t="n"/>
      <c r="L65" s="799" t="n"/>
      <c r="M65" s="645" t="n"/>
      <c r="N65" s="799" t="n"/>
      <c r="O65" s="645" t="n"/>
      <c r="P65" s="799" t="n"/>
      <c r="Q65" s="25" t="n"/>
      <c r="R65" s="948" t="n"/>
      <c r="S65" s="801" t="n"/>
      <c r="T65" s="802" t="n"/>
    </row>
    <row r="66" ht="14.1" customHeight="1" s="797">
      <c r="A66" s="647" t="inlineStr">
        <is>
          <t>계약자 / 피보험자</t>
        </is>
      </c>
      <c r="B66" s="798" t="n"/>
      <c r="C66" s="645" t="n"/>
      <c r="D66" s="799" t="n"/>
      <c r="E66" s="645" t="n"/>
      <c r="F66" s="799" t="n"/>
      <c r="G66" s="645" t="n"/>
      <c r="H66" s="799" t="n"/>
      <c r="I66" s="645" t="n"/>
      <c r="J66" s="799" t="n"/>
      <c r="K66" s="645" t="n"/>
      <c r="L66" s="799" t="n"/>
      <c r="M66" s="645" t="n"/>
      <c r="N66" s="799" t="n"/>
      <c r="O66" s="646" t="n"/>
      <c r="P66" s="799" t="n"/>
      <c r="Q66" s="25" t="n"/>
      <c r="R66" s="804" t="n"/>
      <c r="T66" s="805" t="n"/>
    </row>
    <row r="67" ht="14.1" customHeight="1" s="797">
      <c r="A67" s="647" t="inlineStr">
        <is>
          <t>계약일자</t>
        </is>
      </c>
      <c r="B67" s="798" t="n"/>
      <c r="C67" s="646" t="n"/>
      <c r="D67" s="799" t="n"/>
      <c r="E67" s="646" t="n"/>
      <c r="F67" s="799" t="n"/>
      <c r="G67" s="646" t="n"/>
      <c r="H67" s="799" t="n"/>
      <c r="I67" s="646" t="n"/>
      <c r="J67" s="799" t="n"/>
      <c r="K67" s="646" t="n"/>
      <c r="L67" s="799" t="n"/>
      <c r="M67" s="646" t="n"/>
      <c r="N67" s="799" t="n"/>
      <c r="O67" s="646" t="n"/>
      <c r="P67" s="799" t="n"/>
      <c r="Q67" s="25" t="n"/>
      <c r="R67" s="804" t="n"/>
      <c r="T67" s="805" t="n"/>
    </row>
    <row r="68" ht="14.1" customHeight="1" s="797">
      <c r="A68" s="647" t="inlineStr">
        <is>
          <t>납입기간 / 기납입기간</t>
        </is>
      </c>
      <c r="B68" s="798" t="n"/>
      <c r="C68" s="806" t="n"/>
      <c r="D68" s="807">
        <f>IF(DATEDIF(C67,$T$1,"m")&lt;C68*12,DATEDIF(C67,$T$1,"m"),C68*12)</f>
        <v/>
      </c>
      <c r="E68" s="806" t="n"/>
      <c r="F68" s="807">
        <f>IF(DATEDIF(E67,$T$1,"m")&lt;E68*12,DATEDIF(E67,$T$1,"m"),E68*12)</f>
        <v/>
      </c>
      <c r="G68" s="806" t="n"/>
      <c r="H68" s="807">
        <f>IF(DATEDIF(G67,$T$1,"m")&lt;G68*12,DATEDIF(G67,$T$1,"m"),G68*12)</f>
        <v/>
      </c>
      <c r="I68" s="806" t="n"/>
      <c r="J68" s="807">
        <f>IF(DATEDIF(I67,$T$1,"m")&lt;I68*12,DATEDIF(I67,$T$1,"m"),I68*12)</f>
        <v/>
      </c>
      <c r="K68" s="806" t="n"/>
      <c r="L68" s="807">
        <f>IF(DATEDIF(K67,$T$1,"m")&lt;K68*12,DATEDIF(K67,$T$1,"m"),K68*12)</f>
        <v/>
      </c>
      <c r="M68" s="806" t="n"/>
      <c r="N68" s="949">
        <f>IF(DATEDIF(M67,$T$1,"m")&lt;M68*12,DATEDIF(M67,$T$1,"m"),M68*12)</f>
        <v/>
      </c>
      <c r="O68" s="806" t="n"/>
      <c r="P68" s="807">
        <f>IF(DATEDIF(O67,$T$1,"m")&lt;O68*12,DATEDIF(O67,$T$1,"m"),O68*12)</f>
        <v/>
      </c>
      <c r="Q68" s="25" t="n"/>
      <c r="R68" s="804" t="n"/>
      <c r="T68" s="805" t="n"/>
    </row>
    <row r="69" ht="14.1" customHeight="1" s="797">
      <c r="A69" s="647" t="inlineStr">
        <is>
          <t>보장기간</t>
        </is>
      </c>
      <c r="B69" s="798" t="n"/>
      <c r="C69" s="645" t="n"/>
      <c r="D69" s="799" t="n"/>
      <c r="E69" s="645" t="n"/>
      <c r="F69" s="799" t="n"/>
      <c r="G69" s="645" t="n"/>
      <c r="H69" s="799" t="n"/>
      <c r="I69" s="645" t="n"/>
      <c r="J69" s="799" t="n"/>
      <c r="K69" s="645" t="n"/>
      <c r="L69" s="799" t="n"/>
      <c r="M69" s="645" t="n"/>
      <c r="N69" s="799" t="n"/>
      <c r="O69" s="645" t="n"/>
      <c r="P69" s="799" t="n"/>
      <c r="Q69" s="25" t="n"/>
      <c r="R69" s="808" t="n"/>
      <c r="S69" s="809" t="n"/>
      <c r="T69" s="810" t="n"/>
    </row>
    <row r="70" ht="14.1" customHeight="1" s="797">
      <c r="A70" s="632" t="inlineStr">
        <is>
          <t>비고 / 갱신종류</t>
        </is>
      </c>
      <c r="B70" s="811" t="n"/>
      <c r="C70" s="642" t="n"/>
      <c r="D70" s="799" t="n"/>
      <c r="E70" s="642" t="n"/>
      <c r="F70" s="799" t="n"/>
      <c r="G70" s="642" t="n"/>
      <c r="H70" s="799" t="n"/>
      <c r="I70" s="642" t="n"/>
      <c r="J70" s="799" t="n"/>
      <c r="K70" s="642" t="n"/>
      <c r="L70" s="799" t="n"/>
      <c r="M70" s="642" t="n"/>
      <c r="N70" s="799" t="n"/>
      <c r="O70" s="642" t="n"/>
      <c r="P70" s="799" t="n"/>
      <c r="Q70" s="25" t="n"/>
      <c r="R70" s="950" t="n"/>
      <c r="S70" s="798" t="n"/>
      <c r="T70" s="27" t="inlineStr">
        <is>
          <t>총 보장 (원)</t>
        </is>
      </c>
    </row>
    <row r="71" ht="14.1" customHeight="1" s="797">
      <c r="A71" s="639" t="inlineStr">
        <is>
          <t>월 보험료</t>
        </is>
      </c>
      <c r="B71" s="798" t="n"/>
      <c r="C71" s="813" t="n"/>
      <c r="D71" s="799" t="n"/>
      <c r="E71" s="813" t="n"/>
      <c r="F71" s="799" t="n"/>
      <c r="G71" s="813" t="n"/>
      <c r="H71" s="799" t="n"/>
      <c r="I71" s="813" t="n"/>
      <c r="J71" s="799" t="n"/>
      <c r="K71" s="813" t="n"/>
      <c r="L71" s="799" t="n"/>
      <c r="M71" s="813" t="n"/>
      <c r="N71" s="799" t="n"/>
      <c r="O71" s="813" t="n"/>
      <c r="P71" s="799" t="n"/>
      <c r="Q71" s="814" t="n"/>
      <c r="R71" s="647" t="inlineStr">
        <is>
          <t>합산 월 보험료</t>
        </is>
      </c>
      <c r="S71" s="798" t="n"/>
      <c r="T71" s="951">
        <f>T8+C71+E71+G71+I71+K71+O71</f>
        <v/>
      </c>
    </row>
    <row r="72" ht="14.1" customHeight="1" s="797">
      <c r="A72" s="647" t="inlineStr">
        <is>
          <t>보험료 총액</t>
        </is>
      </c>
      <c r="B72" s="798" t="n"/>
      <c r="C72" s="817">
        <f>C71*C68*12</f>
        <v/>
      </c>
      <c r="D72" s="799" t="n"/>
      <c r="E72" s="817">
        <f>E71*E68*12</f>
        <v/>
      </c>
      <c r="F72" s="799" t="n"/>
      <c r="G72" s="817">
        <f>G71*G68*12</f>
        <v/>
      </c>
      <c r="H72" s="799" t="n"/>
      <c r="I72" s="817">
        <f>I71*I68*12</f>
        <v/>
      </c>
      <c r="J72" s="799" t="n"/>
      <c r="K72" s="817">
        <f>K71*K68*12</f>
        <v/>
      </c>
      <c r="L72" s="799" t="n"/>
      <c r="M72" s="817">
        <f>M71*M68*12</f>
        <v/>
      </c>
      <c r="N72" s="799" t="n"/>
      <c r="O72" s="817">
        <f>O71*O68*12</f>
        <v/>
      </c>
      <c r="P72" s="799" t="n"/>
      <c r="Q72" s="814" t="n"/>
      <c r="R72" s="647" t="inlineStr">
        <is>
          <t>합산 보험료 총액</t>
        </is>
      </c>
      <c r="S72" s="798" t="n"/>
      <c r="T72" s="952">
        <f>T9+C72+E72+G72+I72+K72+O72</f>
        <v/>
      </c>
    </row>
    <row r="73" ht="14.1" customHeight="1" s="797">
      <c r="A73" s="647" t="inlineStr">
        <is>
          <t>기 납입금</t>
        </is>
      </c>
      <c r="B73" s="798" t="n"/>
      <c r="C73" s="817">
        <f>C71*D68</f>
        <v/>
      </c>
      <c r="D73" s="799" t="n"/>
      <c r="E73" s="817">
        <f>E71*F68</f>
        <v/>
      </c>
      <c r="F73" s="799" t="n"/>
      <c r="G73" s="817">
        <f>G71*H68</f>
        <v/>
      </c>
      <c r="H73" s="799" t="n"/>
      <c r="I73" s="817">
        <f>I71*J68</f>
        <v/>
      </c>
      <c r="J73" s="799" t="n"/>
      <c r="K73" s="817">
        <f>K71*L68</f>
        <v/>
      </c>
      <c r="L73" s="799" t="n"/>
      <c r="M73" s="817">
        <f>M71*N68</f>
        <v/>
      </c>
      <c r="N73" s="799" t="n"/>
      <c r="O73" s="817">
        <f>O71*P68</f>
        <v/>
      </c>
      <c r="P73" s="799" t="n"/>
      <c r="Q73" s="814" t="n"/>
      <c r="R73" s="647" t="inlineStr">
        <is>
          <t>합산 기 납입금</t>
        </is>
      </c>
      <c r="S73" s="798" t="n"/>
      <c r="T73" s="952">
        <f>T10+C73+E73+G73+I73+K73+O73</f>
        <v/>
      </c>
    </row>
    <row r="74" ht="14.1" customHeight="1" s="797" thickBot="1">
      <c r="A74" s="632" t="inlineStr">
        <is>
          <t>미 납입금</t>
        </is>
      </c>
      <c r="B74" s="811" t="n"/>
      <c r="C74" s="817">
        <f>C72-C73</f>
        <v/>
      </c>
      <c r="D74" s="799" t="n"/>
      <c r="E74" s="817">
        <f>E72-E73</f>
        <v/>
      </c>
      <c r="F74" s="799" t="n"/>
      <c r="G74" s="817">
        <f>G72-G73</f>
        <v/>
      </c>
      <c r="H74" s="799" t="n"/>
      <c r="I74" s="817">
        <f>I72-I73</f>
        <v/>
      </c>
      <c r="J74" s="799" t="n"/>
      <c r="K74" s="817">
        <f>K72-K73</f>
        <v/>
      </c>
      <c r="L74" s="799" t="n"/>
      <c r="M74" s="817">
        <f>M72-M73</f>
        <v/>
      </c>
      <c r="N74" s="799" t="n"/>
      <c r="O74" s="817">
        <f>O72-O73</f>
        <v/>
      </c>
      <c r="P74" s="799" t="n"/>
      <c r="Q74" s="814" t="n"/>
      <c r="R74" s="953" t="inlineStr">
        <is>
          <t>합산 미 납입금</t>
        </is>
      </c>
      <c r="S74" s="954" t="n"/>
      <c r="T74" s="955">
        <f>T11+C74+E74+G74+I74+K74+O74</f>
        <v/>
      </c>
    </row>
    <row r="75" ht="14.1" customHeight="1" s="797">
      <c r="A75" s="821" t="inlineStr">
        <is>
          <t>실비
(갱신)</t>
        </is>
      </c>
      <c r="B75" s="457" t="inlineStr">
        <is>
          <t>질병입원의료비</t>
        </is>
      </c>
      <c r="C75" s="828" t="n"/>
      <c r="D75" s="829" t="n"/>
      <c r="E75" s="828" t="n"/>
      <c r="F75" s="956" t="n"/>
      <c r="G75" s="828" t="n"/>
      <c r="H75" s="880" t="n"/>
      <c r="I75" s="828" t="n"/>
      <c r="J75" s="880" t="n"/>
      <c r="K75" s="828" t="n"/>
      <c r="L75" s="829" t="n"/>
      <c r="M75" s="828" t="n"/>
      <c r="N75" s="827" t="n"/>
      <c r="O75" s="826" t="n"/>
      <c r="P75" s="827" t="n"/>
      <c r="Q75" s="830" t="n"/>
      <c r="R75" s="821" t="inlineStr">
        <is>
          <t>실비
(갱신)</t>
        </is>
      </c>
      <c r="S75" s="352" t="inlineStr">
        <is>
          <t>질병입원의료비</t>
        </is>
      </c>
      <c r="T75" s="957">
        <f>T12+C75+E75+G75+I75+K75+M75+O75</f>
        <v/>
      </c>
    </row>
    <row r="76" ht="14.1" customHeight="1" s="797">
      <c r="A76" s="832" t="n"/>
      <c r="B76" s="458" t="inlineStr">
        <is>
          <t>질병통원의료비</t>
        </is>
      </c>
      <c r="C76" s="838" t="n"/>
      <c r="D76" s="839" t="n"/>
      <c r="E76" s="838" t="n"/>
      <c r="F76" s="958" t="n"/>
      <c r="G76" s="838" t="n"/>
      <c r="H76" s="894" t="n"/>
      <c r="I76" s="838" t="n"/>
      <c r="J76" s="894" t="n"/>
      <c r="K76" s="838" t="n"/>
      <c r="L76" s="839" t="n"/>
      <c r="M76" s="838" t="n"/>
      <c r="N76" s="837" t="n"/>
      <c r="O76" s="836" t="n"/>
      <c r="P76" s="837" t="n"/>
      <c r="Q76" s="830" t="n"/>
      <c r="R76" s="832" t="n"/>
      <c r="S76" s="353" t="inlineStr">
        <is>
          <t>질병통원의료비</t>
        </is>
      </c>
      <c r="T76" s="959">
        <f>T13+C76+E76+G76+I76+K76+M76+O76</f>
        <v/>
      </c>
    </row>
    <row r="77" ht="14.1" customHeight="1" s="797">
      <c r="A77" s="832" t="n"/>
      <c r="B77" s="458" t="inlineStr">
        <is>
          <t>상해입원의료비</t>
        </is>
      </c>
      <c r="C77" s="838" t="n"/>
      <c r="D77" s="839" t="n"/>
      <c r="E77" s="838" t="n"/>
      <c r="F77" s="958" t="n"/>
      <c r="G77" s="838" t="n"/>
      <c r="H77" s="894" t="n"/>
      <c r="I77" s="838" t="n"/>
      <c r="J77" s="894" t="n"/>
      <c r="K77" s="838" t="n"/>
      <c r="L77" s="839" t="n"/>
      <c r="M77" s="838" t="n"/>
      <c r="N77" s="837" t="n"/>
      <c r="O77" s="836" t="n"/>
      <c r="P77" s="837" t="n"/>
      <c r="Q77" s="830" t="n"/>
      <c r="R77" s="832" t="n"/>
      <c r="S77" s="353" t="inlineStr">
        <is>
          <t>상해입원의료비</t>
        </is>
      </c>
      <c r="T77" s="959">
        <f>T14+C77+E77+G77+I77+K77+M77+O77</f>
        <v/>
      </c>
    </row>
    <row r="78" ht="14.1" customHeight="1" s="797">
      <c r="A78" s="832" t="n"/>
      <c r="B78" s="458" t="inlineStr">
        <is>
          <t>상해통원의료비</t>
        </is>
      </c>
      <c r="C78" s="838" t="n"/>
      <c r="D78" s="839" t="n"/>
      <c r="E78" s="838" t="n"/>
      <c r="F78" s="958" t="n"/>
      <c r="G78" s="838" t="n"/>
      <c r="H78" s="894" t="n"/>
      <c r="I78" s="838" t="n"/>
      <c r="J78" s="894" t="n"/>
      <c r="K78" s="838" t="n"/>
      <c r="L78" s="839" t="n"/>
      <c r="M78" s="838" t="n"/>
      <c r="N78" s="837" t="n"/>
      <c r="O78" s="836" t="n"/>
      <c r="P78" s="837" t="n"/>
      <c r="Q78" s="830" t="n"/>
      <c r="R78" s="832" t="n"/>
      <c r="S78" s="353" t="inlineStr">
        <is>
          <t>상해통원의료비</t>
        </is>
      </c>
      <c r="T78" s="959">
        <f>T15+C78+E78+G78+I78+K78+M78+O78</f>
        <v/>
      </c>
    </row>
    <row r="79" ht="14.1" customHeight="1" s="797" thickBot="1">
      <c r="A79" s="841" t="n"/>
      <c r="B79" s="459" t="inlineStr">
        <is>
          <t>3대비급여 의료비</t>
        </is>
      </c>
      <c r="C79" s="847" t="n"/>
      <c r="D79" s="848" t="n"/>
      <c r="E79" s="847" t="n"/>
      <c r="F79" s="960" t="n"/>
      <c r="G79" s="847" t="n"/>
      <c r="H79" s="885" t="n"/>
      <c r="I79" s="847" t="n"/>
      <c r="J79" s="885" t="n"/>
      <c r="K79" s="847" t="n"/>
      <c r="L79" s="848" t="n"/>
      <c r="M79" s="847" t="n"/>
      <c r="N79" s="846" t="n"/>
      <c r="O79" s="845" t="n"/>
      <c r="P79" s="846" t="n"/>
      <c r="Q79" s="830" t="n"/>
      <c r="R79" s="841" t="n"/>
      <c r="S79" s="354" t="inlineStr">
        <is>
          <t>3대비급여 의료비</t>
        </is>
      </c>
      <c r="T79" s="959">
        <f>T16+C79+E79+G79+I79+K79+M79+O79</f>
        <v/>
      </c>
    </row>
    <row r="80" ht="14.1" customHeight="1" s="797">
      <c r="A80" s="624" t="inlineStr">
        <is>
          <t>암</t>
        </is>
      </c>
      <c r="B80" s="460" t="inlineStr">
        <is>
          <t>암진단</t>
        </is>
      </c>
      <c r="C80" s="828" t="n"/>
      <c r="D80" s="908" t="n"/>
      <c r="E80" s="828" t="n"/>
      <c r="F80" s="880" t="n"/>
      <c r="G80" s="828" t="n"/>
      <c r="H80" s="880" t="n"/>
      <c r="I80" s="828" t="n"/>
      <c r="J80" s="880" t="n"/>
      <c r="K80" s="828" t="n"/>
      <c r="L80" s="913" t="n"/>
      <c r="M80" s="828" t="n"/>
      <c r="N80" s="829" t="n"/>
      <c r="O80" s="828" t="n"/>
      <c r="P80" s="827" t="n"/>
      <c r="Q80" s="830" t="n"/>
      <c r="R80" s="626" t="inlineStr">
        <is>
          <t>암</t>
        </is>
      </c>
      <c r="S80" s="490" t="inlineStr">
        <is>
          <t>암진단비</t>
        </is>
      </c>
      <c r="T80" s="957">
        <f>T17+C80+E80+G80+I80+K80+M80+O80</f>
        <v/>
      </c>
    </row>
    <row r="81" ht="14.1" customHeight="1" s="797">
      <c r="A81" s="832" t="n"/>
      <c r="B81" s="481" t="inlineStr">
        <is>
          <t>유사암진단</t>
        </is>
      </c>
      <c r="C81" s="838" t="n"/>
      <c r="D81" s="873" t="n"/>
      <c r="E81" s="838" t="n"/>
      <c r="F81" s="852" t="n"/>
      <c r="G81" s="838" t="n"/>
      <c r="H81" s="852" t="n"/>
      <c r="I81" s="838" t="n"/>
      <c r="J81" s="852" t="n"/>
      <c r="K81" s="838" t="n"/>
      <c r="L81" s="914" t="n"/>
      <c r="M81" s="838" t="n"/>
      <c r="N81" s="853" t="n"/>
      <c r="O81" s="856" t="n"/>
      <c r="P81" s="857" t="n"/>
      <c r="Q81" s="830" t="n"/>
      <c r="R81" s="832" t="n"/>
      <c r="S81" s="491" t="inlineStr">
        <is>
          <t>유사암진단</t>
        </is>
      </c>
      <c r="T81" s="959">
        <f>T18+C81+E81+G81+I81+K81+M81+O81</f>
        <v/>
      </c>
    </row>
    <row r="82" ht="14.1" customHeight="1" s="797" thickBot="1">
      <c r="A82" s="832" t="n"/>
      <c r="B82" s="553" t="inlineStr">
        <is>
          <t>전이암진단</t>
        </is>
      </c>
      <c r="C82" s="847" t="n"/>
      <c r="D82" s="961" t="n"/>
      <c r="E82" s="847" t="n"/>
      <c r="F82" s="910" t="n"/>
      <c r="G82" s="847" t="n"/>
      <c r="H82" s="910" t="n"/>
      <c r="I82" s="847" t="n"/>
      <c r="J82" s="910" t="n"/>
      <c r="K82" s="847" t="n"/>
      <c r="L82" s="916" t="n"/>
      <c r="M82" s="909" t="n"/>
      <c r="N82" s="877" t="n"/>
      <c r="O82" s="909" t="n"/>
      <c r="P82" s="962" t="n"/>
      <c r="Q82" s="830" t="n"/>
      <c r="R82" s="832" t="n"/>
      <c r="S82" s="566" t="inlineStr">
        <is>
          <t>전이암진단</t>
        </is>
      </c>
      <c r="T82" s="963">
        <f>T19+C82+E82+G82+I82+K82+M82+O82</f>
        <v/>
      </c>
    </row>
    <row r="83" ht="14.1" customHeight="1" s="797">
      <c r="A83" s="832" t="n"/>
      <c r="B83" s="554" t="inlineStr">
        <is>
          <t>암수술</t>
        </is>
      </c>
      <c r="C83" s="856" t="n"/>
      <c r="D83" s="873" t="n"/>
      <c r="E83" s="856" t="n"/>
      <c r="F83" s="852" t="n"/>
      <c r="G83" s="856" t="n"/>
      <c r="H83" s="852" t="n"/>
      <c r="I83" s="856" t="n"/>
      <c r="J83" s="852" t="n"/>
      <c r="K83" s="856" t="n"/>
      <c r="L83" s="914" t="n"/>
      <c r="M83" s="856" t="n"/>
      <c r="N83" s="853" t="n"/>
      <c r="O83" s="856" t="n"/>
      <c r="P83" s="857" t="n"/>
      <c r="Q83" s="830" t="n"/>
      <c r="R83" s="832" t="n"/>
      <c r="S83" s="343" t="inlineStr">
        <is>
          <t>암수술</t>
        </is>
      </c>
      <c r="T83" s="964">
        <f>T20+C83+E83+G83+I83+K83+M83+O83</f>
        <v/>
      </c>
    </row>
    <row r="84" ht="14.1" customHeight="1" s="797">
      <c r="A84" s="832" t="n"/>
      <c r="B84" s="555" t="inlineStr">
        <is>
          <t>다빈치로봇수술</t>
        </is>
      </c>
      <c r="C84" s="838" t="n"/>
      <c r="D84" s="873" t="n"/>
      <c r="E84" s="838" t="n"/>
      <c r="F84" s="852" t="n"/>
      <c r="G84" s="838" t="n"/>
      <c r="H84" s="852" t="n"/>
      <c r="I84" s="838" t="n"/>
      <c r="J84" s="852" t="n"/>
      <c r="K84" s="838" t="n"/>
      <c r="L84" s="914" t="n"/>
      <c r="M84" s="856" t="n"/>
      <c r="N84" s="853" t="n"/>
      <c r="O84" s="856" t="n"/>
      <c r="P84" s="857" t="n"/>
      <c r="Q84" s="830" t="n"/>
      <c r="R84" s="832" t="n"/>
      <c r="S84" s="326" t="inlineStr">
        <is>
          <t>다빈치로봇수술</t>
        </is>
      </c>
      <c r="T84" s="959">
        <f>T21+C84+E84+G84+I84+K84+M84+O84</f>
        <v/>
      </c>
    </row>
    <row r="85" ht="14.1" customHeight="1" s="797">
      <c r="A85" s="832" t="n"/>
      <c r="B85" s="556" t="inlineStr">
        <is>
          <t>항암방사선</t>
        </is>
      </c>
      <c r="C85" s="838" t="n"/>
      <c r="D85" s="873" t="n"/>
      <c r="E85" s="838" t="n"/>
      <c r="F85" s="852" t="n"/>
      <c r="G85" s="838" t="n"/>
      <c r="H85" s="852" t="n"/>
      <c r="I85" s="838" t="n"/>
      <c r="J85" s="852" t="n"/>
      <c r="K85" s="838" t="n"/>
      <c r="L85" s="914" t="n"/>
      <c r="M85" s="856" t="n"/>
      <c r="N85" s="853" t="n"/>
      <c r="O85" s="856" t="n"/>
      <c r="P85" s="857" t="n"/>
      <c r="Q85" s="830" t="n"/>
      <c r="R85" s="832" t="n"/>
      <c r="S85" s="343" t="inlineStr">
        <is>
          <t>항암방사선</t>
        </is>
      </c>
      <c r="T85" s="959">
        <f>T22+C85+E85+G85+I85+K85+M85+O85</f>
        <v/>
      </c>
    </row>
    <row r="86" ht="14.1" customHeight="1" s="797">
      <c r="A86" s="832" t="n"/>
      <c r="B86" s="555" t="inlineStr">
        <is>
          <t>중입자방사선</t>
        </is>
      </c>
      <c r="C86" s="838" t="n"/>
      <c r="D86" s="873" t="n"/>
      <c r="E86" s="838" t="n"/>
      <c r="F86" s="852" t="n"/>
      <c r="G86" s="838" t="n"/>
      <c r="H86" s="852" t="n"/>
      <c r="I86" s="838" t="n"/>
      <c r="J86" s="852" t="n"/>
      <c r="K86" s="838" t="n"/>
      <c r="L86" s="914" t="n"/>
      <c r="M86" s="856" t="n"/>
      <c r="N86" s="853" t="n"/>
      <c r="O86" s="856" t="n"/>
      <c r="P86" s="857" t="n"/>
      <c r="Q86" s="830" t="n"/>
      <c r="R86" s="832" t="n"/>
      <c r="S86" s="326" t="inlineStr">
        <is>
          <t>중입자방사선</t>
        </is>
      </c>
      <c r="T86" s="959">
        <f>T23+C86+E86+G86+I86+K86+M86+O86</f>
        <v/>
      </c>
    </row>
    <row r="87" ht="14.1" customHeight="1" s="797">
      <c r="A87" s="832" t="n"/>
      <c r="B87" s="555" t="inlineStr">
        <is>
          <t>양성자방사선</t>
        </is>
      </c>
      <c r="C87" s="838" t="n"/>
      <c r="D87" s="873" t="n"/>
      <c r="E87" s="838" t="n"/>
      <c r="F87" s="852" t="n"/>
      <c r="G87" s="838" t="n"/>
      <c r="H87" s="852" t="n"/>
      <c r="I87" s="838" t="n"/>
      <c r="J87" s="852" t="n"/>
      <c r="K87" s="838" t="n"/>
      <c r="L87" s="914" t="n"/>
      <c r="M87" s="856" t="n"/>
      <c r="N87" s="853" t="n"/>
      <c r="O87" s="856" t="n"/>
      <c r="P87" s="857" t="n"/>
      <c r="Q87" s="830" t="n"/>
      <c r="R87" s="832" t="n"/>
      <c r="S87" s="326" t="inlineStr">
        <is>
          <t>양성자방사선</t>
        </is>
      </c>
      <c r="T87" s="959">
        <f>T24+C87+E87+G87+I87+K87+M87+O87</f>
        <v/>
      </c>
    </row>
    <row r="88" ht="14.1" customHeight="1" s="797">
      <c r="A88" s="832" t="n"/>
      <c r="B88" s="555" t="inlineStr">
        <is>
          <t>세기조절방사선</t>
        </is>
      </c>
      <c r="C88" s="838" t="n"/>
      <c r="D88" s="873" t="n"/>
      <c r="E88" s="838" t="n"/>
      <c r="F88" s="852" t="n"/>
      <c r="G88" s="838" t="n"/>
      <c r="H88" s="852" t="n"/>
      <c r="I88" s="838" t="n"/>
      <c r="J88" s="852" t="n"/>
      <c r="K88" s="838" t="n"/>
      <c r="L88" s="914" t="n"/>
      <c r="M88" s="856" t="n"/>
      <c r="N88" s="853" t="n"/>
      <c r="O88" s="856" t="n"/>
      <c r="P88" s="857" t="n"/>
      <c r="Q88" s="830" t="n"/>
      <c r="R88" s="832" t="n"/>
      <c r="S88" s="326" t="inlineStr">
        <is>
          <t>세기조절방사선</t>
        </is>
      </c>
      <c r="T88" s="959">
        <f>T25+C88+E88+G88+I88+K88+M88+O88</f>
        <v/>
      </c>
    </row>
    <row r="89" ht="14.1" customHeight="1" s="797">
      <c r="A89" s="832" t="n"/>
      <c r="B89" s="556" t="inlineStr">
        <is>
          <t>항암약물</t>
        </is>
      </c>
      <c r="C89" s="838" t="n"/>
      <c r="D89" s="873" t="n"/>
      <c r="E89" s="862" t="n"/>
      <c r="F89" s="853" t="n"/>
      <c r="G89" s="862" t="n"/>
      <c r="H89" s="852" t="n"/>
      <c r="I89" s="862" t="n"/>
      <c r="J89" s="852" t="n"/>
      <c r="K89" s="862" t="n"/>
      <c r="L89" s="914" t="n"/>
      <c r="M89" s="859" t="n"/>
      <c r="N89" s="853" t="n"/>
      <c r="O89" s="856" t="n"/>
      <c r="P89" s="857" t="n"/>
      <c r="Q89" s="830" t="n"/>
      <c r="R89" s="832" t="n"/>
      <c r="S89" s="343" t="inlineStr">
        <is>
          <t>항암약물</t>
        </is>
      </c>
      <c r="T89" s="959">
        <f>T26+C89+E89+G89+I89+K89+M89+O89</f>
        <v/>
      </c>
    </row>
    <row r="90" ht="14.1" customHeight="1" s="797">
      <c r="A90" s="832" t="n"/>
      <c r="B90" s="555" t="inlineStr">
        <is>
          <t>표적항암약물</t>
        </is>
      </c>
      <c r="C90" s="862" t="n"/>
      <c r="D90" s="882" t="n"/>
      <c r="E90" s="862" t="n"/>
      <c r="F90" s="853" t="n"/>
      <c r="G90" s="862" t="n"/>
      <c r="H90" s="852" t="n"/>
      <c r="I90" s="862" t="n"/>
      <c r="J90" s="852" t="n"/>
      <c r="K90" s="862" t="n"/>
      <c r="L90" s="914" t="n"/>
      <c r="M90" s="859" t="n"/>
      <c r="N90" s="853" t="n"/>
      <c r="O90" s="859" t="n"/>
      <c r="P90" s="864" t="n"/>
      <c r="Q90" s="830" t="n"/>
      <c r="R90" s="832" t="n"/>
      <c r="S90" s="326" t="inlineStr">
        <is>
          <t>표적항암약물</t>
        </is>
      </c>
      <c r="T90" s="959">
        <f>T27+C90+E90+G90+I90+K90+M90+O90</f>
        <v/>
      </c>
    </row>
    <row r="91" ht="14.1" customHeight="1" s="797" thickBot="1">
      <c r="A91" s="832" t="n"/>
      <c r="B91" s="557" t="inlineStr">
        <is>
          <t>면역항암약물</t>
        </is>
      </c>
      <c r="C91" s="847" t="n"/>
      <c r="D91" s="848" t="n"/>
      <c r="E91" s="847" t="n"/>
      <c r="F91" s="871" t="n"/>
      <c r="G91" s="847" t="n"/>
      <c r="H91" s="852" t="n"/>
      <c r="I91" s="847" t="n"/>
      <c r="J91" s="852" t="n"/>
      <c r="K91" s="847" t="n"/>
      <c r="L91" s="914" t="n"/>
      <c r="M91" s="847" t="n"/>
      <c r="N91" s="853" t="n"/>
      <c r="O91" s="845" t="n"/>
      <c r="P91" s="846" t="n"/>
      <c r="Q91" s="830" t="n"/>
      <c r="R91" s="832" t="n"/>
      <c r="S91" s="327" t="inlineStr">
        <is>
          <t>면역항암약물</t>
        </is>
      </c>
      <c r="T91" s="965">
        <f>T28+C91+E91+G91+I91+K91+M91+O91</f>
        <v/>
      </c>
    </row>
    <row r="92" ht="14.1" customHeight="1" s="797">
      <c r="A92" s="628" t="inlineStr">
        <is>
          <t>2대
질병</t>
        </is>
      </c>
      <c r="B92" s="461" t="inlineStr">
        <is>
          <t>뇌혈관진단</t>
        </is>
      </c>
      <c r="C92" s="838" t="n"/>
      <c r="D92" s="829" t="n"/>
      <c r="E92" s="838" t="n"/>
      <c r="F92" s="880" t="n"/>
      <c r="G92" s="838" t="n"/>
      <c r="H92" s="880" t="n"/>
      <c r="I92" s="838" t="n"/>
      <c r="J92" s="880" t="n"/>
      <c r="K92" s="838" t="n"/>
      <c r="L92" s="913" t="n"/>
      <c r="M92" s="828" t="n"/>
      <c r="N92" s="829" t="n"/>
      <c r="O92" s="836" t="n"/>
      <c r="P92" s="827" t="n"/>
      <c r="Q92" s="830" t="n"/>
      <c r="R92" s="630" t="inlineStr">
        <is>
          <t>2대
질병</t>
        </is>
      </c>
      <c r="S92" s="379" t="inlineStr">
        <is>
          <t>뇌혈관</t>
        </is>
      </c>
      <c r="T92" s="957">
        <f>T29+C92+E92+G92+I92+K92+M92+O92</f>
        <v/>
      </c>
    </row>
    <row r="93" ht="14.1" customHeight="1" s="797">
      <c r="A93" s="832" t="n"/>
      <c r="B93" s="462" t="inlineStr">
        <is>
          <t>뇌졸증진단</t>
        </is>
      </c>
      <c r="C93" s="838" t="n"/>
      <c r="D93" s="853" t="n"/>
      <c r="E93" s="856" t="n"/>
      <c r="F93" s="852" t="n"/>
      <c r="G93" s="838" t="n"/>
      <c r="H93" s="852" t="n"/>
      <c r="I93" s="838" t="n"/>
      <c r="J93" s="852" t="n"/>
      <c r="K93" s="838" t="n"/>
      <c r="L93" s="914" t="n"/>
      <c r="M93" s="856" t="n"/>
      <c r="N93" s="853" t="n"/>
      <c r="O93" s="836" t="n"/>
      <c r="P93" s="857" t="n"/>
      <c r="Q93" s="830" t="n"/>
      <c r="R93" s="832" t="n"/>
      <c r="S93" s="380" t="inlineStr">
        <is>
          <t>뇌졸증</t>
        </is>
      </c>
      <c r="T93" s="959">
        <f>T30+C93+E93+G93+I93+K93+M93+O93</f>
        <v/>
      </c>
    </row>
    <row r="94" ht="14.1" customHeight="1" s="797" thickBot="1">
      <c r="A94" s="832" t="n"/>
      <c r="B94" s="463" t="inlineStr">
        <is>
          <t>뇌출혈진단</t>
        </is>
      </c>
      <c r="C94" s="859" t="n"/>
      <c r="D94" s="860" t="n"/>
      <c r="E94" s="859" t="n"/>
      <c r="F94" s="863" t="n"/>
      <c r="G94" s="859" t="n"/>
      <c r="H94" s="863" t="n"/>
      <c r="I94" s="859" t="n"/>
      <c r="J94" s="863" t="n"/>
      <c r="K94" s="859" t="n"/>
      <c r="L94" s="915" t="n"/>
      <c r="M94" s="859" t="n"/>
      <c r="N94" s="860" t="n"/>
      <c r="O94" s="883" t="n"/>
      <c r="P94" s="864" t="n"/>
      <c r="Q94" s="830" t="n"/>
      <c r="R94" s="832" t="n"/>
      <c r="S94" s="381" t="inlineStr">
        <is>
          <t>뇌출혈</t>
        </is>
      </c>
      <c r="T94" s="963">
        <f>T31+C94+E94+G94+I94+K94+M94+O94</f>
        <v/>
      </c>
    </row>
    <row r="95" ht="14.1" customHeight="1" s="797">
      <c r="A95" s="832" t="n"/>
      <c r="B95" s="461" t="inlineStr">
        <is>
          <t>심장질환진단</t>
        </is>
      </c>
      <c r="C95" s="828" t="n"/>
      <c r="D95" s="829" t="n"/>
      <c r="E95" s="828" t="n"/>
      <c r="F95" s="880" t="n"/>
      <c r="G95" s="828" t="n"/>
      <c r="H95" s="880" t="n"/>
      <c r="I95" s="828" t="n"/>
      <c r="J95" s="880" t="n"/>
      <c r="K95" s="828" t="n"/>
      <c r="L95" s="913" t="n"/>
      <c r="M95" s="828" t="n"/>
      <c r="N95" s="829" t="n"/>
      <c r="O95" s="826" t="n"/>
      <c r="P95" s="827" t="n"/>
      <c r="Q95" s="830" t="n"/>
      <c r="R95" s="832" t="n"/>
      <c r="S95" s="358" t="inlineStr">
        <is>
          <t>심장질환</t>
        </is>
      </c>
      <c r="T95" s="964">
        <f>T32+C95+E95+G95+I95+K95+M95+O95</f>
        <v/>
      </c>
    </row>
    <row r="96" ht="14.1" customHeight="1" s="797">
      <c r="A96" s="832" t="n"/>
      <c r="B96" s="488" t="inlineStr">
        <is>
          <t>허혈성심장진단</t>
        </is>
      </c>
      <c r="C96" s="838" t="n"/>
      <c r="D96" s="853" t="n"/>
      <c r="E96" s="838" t="n"/>
      <c r="F96" s="852" t="n"/>
      <c r="G96" s="838" t="n"/>
      <c r="H96" s="852" t="n"/>
      <c r="I96" s="838" t="n"/>
      <c r="J96" s="852" t="n"/>
      <c r="K96" s="838" t="n"/>
      <c r="L96" s="914" t="n"/>
      <c r="M96" s="838" t="n"/>
      <c r="N96" s="853" t="n"/>
      <c r="O96" s="836" t="n"/>
      <c r="P96" s="857" t="n"/>
      <c r="Q96" s="830" t="n"/>
      <c r="R96" s="832" t="n"/>
      <c r="S96" s="359" t="inlineStr">
        <is>
          <t>허혈성심장</t>
        </is>
      </c>
      <c r="T96" s="959">
        <f>T33+C96+E96+G96+I96+K96+M96+O96</f>
        <v/>
      </c>
    </row>
    <row r="97" ht="14.1" customHeight="1" s="797" thickBot="1">
      <c r="A97" s="832" t="n"/>
      <c r="B97" s="489" t="inlineStr">
        <is>
          <t>급성심근경색진단</t>
        </is>
      </c>
      <c r="C97" s="847" t="n"/>
      <c r="D97" s="848" t="n"/>
      <c r="E97" s="847" t="n"/>
      <c r="F97" s="885" t="n"/>
      <c r="G97" s="847" t="n"/>
      <c r="H97" s="885" t="n"/>
      <c r="I97" s="847" t="n"/>
      <c r="J97" s="885" t="n"/>
      <c r="K97" s="847" t="n"/>
      <c r="L97" s="891" t="n"/>
      <c r="M97" s="847" t="n"/>
      <c r="N97" s="848" t="n"/>
      <c r="O97" s="845" t="n"/>
      <c r="P97" s="887" t="n"/>
      <c r="Q97" s="830" t="n"/>
      <c r="R97" s="832" t="n"/>
      <c r="S97" s="360" t="inlineStr">
        <is>
          <t>급성심근경색</t>
        </is>
      </c>
      <c r="T97" s="965">
        <f>T34+C97+E97+G97+I97+K97+M97+O97</f>
        <v/>
      </c>
    </row>
    <row r="98" ht="14.1" customHeight="1" s="797">
      <c r="A98" s="832" t="n"/>
      <c r="B98" s="461" t="inlineStr">
        <is>
          <t>수술/시술비</t>
        </is>
      </c>
      <c r="C98" s="828" t="n"/>
      <c r="D98" s="829" t="n"/>
      <c r="E98" s="828" t="n"/>
      <c r="F98" s="880" t="n"/>
      <c r="G98" s="828" t="n"/>
      <c r="H98" s="880" t="n"/>
      <c r="I98" s="828" t="n"/>
      <c r="J98" s="880" t="n"/>
      <c r="K98" s="828" t="n"/>
      <c r="L98" s="913" t="n"/>
      <c r="M98" s="828" t="n"/>
      <c r="N98" s="829" t="n"/>
      <c r="O98" s="826" t="n"/>
      <c r="P98" s="827" t="n"/>
      <c r="Q98" s="830" t="n"/>
      <c r="R98" s="832" t="n"/>
      <c r="S98" s="361" t="inlineStr">
        <is>
          <t>수술비</t>
        </is>
      </c>
      <c r="T98" s="957">
        <f>T35+C98+E98+G98+I98+K98+M98+O98</f>
        <v/>
      </c>
    </row>
    <row r="99" ht="14.1" customHeight="1" s="797">
      <c r="A99" s="832" t="n"/>
      <c r="B99" s="488" t="inlineStr">
        <is>
          <t>혈전용해치료</t>
        </is>
      </c>
      <c r="C99" s="838" t="n"/>
      <c r="D99" s="853" t="n"/>
      <c r="E99" s="838" t="n"/>
      <c r="F99" s="852" t="n"/>
      <c r="G99" s="838" t="n"/>
      <c r="H99" s="852" t="n"/>
      <c r="I99" s="838" t="n"/>
      <c r="J99" s="852" t="n"/>
      <c r="K99" s="838" t="n"/>
      <c r="L99" s="914" t="n"/>
      <c r="M99" s="838" t="n"/>
      <c r="N99" s="853" t="n"/>
      <c r="O99" s="836" t="n"/>
      <c r="P99" s="857" t="n"/>
      <c r="Q99" s="830" t="n"/>
      <c r="R99" s="832" t="n"/>
      <c r="S99" s="362" t="inlineStr">
        <is>
          <t>혈전용해치료</t>
        </is>
      </c>
      <c r="T99" s="959">
        <f>T36+C99+E99+G99+I99+K99+M99+O99</f>
        <v/>
      </c>
    </row>
    <row r="100" ht="14.1" customHeight="1" s="797" thickBot="1">
      <c r="A100" s="832" t="n"/>
      <c r="B100" s="489" t="inlineStr">
        <is>
          <t>혈전제거치료</t>
        </is>
      </c>
      <c r="C100" s="847" t="n"/>
      <c r="D100" s="848" t="n"/>
      <c r="E100" s="847" t="n"/>
      <c r="F100" s="885" t="n"/>
      <c r="G100" s="847" t="n"/>
      <c r="H100" s="885" t="n"/>
      <c r="I100" s="847" t="n"/>
      <c r="J100" s="885" t="n"/>
      <c r="K100" s="847" t="n"/>
      <c r="L100" s="891" t="n"/>
      <c r="M100" s="847" t="n"/>
      <c r="N100" s="848" t="n"/>
      <c r="O100" s="845" t="n"/>
      <c r="P100" s="887" t="n"/>
      <c r="Q100" s="830" t="n"/>
      <c r="R100" s="832" t="n"/>
      <c r="S100" s="363" t="inlineStr">
        <is>
          <t>중환자실치료</t>
        </is>
      </c>
      <c r="T100" s="963">
        <f>T37+C100+E100+G100+I100+K100+M100+O100</f>
        <v/>
      </c>
    </row>
    <row r="101" ht="14.1" customHeight="1" s="797">
      <c r="A101" s="892" t="inlineStr">
        <is>
          <t>후유장해</t>
        </is>
      </c>
      <c r="B101" s="464" t="inlineStr">
        <is>
          <t>질병 80% 이상</t>
        </is>
      </c>
      <c r="C101" s="828" t="n"/>
      <c r="D101" s="966" t="n"/>
      <c r="E101" s="828" t="n"/>
      <c r="F101" s="880" t="n"/>
      <c r="G101" s="828" t="n"/>
      <c r="H101" s="880" t="n"/>
      <c r="I101" s="828" t="n"/>
      <c r="J101" s="880" t="n"/>
      <c r="K101" s="828" t="n"/>
      <c r="L101" s="913" t="n"/>
      <c r="M101" s="828" t="n"/>
      <c r="N101" s="829" t="n"/>
      <c r="O101" s="826" t="n"/>
      <c r="P101" s="827" t="n"/>
      <c r="Q101" s="830" t="n"/>
      <c r="R101" s="892" t="inlineStr">
        <is>
          <t>후유장해</t>
        </is>
      </c>
      <c r="S101" s="364" t="inlineStr">
        <is>
          <t>질병 80% 이상</t>
        </is>
      </c>
      <c r="T101" s="964">
        <f>T38+C101+E101+G101+I101+K101+M101+O101</f>
        <v/>
      </c>
    </row>
    <row r="102" ht="14.1" customHeight="1" s="797">
      <c r="A102" s="832" t="n"/>
      <c r="B102" s="465" t="inlineStr">
        <is>
          <t>질병 3% ~80%</t>
        </is>
      </c>
      <c r="C102" s="838" t="n"/>
      <c r="D102" s="967" t="n"/>
      <c r="E102" s="838" t="n"/>
      <c r="F102" s="931" t="n"/>
      <c r="G102" s="838" t="n"/>
      <c r="H102" s="894" t="n"/>
      <c r="I102" s="838" t="n"/>
      <c r="J102" s="894" t="n"/>
      <c r="K102" s="838" t="n"/>
      <c r="L102" s="968" t="n"/>
      <c r="M102" s="838" t="n"/>
      <c r="N102" s="839" t="n"/>
      <c r="O102" s="836" t="n"/>
      <c r="P102" s="837" t="n"/>
      <c r="Q102" s="830" t="n"/>
      <c r="R102" s="832" t="n"/>
      <c r="S102" s="365" t="inlineStr">
        <is>
          <t>질병 3% ~80%</t>
        </is>
      </c>
      <c r="T102" s="959">
        <f>T39+C102+E102+G102+I102+K102+M102+O102</f>
        <v/>
      </c>
    </row>
    <row r="103" ht="14.1" customHeight="1" s="797">
      <c r="A103" s="832" t="n"/>
      <c r="B103" s="465" t="inlineStr">
        <is>
          <t>상해 80% 이상</t>
        </is>
      </c>
      <c r="C103" s="838" t="n"/>
      <c r="D103" s="902" t="n"/>
      <c r="E103" s="838" t="n"/>
      <c r="F103" s="902" t="n"/>
      <c r="G103" s="838" t="n"/>
      <c r="H103" s="839" t="n"/>
      <c r="I103" s="838" t="n"/>
      <c r="J103" s="839" t="n"/>
      <c r="K103" s="838" t="n"/>
      <c r="L103" s="968" t="n"/>
      <c r="M103" s="838" t="n"/>
      <c r="N103" s="839" t="n"/>
      <c r="O103" s="836" t="n"/>
      <c r="P103" s="837" t="n"/>
      <c r="Q103" s="830" t="n"/>
      <c r="R103" s="832" t="n"/>
      <c r="S103" s="365" t="inlineStr">
        <is>
          <t>상해 80% 이상</t>
        </is>
      </c>
      <c r="T103" s="959">
        <f>T40+C103+E103+G103+I103+K103+M103+O103</f>
        <v/>
      </c>
    </row>
    <row r="104" ht="14.1" customHeight="1" s="797" thickBot="1">
      <c r="A104" s="841" t="n"/>
      <c r="B104" s="466" t="inlineStr">
        <is>
          <t>상해 3% ~ 80%</t>
        </is>
      </c>
      <c r="C104" s="847" t="n"/>
      <c r="D104" s="899" t="n"/>
      <c r="E104" s="847" t="n"/>
      <c r="F104" s="899" t="n"/>
      <c r="G104" s="838" t="n"/>
      <c r="H104" s="848" t="n"/>
      <c r="I104" s="838" t="n"/>
      <c r="J104" s="848" t="n"/>
      <c r="K104" s="838" t="n"/>
      <c r="L104" s="891" t="n"/>
      <c r="M104" s="847" t="n"/>
      <c r="N104" s="848" t="n"/>
      <c r="O104" s="845" t="n"/>
      <c r="P104" s="846" t="n"/>
      <c r="Q104" s="830" t="n"/>
      <c r="R104" s="841" t="n"/>
      <c r="S104" s="366" t="inlineStr">
        <is>
          <t>상해 3% ~ 80%</t>
        </is>
      </c>
      <c r="T104" s="965">
        <f>T41+C104+E104+G104+I104+K104+M104+O104</f>
        <v/>
      </c>
    </row>
    <row r="105" ht="14.1" customHeight="1" s="797">
      <c r="A105" s="897" t="inlineStr">
        <is>
          <t>사망</t>
        </is>
      </c>
      <c r="B105" s="467" t="inlineStr">
        <is>
          <t>일반</t>
        </is>
      </c>
      <c r="C105" s="856" t="n"/>
      <c r="D105" s="939" t="n"/>
      <c r="E105" s="828" t="n"/>
      <c r="F105" s="880" t="n"/>
      <c r="G105" s="828" t="n"/>
      <c r="H105" s="829" t="n"/>
      <c r="I105" s="828" t="n"/>
      <c r="J105" s="829" t="n"/>
      <c r="K105" s="828" t="n"/>
      <c r="L105" s="913" t="n"/>
      <c r="M105" s="828" t="n"/>
      <c r="N105" s="829" t="n"/>
      <c r="O105" s="826" t="n"/>
      <c r="P105" s="827" t="n"/>
      <c r="Q105" s="830" t="n"/>
      <c r="R105" s="897" t="inlineStr">
        <is>
          <t>사망</t>
        </is>
      </c>
      <c r="S105" s="367" t="inlineStr">
        <is>
          <t>일반</t>
        </is>
      </c>
      <c r="T105" s="957">
        <f>T42+C105+E105+G105+I105+K105+M105+O105</f>
        <v/>
      </c>
    </row>
    <row r="106" ht="14.1" customHeight="1" s="797">
      <c r="A106" s="832" t="n"/>
      <c r="B106" s="468" t="inlineStr">
        <is>
          <t>질병</t>
        </is>
      </c>
      <c r="C106" s="838" t="n"/>
      <c r="D106" s="931" t="n"/>
      <c r="E106" s="838" t="n"/>
      <c r="F106" s="894" t="n"/>
      <c r="G106" s="838" t="n"/>
      <c r="H106" s="839" t="n"/>
      <c r="I106" s="838" t="n"/>
      <c r="J106" s="839" t="n"/>
      <c r="K106" s="838" t="n"/>
      <c r="L106" s="968" t="n"/>
      <c r="M106" s="838" t="n"/>
      <c r="N106" s="839" t="n"/>
      <c r="O106" s="836" t="n"/>
      <c r="P106" s="837" t="n"/>
      <c r="Q106" s="830" t="n"/>
      <c r="R106" s="832" t="n"/>
      <c r="S106" s="368" t="inlineStr">
        <is>
          <t>질병</t>
        </is>
      </c>
      <c r="T106" s="959">
        <f>T43+C106+E106+G106+I106+K106+M106+O106</f>
        <v/>
      </c>
    </row>
    <row r="107" ht="14.1" customHeight="1" s="797" thickBot="1">
      <c r="A107" s="841" t="n"/>
      <c r="B107" s="469" t="inlineStr">
        <is>
          <t>상해</t>
        </is>
      </c>
      <c r="C107" s="847" t="n"/>
      <c r="D107" s="900" t="n"/>
      <c r="E107" s="847" t="n"/>
      <c r="F107" s="885" t="n"/>
      <c r="G107" s="847" t="n"/>
      <c r="H107" s="848" t="n"/>
      <c r="I107" s="847" t="n"/>
      <c r="J107" s="848" t="n"/>
      <c r="K107" s="847" t="n"/>
      <c r="L107" s="891" t="n"/>
      <c r="M107" s="847" t="n"/>
      <c r="N107" s="848" t="n"/>
      <c r="O107" s="901" t="n"/>
      <c r="P107" s="857" t="n"/>
      <c r="Q107" s="830" t="n"/>
      <c r="R107" s="841" t="n"/>
      <c r="S107" s="369" t="inlineStr">
        <is>
          <t>상해</t>
        </is>
      </c>
      <c r="T107" s="963">
        <f>T44+C107+E107+G107+I107+K107+M107+O107</f>
        <v/>
      </c>
    </row>
    <row r="108" ht="14.1" customHeight="1" s="797">
      <c r="A108" s="617" t="inlineStr">
        <is>
          <t>수술비</t>
        </is>
      </c>
      <c r="B108" s="470" t="inlineStr">
        <is>
          <t>질병</t>
        </is>
      </c>
      <c r="C108" s="828" t="n"/>
      <c r="D108" s="908" t="n"/>
      <c r="E108" s="828" t="n"/>
      <c r="F108" s="852" t="n"/>
      <c r="G108" s="828" t="n"/>
      <c r="H108" s="853" t="n"/>
      <c r="I108" s="828" t="n"/>
      <c r="J108" s="853" t="n"/>
      <c r="K108" s="828" t="n"/>
      <c r="L108" s="913" t="n"/>
      <c r="M108" s="856" t="n"/>
      <c r="N108" s="853" t="n"/>
      <c r="O108" s="826" t="n"/>
      <c r="P108" s="827" t="n"/>
      <c r="Q108" s="830" t="n"/>
      <c r="R108" s="617" t="inlineStr">
        <is>
          <t>수술비</t>
        </is>
      </c>
      <c r="S108" s="480" t="inlineStr">
        <is>
          <t>질병</t>
        </is>
      </c>
      <c r="T108" s="964">
        <f>T45+C108+E108+G108+I108+K108+M108+O108</f>
        <v/>
      </c>
    </row>
    <row r="109" ht="14.1" customHeight="1" s="797">
      <c r="A109" s="832" t="n"/>
      <c r="B109" s="470" t="inlineStr">
        <is>
          <t>상해</t>
        </is>
      </c>
      <c r="C109" s="838" t="n"/>
      <c r="D109" s="902" t="n"/>
      <c r="E109" s="838" t="n"/>
      <c r="F109" s="894" t="n"/>
      <c r="G109" s="838" t="n"/>
      <c r="H109" s="839" t="n"/>
      <c r="I109" s="838" t="n"/>
      <c r="J109" s="839" t="n"/>
      <c r="K109" s="838" t="n"/>
      <c r="L109" s="968" t="n"/>
      <c r="M109" s="838" t="n"/>
      <c r="N109" s="853" t="n"/>
      <c r="O109" s="836" t="n"/>
      <c r="P109" s="837" t="n"/>
      <c r="Q109" s="830" t="n"/>
      <c r="R109" s="832" t="n"/>
      <c r="S109" s="480" t="inlineStr">
        <is>
          <t>상해</t>
        </is>
      </c>
      <c r="T109" s="959">
        <f>T46+C109+E109+G109+I109+K109+M109+O109</f>
        <v/>
      </c>
    </row>
    <row r="110" ht="14.1" customHeight="1" s="797">
      <c r="A110" s="832" t="n"/>
      <c r="B110" s="470" t="inlineStr">
        <is>
          <t>1-5종</t>
        </is>
      </c>
      <c r="C110" s="838" t="n"/>
      <c r="D110" s="902" t="n"/>
      <c r="E110" s="838" t="n"/>
      <c r="F110" s="852" t="n"/>
      <c r="G110" s="838" t="n"/>
      <c r="H110" s="853" t="n"/>
      <c r="I110" s="838" t="n"/>
      <c r="J110" s="853" t="n"/>
      <c r="K110" s="838" t="n"/>
      <c r="L110" s="914" t="n"/>
      <c r="M110" s="838" t="n"/>
      <c r="N110" s="853" t="n"/>
      <c r="O110" s="836" t="n"/>
      <c r="P110" s="837" t="n"/>
      <c r="Q110" s="830" t="n"/>
      <c r="R110" s="832" t="n"/>
      <c r="S110" s="480" t="inlineStr">
        <is>
          <t>1-5종</t>
        </is>
      </c>
      <c r="T110" s="959">
        <f>T47+C110+E110+G110+I110+K110+M110+O110</f>
        <v/>
      </c>
    </row>
    <row r="111" ht="14.1" customHeight="1" s="797" thickBot="1">
      <c r="A111" s="832" t="n"/>
      <c r="B111" s="471" t="inlineStr">
        <is>
          <t>N대질병</t>
        </is>
      </c>
      <c r="C111" s="862" t="n"/>
      <c r="D111" s="899" t="n"/>
      <c r="E111" s="862" t="n"/>
      <c r="F111" s="863" t="n"/>
      <c r="G111" s="862" t="n"/>
      <c r="H111" s="860" t="n"/>
      <c r="I111" s="862" t="n"/>
      <c r="J111" s="860" t="n"/>
      <c r="K111" s="862" t="n"/>
      <c r="L111" s="969" t="n"/>
      <c r="M111" s="862" t="n"/>
      <c r="N111" s="905" t="n"/>
      <c r="O111" s="907" t="n"/>
      <c r="P111" s="887" t="n"/>
      <c r="Q111" s="830" t="n"/>
      <c r="R111" s="832" t="n"/>
      <c r="S111" s="513" t="inlineStr">
        <is>
          <t>N대질병</t>
        </is>
      </c>
      <c r="T111" s="965">
        <f>T48+C111+E111+G111+I111+K111+M111+O111</f>
        <v/>
      </c>
    </row>
    <row r="112" ht="14.1" customHeight="1" s="797">
      <c r="A112" s="603" t="inlineStr">
        <is>
          <t>상해진단</t>
        </is>
      </c>
      <c r="B112" s="472" t="inlineStr">
        <is>
          <t>골절</t>
        </is>
      </c>
      <c r="C112" s="828" t="n"/>
      <c r="D112" s="908" t="n"/>
      <c r="E112" s="828" t="n"/>
      <c r="F112" s="880" t="n"/>
      <c r="G112" s="828" t="n"/>
      <c r="H112" s="829" t="n"/>
      <c r="I112" s="828" t="n"/>
      <c r="J112" s="829" t="n"/>
      <c r="K112" s="828" t="n"/>
      <c r="L112" s="913" t="n"/>
      <c r="M112" s="828" t="n"/>
      <c r="N112" s="829" t="n"/>
      <c r="O112" s="826" t="n"/>
      <c r="P112" s="827" t="n"/>
      <c r="Q112" s="830" t="n"/>
      <c r="R112" s="603" t="inlineStr">
        <is>
          <t>상해진단</t>
        </is>
      </c>
      <c r="S112" s="483" t="inlineStr">
        <is>
          <t>골절</t>
        </is>
      </c>
      <c r="T112" s="957">
        <f>T49+C112+E112+G112+I112+K112+M112+O112</f>
        <v/>
      </c>
    </row>
    <row r="113" ht="14.1" customHeight="1" s="797" thickBot="1">
      <c r="A113" s="832" t="n"/>
      <c r="B113" s="482" t="inlineStr">
        <is>
          <t>화상</t>
        </is>
      </c>
      <c r="C113" s="909" t="n"/>
      <c r="D113" s="970" t="n"/>
      <c r="E113" s="909" t="n"/>
      <c r="F113" s="885" t="n"/>
      <c r="G113" s="909" t="n"/>
      <c r="H113" s="848" t="n"/>
      <c r="I113" s="909" t="n"/>
      <c r="J113" s="848" t="n"/>
      <c r="K113" s="909" t="n"/>
      <c r="L113" s="916" t="n"/>
      <c r="M113" s="909" t="n"/>
      <c r="N113" s="877" t="n"/>
      <c r="O113" s="911" t="n"/>
      <c r="P113" s="846" t="n"/>
      <c r="Q113" s="830" t="n"/>
      <c r="R113" s="832" t="n"/>
      <c r="S113" s="503" t="inlineStr">
        <is>
          <t>화상</t>
        </is>
      </c>
      <c r="T113" s="963">
        <f>T50+C113+E113+G113+I113+K113+M113+O113</f>
        <v/>
      </c>
    </row>
    <row r="114" ht="14.1" customHeight="1" s="797">
      <c r="A114" s="605" t="inlineStr">
        <is>
          <t>입원비</t>
        </is>
      </c>
      <c r="B114" s="484" t="inlineStr">
        <is>
          <t>질병</t>
        </is>
      </c>
      <c r="C114" s="859" t="n"/>
      <c r="D114" s="971" t="n"/>
      <c r="E114" s="859" t="n"/>
      <c r="F114" s="863" t="n"/>
      <c r="G114" s="859" t="n"/>
      <c r="H114" s="860" t="n"/>
      <c r="I114" s="859" t="n"/>
      <c r="J114" s="860" t="n"/>
      <c r="K114" s="859" t="n"/>
      <c r="L114" s="915" t="n"/>
      <c r="M114" s="859" t="n"/>
      <c r="N114" s="860" t="n"/>
      <c r="O114" s="883" t="n"/>
      <c r="P114" s="864" t="n"/>
      <c r="Q114" s="830" t="n"/>
      <c r="R114" s="605" t="inlineStr">
        <is>
          <t>입원비</t>
        </is>
      </c>
      <c r="S114" s="486" t="inlineStr">
        <is>
          <t>질병</t>
        </is>
      </c>
      <c r="T114" s="959">
        <f>T51+C114+E114+G114+I114+K114+M114+O114</f>
        <v/>
      </c>
    </row>
    <row r="115" ht="14.1" customHeight="1" s="797" thickBot="1">
      <c r="A115" s="912" t="n"/>
      <c r="B115" s="485" t="inlineStr">
        <is>
          <t>상해</t>
        </is>
      </c>
      <c r="C115" s="859" t="n"/>
      <c r="D115" s="971" t="n"/>
      <c r="E115" s="859" t="n"/>
      <c r="F115" s="863" t="n"/>
      <c r="G115" s="859" t="n"/>
      <c r="H115" s="860" t="n"/>
      <c r="I115" s="859" t="n"/>
      <c r="J115" s="860" t="n"/>
      <c r="K115" s="859" t="n"/>
      <c r="L115" s="915" t="n"/>
      <c r="M115" s="859" t="n"/>
      <c r="N115" s="860" t="n"/>
      <c r="O115" s="883" t="n"/>
      <c r="P115" s="864" t="n"/>
      <c r="Q115" s="830" t="n"/>
      <c r="R115" s="912" t="n"/>
      <c r="S115" s="559" t="inlineStr">
        <is>
          <t>상해</t>
        </is>
      </c>
      <c r="T115" s="963">
        <f>T52+C115+E115+G115+I115+K115+M115+O115</f>
        <v/>
      </c>
    </row>
    <row r="116" ht="14.1" customHeight="1" s="797">
      <c r="A116" s="609" t="inlineStr">
        <is>
          <t>간병인</t>
        </is>
      </c>
      <c r="B116" s="473" t="inlineStr">
        <is>
          <t>병원사용</t>
        </is>
      </c>
      <c r="C116" s="828" t="n"/>
      <c r="D116" s="966" t="n"/>
      <c r="E116" s="828" t="n"/>
      <c r="F116" s="880" t="n"/>
      <c r="G116" s="828" t="n"/>
      <c r="H116" s="913" t="n"/>
      <c r="I116" s="828" t="n"/>
      <c r="J116" s="829" t="n"/>
      <c r="K116" s="828" t="n"/>
      <c r="L116" s="913" t="n"/>
      <c r="M116" s="828" t="n"/>
      <c r="N116" s="829" t="n"/>
      <c r="O116" s="826" t="n"/>
      <c r="P116" s="827" t="n"/>
      <c r="Q116" s="972" t="n"/>
      <c r="R116" s="973" t="inlineStr">
        <is>
          <t>간병인</t>
        </is>
      </c>
      <c r="S116" s="562" t="inlineStr">
        <is>
          <t>병원사용</t>
        </is>
      </c>
      <c r="T116" s="959">
        <f>T53+C116+E116+G116+I116+K116+M116+O116</f>
        <v/>
      </c>
    </row>
    <row r="117" ht="14.1" customHeight="1" s="797">
      <c r="A117" s="832" t="n"/>
      <c r="B117" s="474" t="inlineStr">
        <is>
          <t>요양병원사용</t>
        </is>
      </c>
      <c r="C117" s="859" t="n"/>
      <c r="D117" s="971" t="n"/>
      <c r="E117" s="859" t="n"/>
      <c r="F117" s="852" t="n"/>
      <c r="G117" s="859" t="n"/>
      <c r="H117" s="914" t="n"/>
      <c r="I117" s="859" t="n"/>
      <c r="J117" s="853" t="n"/>
      <c r="K117" s="859" t="n"/>
      <c r="L117" s="915" t="n"/>
      <c r="M117" s="859" t="n"/>
      <c r="N117" s="860" t="n"/>
      <c r="O117" s="883" t="n"/>
      <c r="P117" s="864" t="n"/>
      <c r="Q117" s="830" t="n"/>
      <c r="R117" s="832" t="n"/>
      <c r="S117" s="504" t="inlineStr">
        <is>
          <t>요양병원사용</t>
        </is>
      </c>
      <c r="T117" s="959">
        <f>T54+C117+E117+G117+I117+K117+M117+O117</f>
        <v/>
      </c>
    </row>
    <row r="118" ht="14.1" customHeight="1" s="797" thickBot="1">
      <c r="A118" s="841" t="n"/>
      <c r="B118" s="475" t="inlineStr">
        <is>
          <t>간호간병통합사용</t>
        </is>
      </c>
      <c r="C118" s="847" t="n"/>
      <c r="D118" s="974" t="n"/>
      <c r="E118" s="847" t="n"/>
      <c r="F118" s="852" t="n"/>
      <c r="G118" s="847" t="n"/>
      <c r="H118" s="914" t="n"/>
      <c r="I118" s="847" t="n"/>
      <c r="J118" s="853" t="n"/>
      <c r="K118" s="847" t="n"/>
      <c r="L118" s="891" t="n"/>
      <c r="M118" s="847" t="n"/>
      <c r="N118" s="848" t="n"/>
      <c r="O118" s="845" t="n"/>
      <c r="P118" s="846" t="n"/>
      <c r="Q118" s="830" t="n"/>
      <c r="R118" s="841" t="n"/>
      <c r="S118" s="505" t="inlineStr">
        <is>
          <t>간호간병통합사용</t>
        </is>
      </c>
      <c r="T118" s="959">
        <f>T53+C118+E118+G118+I118+K118+M118+O118</f>
        <v/>
      </c>
    </row>
    <row r="119" ht="14.1" customHeight="1" s="797">
      <c r="A119" s="917" t="inlineStr">
        <is>
          <t>운전자</t>
        </is>
      </c>
      <c r="B119" s="476" t="inlineStr">
        <is>
          <t>벌금</t>
        </is>
      </c>
      <c r="C119" s="828" t="n"/>
      <c r="D119" s="975" t="n"/>
      <c r="E119" s="826" t="n"/>
      <c r="F119" s="880" t="n"/>
      <c r="G119" s="828" t="n"/>
      <c r="H119" s="913" t="n"/>
      <c r="I119" s="828" t="n"/>
      <c r="J119" s="829" t="n"/>
      <c r="K119" s="828" t="n"/>
      <c r="L119" s="913" t="n"/>
      <c r="M119" s="828" t="n"/>
      <c r="N119" s="829" t="n"/>
      <c r="O119" s="836" t="n"/>
      <c r="P119" s="827" t="n"/>
      <c r="Q119" s="830" t="n"/>
      <c r="R119" s="917" t="inlineStr">
        <is>
          <t>운전자</t>
        </is>
      </c>
      <c r="S119" s="377" t="inlineStr">
        <is>
          <t>벌금</t>
        </is>
      </c>
      <c r="T119" s="957">
        <f>T56+C119+E119+G119+I119+K119+M119+O119</f>
        <v/>
      </c>
    </row>
    <row r="120" ht="14.1" customHeight="1" s="797">
      <c r="A120" s="832" t="n"/>
      <c r="B120" s="476" t="inlineStr">
        <is>
          <t>변호사선임</t>
        </is>
      </c>
      <c r="C120" s="838" t="n"/>
      <c r="D120" s="976" t="n"/>
      <c r="E120" s="836" t="n"/>
      <c r="F120" s="894" t="n"/>
      <c r="G120" s="838" t="n"/>
      <c r="H120" s="968" t="n"/>
      <c r="I120" s="838" t="n"/>
      <c r="J120" s="443" t="n"/>
      <c r="K120" s="838" t="n"/>
      <c r="L120" s="968" t="n"/>
      <c r="M120" s="838" t="n"/>
      <c r="N120" s="839" t="n"/>
      <c r="O120" s="836" t="n"/>
      <c r="P120" s="837" t="n"/>
      <c r="Q120" s="830" t="n"/>
      <c r="R120" s="832" t="n"/>
      <c r="S120" s="377" t="inlineStr">
        <is>
          <t>변호사선임</t>
        </is>
      </c>
      <c r="T120" s="959">
        <f>T57+C120+E120+G120+I120+K120+M120+O120</f>
        <v/>
      </c>
    </row>
    <row r="121" ht="14.1" customHeight="1" s="797" thickBot="1">
      <c r="A121" s="841" t="n"/>
      <c r="B121" s="477" t="inlineStr">
        <is>
          <t>교통사고처리지원</t>
        </is>
      </c>
      <c r="C121" s="856" t="n"/>
      <c r="D121" s="967" t="n"/>
      <c r="E121" s="901" t="n"/>
      <c r="F121" s="852" t="n"/>
      <c r="G121" s="856" t="n"/>
      <c r="H121" s="914" t="n"/>
      <c r="I121" s="856" t="n"/>
      <c r="J121" s="839" t="n"/>
      <c r="K121" s="856" t="n"/>
      <c r="L121" s="914" t="n"/>
      <c r="M121" s="856" t="n"/>
      <c r="N121" s="853" t="n"/>
      <c r="O121" s="836" t="n"/>
      <c r="P121" s="837" t="n"/>
      <c r="Q121" s="830" t="n"/>
      <c r="R121" s="841" t="n"/>
      <c r="S121" s="378" t="inlineStr">
        <is>
          <t>교통사고처리지원</t>
        </is>
      </c>
      <c r="T121" s="965">
        <f>T58+C121+E121+G121+I121+K121+M121+O121</f>
        <v/>
      </c>
    </row>
    <row r="122" ht="14.1" customHeight="1" s="797" thickBot="1">
      <c r="A122" s="585" t="inlineStr">
        <is>
          <t>일상생활배상책임</t>
        </is>
      </c>
      <c r="B122" s="919" t="n"/>
      <c r="C122" s="920" t="n"/>
      <c r="D122" s="977" t="n"/>
      <c r="E122" s="920" t="n"/>
      <c r="F122" s="922" t="n"/>
      <c r="G122" s="920" t="n"/>
      <c r="H122" s="978" t="n"/>
      <c r="I122" s="920" t="n"/>
      <c r="J122" s="923" t="n"/>
      <c r="K122" s="920" t="n"/>
      <c r="L122" s="978" t="n"/>
      <c r="M122" s="920" t="n"/>
      <c r="N122" s="923" t="n"/>
      <c r="O122" s="925" t="n"/>
      <c r="P122" s="926" t="n"/>
      <c r="Q122" s="830" t="n"/>
      <c r="R122" s="585" t="inlineStr">
        <is>
          <t>일상생활배상책임</t>
        </is>
      </c>
      <c r="S122" s="919" t="n"/>
      <c r="T122" s="965">
        <f>T59+C122+E122+G122+I122+K122+M122+O122</f>
        <v/>
      </c>
    </row>
    <row r="123" ht="14.1" customHeight="1" s="797">
      <c r="A123" s="928" t="inlineStr">
        <is>
          <t>기타</t>
        </is>
      </c>
      <c r="B123" s="929" t="n"/>
      <c r="C123" s="930" t="n"/>
      <c r="D123" s="829" t="n"/>
      <c r="E123" s="930" t="n"/>
      <c r="F123" s="839" t="n"/>
      <c r="G123" s="930" t="n"/>
      <c r="H123" s="913" t="n"/>
      <c r="I123" s="930" t="n"/>
      <c r="J123" s="979" t="n"/>
      <c r="K123" s="938" t="n"/>
      <c r="L123" s="913" t="n"/>
      <c r="M123" s="930" t="n"/>
      <c r="N123" s="914" t="n"/>
      <c r="O123" s="930" t="n"/>
      <c r="P123" s="827" t="n"/>
      <c r="Q123" s="830" t="n"/>
      <c r="R123" s="935" t="inlineStr">
        <is>
          <t>기타</t>
        </is>
      </c>
      <c r="S123" s="980" t="n"/>
      <c r="T123" s="937" t="n"/>
    </row>
    <row r="124" ht="14.1" customHeight="1" s="797">
      <c r="A124" s="804" t="n"/>
      <c r="C124" s="938" t="n"/>
      <c r="D124" s="839" t="n"/>
      <c r="E124" s="938" t="n"/>
      <c r="F124" s="853" t="n"/>
      <c r="G124" s="938" t="n"/>
      <c r="H124" s="968" t="n"/>
      <c r="I124" s="938" t="n"/>
      <c r="J124" s="839" t="n"/>
      <c r="K124" s="454" t="n"/>
      <c r="L124" s="968" t="n"/>
      <c r="M124" s="938" t="n"/>
      <c r="N124" s="968" t="n"/>
      <c r="O124" s="938" t="n"/>
      <c r="P124" s="837" t="n"/>
      <c r="Q124" s="830" t="n"/>
      <c r="R124" s="804" t="n"/>
      <c r="S124" s="804" t="n"/>
      <c r="T124" s="805" t="n"/>
    </row>
    <row r="125" ht="14.1" customHeight="1" s="797">
      <c r="A125" s="804" t="n"/>
      <c r="C125" s="938" t="n"/>
      <c r="D125" s="839" t="n"/>
      <c r="E125" s="938" t="n"/>
      <c r="F125" s="853" t="n"/>
      <c r="G125" s="938" t="n"/>
      <c r="H125" s="968" t="n"/>
      <c r="I125" s="938" t="n"/>
      <c r="J125" s="853" t="n"/>
      <c r="K125" s="938" t="n"/>
      <c r="L125" s="839" t="n"/>
      <c r="M125" s="938" t="n"/>
      <c r="N125" s="914" t="n"/>
      <c r="O125" s="938" t="n"/>
      <c r="P125" s="837" t="n"/>
      <c r="Q125" s="830" t="n"/>
      <c r="R125" s="804" t="n"/>
      <c r="S125" s="804" t="n"/>
      <c r="T125" s="805" t="n"/>
    </row>
    <row r="126" ht="14.1" customHeight="1" s="797" thickBot="1">
      <c r="A126" s="942" t="n"/>
      <c r="B126" s="943" t="n"/>
      <c r="C126" s="944" t="n"/>
      <c r="D126" s="848" t="n"/>
      <c r="E126" s="944" t="n"/>
      <c r="F126" s="981" t="n"/>
      <c r="G126" s="944" t="n"/>
      <c r="H126" s="891" t="n"/>
      <c r="I126" s="944" t="n"/>
      <c r="J126" s="885" t="n"/>
      <c r="K126" s="944" t="n"/>
      <c r="L126" s="885" t="n"/>
      <c r="M126" s="944" t="n"/>
      <c r="N126" s="848" t="n"/>
      <c r="O126" s="944" t="n"/>
      <c r="P126" s="846" t="n"/>
      <c r="Q126" s="830" t="n"/>
      <c r="R126" s="942" t="n"/>
      <c r="S126" s="942" t="n"/>
      <c r="T126" s="946" t="n"/>
    </row>
    <row r="127" ht="18.95" customHeight="1" s="797">
      <c r="A127" s="947">
        <f>A64</f>
        <v/>
      </c>
      <c r="B127" s="796" t="n"/>
      <c r="C127" s="649" t="n"/>
      <c r="D127" s="794" t="n"/>
      <c r="E127" s="649" t="n"/>
      <c r="F127" s="794" t="n"/>
      <c r="G127" s="649" t="n"/>
      <c r="H127" s="794" t="n"/>
      <c r="I127" s="649" t="n"/>
      <c r="J127" s="794" t="n"/>
      <c r="K127" s="649" t="n"/>
      <c r="L127" s="794" t="n"/>
      <c r="M127" s="649" t="n"/>
      <c r="N127" s="794" t="n"/>
      <c r="O127" s="649" t="n"/>
      <c r="P127" s="794" t="n"/>
      <c r="Q127" s="138" t="n"/>
      <c r="R127" s="795" t="inlineStr">
        <is>
          <t>평가 기준일</t>
        </is>
      </c>
      <c r="S127" s="796" t="n"/>
      <c r="T127" s="137">
        <f>T64</f>
        <v/>
      </c>
    </row>
    <row r="128" ht="14.1" customHeight="1" s="797">
      <c r="A128" s="647" t="inlineStr">
        <is>
          <t>상품명</t>
        </is>
      </c>
      <c r="B128" s="798" t="n"/>
      <c r="C128" s="645" t="n"/>
      <c r="D128" s="799" t="n"/>
      <c r="E128" s="645" t="n"/>
      <c r="F128" s="799" t="n"/>
      <c r="G128" s="645" t="n"/>
      <c r="H128" s="799" t="n"/>
      <c r="I128" s="645" t="n"/>
      <c r="J128" s="799" t="n"/>
      <c r="K128" s="645" t="n"/>
      <c r="L128" s="799" t="n"/>
      <c r="M128" s="645" t="n"/>
      <c r="N128" s="799" t="n"/>
      <c r="O128" s="645" t="n"/>
      <c r="P128" s="799" t="n"/>
      <c r="Q128" s="25" t="n"/>
      <c r="R128" s="948" t="n"/>
      <c r="S128" s="801" t="n"/>
      <c r="T128" s="802" t="n"/>
    </row>
    <row r="129" ht="14.1" customHeight="1" s="797">
      <c r="A129" s="647" t="inlineStr">
        <is>
          <t>계약자 / 피보험자</t>
        </is>
      </c>
      <c r="B129" s="798" t="n"/>
      <c r="C129" s="645" t="n"/>
      <c r="D129" s="799" t="n"/>
      <c r="E129" s="645" t="n"/>
      <c r="F129" s="799" t="n"/>
      <c r="G129" s="645" t="n"/>
      <c r="H129" s="799" t="n"/>
      <c r="I129" s="645" t="n"/>
      <c r="J129" s="799" t="n"/>
      <c r="K129" s="645" t="n"/>
      <c r="L129" s="799" t="n"/>
      <c r="M129" s="645" t="n"/>
      <c r="N129" s="799" t="n"/>
      <c r="O129" s="646" t="n"/>
      <c r="P129" s="799" t="n"/>
      <c r="Q129" s="25" t="n"/>
      <c r="R129" s="804" t="n"/>
      <c r="T129" s="805" t="n"/>
    </row>
    <row r="130" ht="14.1" customHeight="1" s="797">
      <c r="A130" s="647" t="inlineStr">
        <is>
          <t>계약일자</t>
        </is>
      </c>
      <c r="B130" s="798" t="n"/>
      <c r="C130" s="646" t="n"/>
      <c r="D130" s="799" t="n"/>
      <c r="E130" s="646" t="n"/>
      <c r="F130" s="799" t="n"/>
      <c r="G130" s="646" t="n"/>
      <c r="H130" s="799" t="n"/>
      <c r="I130" s="646" t="n"/>
      <c r="J130" s="799" t="n"/>
      <c r="K130" s="646" t="n"/>
      <c r="L130" s="799" t="n"/>
      <c r="M130" s="646" t="n"/>
      <c r="N130" s="799" t="n"/>
      <c r="O130" s="646" t="n"/>
      <c r="P130" s="799" t="n"/>
      <c r="Q130" s="25" t="n"/>
      <c r="R130" s="804" t="n"/>
      <c r="T130" s="805" t="n"/>
    </row>
    <row r="131" ht="14.1" customHeight="1" s="797">
      <c r="A131" s="647" t="inlineStr">
        <is>
          <t>납입기간 / 기납입기간</t>
        </is>
      </c>
      <c r="B131" s="798" t="n"/>
      <c r="C131" s="806" t="n"/>
      <c r="D131" s="807" t="n"/>
      <c r="E131" s="806" t="n"/>
      <c r="F131" s="807">
        <f>IF(DATEDIF(E130,$T$1,"m")&lt;E131*12,DATEDIF(E130,$T$1,"m"),E131*12)</f>
        <v/>
      </c>
      <c r="G131" s="806" t="n"/>
      <c r="H131" s="807">
        <f>IF(DATEDIF(G130,$T$1,"m")&lt;G131*12,DATEDIF(G130,$T$1,"m"),G131*12)</f>
        <v/>
      </c>
      <c r="I131" s="806" t="n"/>
      <c r="J131" s="807">
        <f>IF(DATEDIF(I130,$T$1,"m")&lt;I131*12,DATEDIF(I130,$T$1,"m"),I131*12)</f>
        <v/>
      </c>
      <c r="K131" s="806" t="n"/>
      <c r="L131" s="807">
        <f>IF(DATEDIF(K130,$T$1,"m")&lt;K131*12,DATEDIF(K130,$T$1,"m"),K131*12)</f>
        <v/>
      </c>
      <c r="M131" s="806" t="n"/>
      <c r="N131" s="949">
        <f>IF(DATEDIF(M130,$T$1,"m")&lt;M131*12,DATEDIF(M130,$T$1,"m"),M131*12)</f>
        <v/>
      </c>
      <c r="O131" s="806" t="n"/>
      <c r="P131" s="807">
        <f>IF(DATEDIF(O130,$T$1,"m")&lt;O131*12,DATEDIF(O130,$T$1,"m"),O131*12)</f>
        <v/>
      </c>
      <c r="Q131" s="25" t="n"/>
      <c r="R131" s="804" t="n"/>
      <c r="T131" s="805" t="n"/>
    </row>
    <row r="132" ht="14.1" customHeight="1" s="797">
      <c r="A132" s="647" t="inlineStr">
        <is>
          <t>보장기간</t>
        </is>
      </c>
      <c r="B132" s="798" t="n"/>
      <c r="C132" s="645" t="n"/>
      <c r="D132" s="799" t="n"/>
      <c r="E132" s="645" t="n"/>
      <c r="F132" s="799" t="n"/>
      <c r="G132" s="645" t="n"/>
      <c r="H132" s="799" t="n"/>
      <c r="I132" s="645" t="n"/>
      <c r="J132" s="799" t="n"/>
      <c r="K132" s="645" t="n"/>
      <c r="L132" s="799" t="n"/>
      <c r="M132" s="645" t="n"/>
      <c r="N132" s="799" t="n"/>
      <c r="O132" s="645" t="n"/>
      <c r="P132" s="799" t="n"/>
      <c r="Q132" s="25" t="n"/>
      <c r="R132" s="808" t="n"/>
      <c r="S132" s="809" t="n"/>
      <c r="T132" s="810" t="n"/>
    </row>
    <row r="133" ht="14.1" customHeight="1" s="797">
      <c r="A133" s="632" t="inlineStr">
        <is>
          <t>비고 / 갱신종류</t>
        </is>
      </c>
      <c r="B133" s="811" t="n"/>
      <c r="C133" s="642" t="n"/>
      <c r="D133" s="799" t="n"/>
      <c r="E133" s="642" t="n"/>
      <c r="F133" s="799" t="n"/>
      <c r="G133" s="642" t="n"/>
      <c r="H133" s="799" t="n"/>
      <c r="I133" s="642" t="n"/>
      <c r="J133" s="799" t="n"/>
      <c r="K133" s="642" t="n"/>
      <c r="L133" s="799" t="n"/>
      <c r="M133" s="642" t="n"/>
      <c r="N133" s="799" t="n"/>
      <c r="O133" s="642" t="n"/>
      <c r="P133" s="799" t="n"/>
      <c r="Q133" s="25" t="n"/>
      <c r="R133" s="950" t="n"/>
      <c r="S133" s="798" t="n"/>
      <c r="T133" s="27" t="inlineStr">
        <is>
          <t>총 보장 (원)</t>
        </is>
      </c>
    </row>
    <row r="134" ht="14.1" customHeight="1" s="797">
      <c r="A134" s="639" t="inlineStr">
        <is>
          <t>월 보험료</t>
        </is>
      </c>
      <c r="B134" s="798" t="n"/>
      <c r="C134" s="813" t="n"/>
      <c r="D134" s="799" t="n"/>
      <c r="E134" s="813" t="n"/>
      <c r="F134" s="799" t="n"/>
      <c r="G134" s="813" t="n"/>
      <c r="H134" s="799" t="n"/>
      <c r="I134" s="813" t="n"/>
      <c r="J134" s="799" t="n"/>
      <c r="K134" s="813" t="n"/>
      <c r="L134" s="799" t="n"/>
      <c r="M134" s="813" t="n"/>
      <c r="N134" s="799" t="n"/>
      <c r="O134" s="813" t="n"/>
      <c r="P134" s="799" t="n"/>
      <c r="Q134" s="814" t="n"/>
      <c r="R134" s="982" t="inlineStr">
        <is>
          <t>합산 월 보험료</t>
        </is>
      </c>
      <c r="S134" s="798" t="n"/>
      <c r="T134" s="951">
        <f>T71+C134+E134+G134+I134+K134+O134</f>
        <v/>
      </c>
    </row>
    <row r="135" ht="14.1" customHeight="1" s="797">
      <c r="A135" s="647" t="inlineStr">
        <is>
          <t>보험료 총액</t>
        </is>
      </c>
      <c r="B135" s="798" t="n"/>
      <c r="C135" s="817" t="n"/>
      <c r="D135" s="799" t="n"/>
      <c r="E135" s="817">
        <f>E134*E131*12</f>
        <v/>
      </c>
      <c r="F135" s="799" t="n"/>
      <c r="G135" s="817">
        <f>G134*G131*12</f>
        <v/>
      </c>
      <c r="H135" s="799" t="n"/>
      <c r="I135" s="817">
        <f>I134*I131*12</f>
        <v/>
      </c>
      <c r="J135" s="799" t="n"/>
      <c r="K135" s="817">
        <f>K134*K131*12</f>
        <v/>
      </c>
      <c r="L135" s="799" t="n"/>
      <c r="M135" s="817">
        <f>M134*M131*12</f>
        <v/>
      </c>
      <c r="N135" s="799" t="n"/>
      <c r="O135" s="817">
        <f>O134*O131*12</f>
        <v/>
      </c>
      <c r="P135" s="799" t="n"/>
      <c r="Q135" s="814" t="n"/>
      <c r="R135" s="982" t="inlineStr">
        <is>
          <t>합산 보험료 총액</t>
        </is>
      </c>
      <c r="S135" s="798" t="n"/>
      <c r="T135" s="952">
        <f>T72+C135+E135+G135+I135+K135+O135</f>
        <v/>
      </c>
    </row>
    <row r="136" ht="14.1" customHeight="1" s="797">
      <c r="A136" s="647" t="inlineStr">
        <is>
          <t>기 납입금</t>
        </is>
      </c>
      <c r="B136" s="798" t="n"/>
      <c r="C136" s="817" t="n"/>
      <c r="D136" s="799" t="n"/>
      <c r="E136" s="817">
        <f>E134*F131</f>
        <v/>
      </c>
      <c r="F136" s="799" t="n"/>
      <c r="G136" s="817">
        <f>G134*H131</f>
        <v/>
      </c>
      <c r="H136" s="799" t="n"/>
      <c r="I136" s="817">
        <f>I134*J131</f>
        <v/>
      </c>
      <c r="J136" s="799" t="n"/>
      <c r="K136" s="817">
        <f>K134*L131</f>
        <v/>
      </c>
      <c r="L136" s="799" t="n"/>
      <c r="M136" s="817">
        <f>M134*N131</f>
        <v/>
      </c>
      <c r="N136" s="799" t="n"/>
      <c r="O136" s="817">
        <f>O134*P131</f>
        <v/>
      </c>
      <c r="P136" s="799" t="n"/>
      <c r="Q136" s="814" t="n"/>
      <c r="R136" s="982" t="inlineStr">
        <is>
          <t>합산 기 납입금</t>
        </is>
      </c>
      <c r="S136" s="798" t="n"/>
      <c r="T136" s="952">
        <f>T73+C136+E136+G136+I136+K136+O136</f>
        <v/>
      </c>
    </row>
    <row r="137" ht="14.1" customHeight="1" s="797" thickBot="1">
      <c r="A137" s="632" t="inlineStr">
        <is>
          <t>미 납입금</t>
        </is>
      </c>
      <c r="B137" s="811" t="n"/>
      <c r="C137" s="817" t="n"/>
      <c r="D137" s="799" t="n"/>
      <c r="E137" s="817">
        <f>E135-E136</f>
        <v/>
      </c>
      <c r="F137" s="799" t="n"/>
      <c r="G137" s="817">
        <f>G135-G136</f>
        <v/>
      </c>
      <c r="H137" s="799" t="n"/>
      <c r="I137" s="817">
        <f>I135-I136</f>
        <v/>
      </c>
      <c r="J137" s="799" t="n"/>
      <c r="K137" s="817">
        <f>K135-K136</f>
        <v/>
      </c>
      <c r="L137" s="799" t="n"/>
      <c r="M137" s="817">
        <f>M135-M136</f>
        <v/>
      </c>
      <c r="N137" s="799" t="n"/>
      <c r="O137" s="817">
        <f>O135-O136</f>
        <v/>
      </c>
      <c r="P137" s="799" t="n"/>
      <c r="Q137" s="814" t="n"/>
      <c r="R137" s="983" t="inlineStr">
        <is>
          <t>합산 미 납입금</t>
        </is>
      </c>
      <c r="S137" s="954" t="n"/>
      <c r="T137" s="955">
        <f>T74+C137+E137+G137+I137+K137+O137</f>
        <v/>
      </c>
    </row>
    <row r="138" ht="14.1" customHeight="1" s="797">
      <c r="A138" s="821" t="inlineStr">
        <is>
          <t>실비
(갱신)</t>
        </is>
      </c>
      <c r="B138" s="457" t="inlineStr">
        <is>
          <t>질병입원의료비</t>
        </is>
      </c>
      <c r="C138" s="828" t="n"/>
      <c r="D138" s="829" t="n"/>
      <c r="E138" s="828" t="n"/>
      <c r="F138" s="956" t="n"/>
      <c r="G138" s="828" t="n"/>
      <c r="H138" s="880" t="n"/>
      <c r="I138" s="828" t="n"/>
      <c r="J138" s="880" t="n"/>
      <c r="K138" s="828" t="n"/>
      <c r="L138" s="829" t="n"/>
      <c r="M138" s="828" t="n"/>
      <c r="N138" s="827" t="n"/>
      <c r="O138" s="826" t="n"/>
      <c r="P138" s="827" t="n"/>
      <c r="Q138" s="830" t="n"/>
      <c r="R138" s="821" t="inlineStr">
        <is>
          <t>실비
(갱신)</t>
        </is>
      </c>
      <c r="S138" s="352" t="inlineStr">
        <is>
          <t>질병입원의료비</t>
        </is>
      </c>
      <c r="T138" s="957">
        <f>T75+C138+E138+G138+I138+K138+M138+O138</f>
        <v/>
      </c>
    </row>
    <row r="139" ht="14.1" customHeight="1" s="797">
      <c r="A139" s="832" t="n"/>
      <c r="B139" s="458" t="inlineStr">
        <is>
          <t>질병통원의료비</t>
        </is>
      </c>
      <c r="C139" s="838" t="n"/>
      <c r="D139" s="839" t="n"/>
      <c r="E139" s="838" t="n"/>
      <c r="F139" s="958" t="n"/>
      <c r="G139" s="838" t="n"/>
      <c r="H139" s="894" t="n"/>
      <c r="I139" s="838" t="n"/>
      <c r="J139" s="894" t="n"/>
      <c r="K139" s="838" t="n"/>
      <c r="L139" s="839" t="n"/>
      <c r="M139" s="838" t="n"/>
      <c r="N139" s="837" t="n"/>
      <c r="O139" s="836" t="n"/>
      <c r="P139" s="837" t="n"/>
      <c r="Q139" s="830" t="n"/>
      <c r="R139" s="832" t="n"/>
      <c r="S139" s="353" t="inlineStr">
        <is>
          <t>질병통원의료비</t>
        </is>
      </c>
      <c r="T139" s="959">
        <f>T76+C139+E139+G139+I139+K139+M139+O139</f>
        <v/>
      </c>
    </row>
    <row r="140" ht="14.1" customHeight="1" s="797">
      <c r="A140" s="832" t="n"/>
      <c r="B140" s="458" t="inlineStr">
        <is>
          <t>상해입원의료비</t>
        </is>
      </c>
      <c r="C140" s="838" t="n"/>
      <c r="D140" s="839" t="n"/>
      <c r="E140" s="838" t="n"/>
      <c r="F140" s="958" t="n"/>
      <c r="G140" s="838" t="n"/>
      <c r="H140" s="894" t="n"/>
      <c r="I140" s="838" t="n"/>
      <c r="J140" s="894" t="n"/>
      <c r="K140" s="838" t="n"/>
      <c r="L140" s="839" t="n"/>
      <c r="M140" s="838" t="n"/>
      <c r="N140" s="837" t="n"/>
      <c r="O140" s="836" t="n"/>
      <c r="P140" s="837" t="n"/>
      <c r="Q140" s="830" t="n"/>
      <c r="R140" s="832" t="n"/>
      <c r="S140" s="353" t="inlineStr">
        <is>
          <t>상해입원의료비</t>
        </is>
      </c>
      <c r="T140" s="959">
        <f>T77+C140+E140+G140+I140+K140+M140+O140</f>
        <v/>
      </c>
    </row>
    <row r="141" ht="14.1" customHeight="1" s="797">
      <c r="A141" s="832" t="n"/>
      <c r="B141" s="458" t="inlineStr">
        <is>
          <t>상해통원의료비</t>
        </is>
      </c>
      <c r="C141" s="838" t="n"/>
      <c r="D141" s="839" t="n"/>
      <c r="E141" s="838" t="n"/>
      <c r="F141" s="958" t="n"/>
      <c r="G141" s="838" t="n"/>
      <c r="H141" s="894" t="n"/>
      <c r="I141" s="838" t="n"/>
      <c r="J141" s="894" t="n"/>
      <c r="K141" s="838" t="n"/>
      <c r="L141" s="839" t="n"/>
      <c r="M141" s="838" t="n"/>
      <c r="N141" s="837" t="n"/>
      <c r="O141" s="836" t="n"/>
      <c r="P141" s="837" t="n"/>
      <c r="Q141" s="830" t="n"/>
      <c r="R141" s="832" t="n"/>
      <c r="S141" s="353" t="inlineStr">
        <is>
          <t>상해통원의료비</t>
        </is>
      </c>
      <c r="T141" s="959">
        <f>T78+C141+E141+G141+I141+K141+M141+O141</f>
        <v/>
      </c>
    </row>
    <row r="142" ht="14.1" customHeight="1" s="797" thickBot="1">
      <c r="A142" s="841" t="n"/>
      <c r="B142" s="459" t="inlineStr">
        <is>
          <t>3대비급여 의료비</t>
        </is>
      </c>
      <c r="C142" s="847" t="n"/>
      <c r="D142" s="848" t="n"/>
      <c r="E142" s="847" t="n"/>
      <c r="F142" s="960" t="n"/>
      <c r="G142" s="847" t="n"/>
      <c r="H142" s="885" t="n"/>
      <c r="I142" s="847" t="n"/>
      <c r="J142" s="885" t="n"/>
      <c r="K142" s="847" t="n"/>
      <c r="L142" s="848" t="n"/>
      <c r="M142" s="847" t="n"/>
      <c r="N142" s="846" t="n"/>
      <c r="O142" s="845" t="n"/>
      <c r="P142" s="846" t="n"/>
      <c r="Q142" s="830" t="n"/>
      <c r="R142" s="841" t="n"/>
      <c r="S142" s="354" t="inlineStr">
        <is>
          <t>3대비급여 의료비</t>
        </is>
      </c>
      <c r="T142" s="963">
        <f>T79+C142+E142+G142+I142+K142+M142+O142</f>
        <v/>
      </c>
    </row>
    <row r="143" ht="14.1" customHeight="1" s="797">
      <c r="A143" s="624" t="inlineStr">
        <is>
          <t>암</t>
        </is>
      </c>
      <c r="B143" s="460" t="inlineStr">
        <is>
          <t>암진단</t>
        </is>
      </c>
      <c r="C143" s="828" t="n"/>
      <c r="D143" s="908" t="n"/>
      <c r="E143" s="828" t="n"/>
      <c r="F143" s="880" t="n"/>
      <c r="G143" s="828" t="n"/>
      <c r="H143" s="880" t="n"/>
      <c r="I143" s="828" t="n"/>
      <c r="J143" s="880" t="n"/>
      <c r="K143" s="828" t="n"/>
      <c r="L143" s="913" t="n"/>
      <c r="M143" s="828" t="n"/>
      <c r="N143" s="829" t="n"/>
      <c r="O143" s="828" t="n"/>
      <c r="P143" s="827" t="n"/>
      <c r="Q143" s="830" t="n"/>
      <c r="R143" s="626" t="inlineStr">
        <is>
          <t>암</t>
        </is>
      </c>
      <c r="S143" s="490" t="inlineStr">
        <is>
          <t>암진단비</t>
        </is>
      </c>
      <c r="T143" s="957">
        <f>T80+C143+E143+G143+I143+K143+M143+O143</f>
        <v/>
      </c>
    </row>
    <row r="144" ht="14.1" customHeight="1" s="797">
      <c r="A144" s="832" t="n"/>
      <c r="B144" s="481" t="inlineStr">
        <is>
          <t>유사암진단</t>
        </is>
      </c>
      <c r="C144" s="838" t="n"/>
      <c r="D144" s="873" t="n"/>
      <c r="E144" s="838" t="n"/>
      <c r="F144" s="852" t="n"/>
      <c r="G144" s="838" t="n"/>
      <c r="H144" s="852" t="n"/>
      <c r="I144" s="838" t="n"/>
      <c r="J144" s="852" t="n"/>
      <c r="K144" s="838" t="n"/>
      <c r="L144" s="914" t="n"/>
      <c r="M144" s="838" t="n"/>
      <c r="N144" s="853" t="n"/>
      <c r="O144" s="856" t="n"/>
      <c r="P144" s="857" t="n"/>
      <c r="Q144" s="830" t="n"/>
      <c r="R144" s="832" t="n"/>
      <c r="S144" s="491" t="inlineStr">
        <is>
          <t>유사암진단</t>
        </is>
      </c>
      <c r="T144" s="959">
        <f>T81+C144+E144+G144+I144+K144+M144+O144</f>
        <v/>
      </c>
    </row>
    <row r="145" ht="14.1" customHeight="1" s="797" thickBot="1">
      <c r="A145" s="832" t="n"/>
      <c r="B145" s="553" t="inlineStr">
        <is>
          <t>전이암진단</t>
        </is>
      </c>
      <c r="C145" s="847" t="n"/>
      <c r="D145" s="961" t="n"/>
      <c r="E145" s="847" t="n"/>
      <c r="F145" s="910" t="n"/>
      <c r="G145" s="847" t="n"/>
      <c r="H145" s="910" t="n"/>
      <c r="I145" s="847" t="n"/>
      <c r="J145" s="910" t="n"/>
      <c r="K145" s="847" t="n"/>
      <c r="L145" s="916" t="n"/>
      <c r="M145" s="909" t="n"/>
      <c r="N145" s="877" t="n"/>
      <c r="O145" s="909" t="n"/>
      <c r="P145" s="962" t="n"/>
      <c r="Q145" s="830" t="n"/>
      <c r="R145" s="832" t="n"/>
      <c r="S145" s="566" t="inlineStr">
        <is>
          <t>전이암진단</t>
        </is>
      </c>
      <c r="T145" s="963">
        <f>T82+C145+E145+G145+I145+K145+M145+O145</f>
        <v/>
      </c>
    </row>
    <row r="146" ht="14.1" customHeight="1" s="797">
      <c r="A146" s="832" t="n"/>
      <c r="B146" s="554" t="inlineStr">
        <is>
          <t>암수술</t>
        </is>
      </c>
      <c r="C146" s="856" t="n"/>
      <c r="D146" s="873" t="n"/>
      <c r="E146" s="856" t="n"/>
      <c r="F146" s="852" t="n"/>
      <c r="G146" s="856" t="n"/>
      <c r="H146" s="852" t="n"/>
      <c r="I146" s="856" t="n"/>
      <c r="J146" s="852" t="n"/>
      <c r="K146" s="856" t="n"/>
      <c r="L146" s="914" t="n"/>
      <c r="M146" s="856" t="n"/>
      <c r="N146" s="853" t="n"/>
      <c r="O146" s="856" t="n"/>
      <c r="P146" s="857" t="n"/>
      <c r="Q146" s="830" t="n"/>
      <c r="R146" s="832" t="n"/>
      <c r="S146" s="343" t="inlineStr">
        <is>
          <t>암수술</t>
        </is>
      </c>
      <c r="T146" s="957">
        <f>T83+C146+E146+G146+I146+K146+M146+O146</f>
        <v/>
      </c>
    </row>
    <row r="147" ht="14.1" customHeight="1" s="797">
      <c r="A147" s="832" t="n"/>
      <c r="B147" s="555" t="inlineStr">
        <is>
          <t>다빈치로봇수술</t>
        </is>
      </c>
      <c r="C147" s="838" t="n"/>
      <c r="D147" s="873" t="n"/>
      <c r="E147" s="838" t="n"/>
      <c r="F147" s="852" t="n"/>
      <c r="G147" s="838" t="n"/>
      <c r="H147" s="852" t="n"/>
      <c r="I147" s="838" t="n"/>
      <c r="J147" s="852" t="n"/>
      <c r="K147" s="838" t="n"/>
      <c r="L147" s="914" t="n"/>
      <c r="M147" s="856" t="n"/>
      <c r="N147" s="853" t="n"/>
      <c r="O147" s="856" t="n"/>
      <c r="P147" s="857" t="n"/>
      <c r="Q147" s="830" t="n"/>
      <c r="R147" s="832" t="n"/>
      <c r="S147" s="326" t="inlineStr">
        <is>
          <t>다빈치로봇수술</t>
        </is>
      </c>
      <c r="T147" s="959">
        <f>T84+C147+E147+G147+I147+K147+M147+O147</f>
        <v/>
      </c>
    </row>
    <row r="148" ht="14.1" customHeight="1" s="797">
      <c r="A148" s="832" t="n"/>
      <c r="B148" s="556" t="inlineStr">
        <is>
          <t>항암방사선</t>
        </is>
      </c>
      <c r="C148" s="838" t="n"/>
      <c r="D148" s="873" t="n"/>
      <c r="E148" s="838" t="n"/>
      <c r="F148" s="852" t="n"/>
      <c r="G148" s="838" t="n"/>
      <c r="H148" s="852" t="n"/>
      <c r="I148" s="838" t="n"/>
      <c r="J148" s="852" t="n"/>
      <c r="K148" s="838" t="n"/>
      <c r="L148" s="914" t="n"/>
      <c r="M148" s="856" t="n"/>
      <c r="N148" s="853" t="n"/>
      <c r="O148" s="856" t="n"/>
      <c r="P148" s="857" t="n"/>
      <c r="Q148" s="830" t="n"/>
      <c r="R148" s="832" t="n"/>
      <c r="S148" s="343" t="inlineStr">
        <is>
          <t>항암방사선</t>
        </is>
      </c>
      <c r="T148" s="959">
        <f>T85+C148+E148+G148+I148+K148+M148+O148</f>
        <v/>
      </c>
    </row>
    <row r="149" ht="14.1" customHeight="1" s="797">
      <c r="A149" s="832" t="n"/>
      <c r="B149" s="555" t="inlineStr">
        <is>
          <t>중입자방사선</t>
        </is>
      </c>
      <c r="C149" s="838" t="n"/>
      <c r="D149" s="873" t="n"/>
      <c r="E149" s="838" t="n"/>
      <c r="F149" s="852" t="n"/>
      <c r="G149" s="838" t="n"/>
      <c r="H149" s="852" t="n"/>
      <c r="I149" s="838" t="n"/>
      <c r="J149" s="852" t="n"/>
      <c r="K149" s="838" t="n"/>
      <c r="L149" s="914" t="n"/>
      <c r="M149" s="856" t="n"/>
      <c r="N149" s="853" t="n"/>
      <c r="O149" s="856" t="n"/>
      <c r="P149" s="857" t="n"/>
      <c r="Q149" s="830" t="n"/>
      <c r="R149" s="832" t="n"/>
      <c r="S149" s="326" t="inlineStr">
        <is>
          <t>중입자방사선</t>
        </is>
      </c>
      <c r="T149" s="959">
        <f>T86+C149+E149+G149+I149+K149+M149+O149</f>
        <v/>
      </c>
    </row>
    <row r="150" ht="14.1" customHeight="1" s="797">
      <c r="A150" s="832" t="n"/>
      <c r="B150" s="555" t="inlineStr">
        <is>
          <t>양성자방사선</t>
        </is>
      </c>
      <c r="C150" s="838" t="n"/>
      <c r="D150" s="873" t="n"/>
      <c r="E150" s="838" t="n"/>
      <c r="F150" s="852" t="n"/>
      <c r="G150" s="838" t="n"/>
      <c r="H150" s="852" t="n"/>
      <c r="I150" s="838" t="n"/>
      <c r="J150" s="852" t="n"/>
      <c r="K150" s="838" t="n"/>
      <c r="L150" s="914" t="n"/>
      <c r="M150" s="856" t="n"/>
      <c r="N150" s="853" t="n"/>
      <c r="O150" s="856" t="n"/>
      <c r="P150" s="857" t="n"/>
      <c r="Q150" s="830" t="n"/>
      <c r="R150" s="832" t="n"/>
      <c r="S150" s="326" t="inlineStr">
        <is>
          <t>양성자방사선</t>
        </is>
      </c>
      <c r="T150" s="959">
        <f>T88+C150+E150+G150+I150+K150+O150</f>
        <v/>
      </c>
    </row>
    <row r="151" ht="14.1" customHeight="1" s="797">
      <c r="A151" s="832" t="n"/>
      <c r="B151" s="555" t="inlineStr">
        <is>
          <t>세기조절방사선</t>
        </is>
      </c>
      <c r="C151" s="838" t="n"/>
      <c r="D151" s="873" t="n"/>
      <c r="E151" s="838" t="n"/>
      <c r="F151" s="852" t="n"/>
      <c r="G151" s="838" t="n"/>
      <c r="H151" s="852" t="n"/>
      <c r="I151" s="838" t="n"/>
      <c r="J151" s="852" t="n"/>
      <c r="K151" s="838" t="n"/>
      <c r="L151" s="914" t="n"/>
      <c r="M151" s="856" t="n"/>
      <c r="N151" s="853" t="n"/>
      <c r="O151" s="856" t="n"/>
      <c r="P151" s="857" t="n"/>
      <c r="Q151" s="830" t="n"/>
      <c r="R151" s="832" t="n"/>
      <c r="S151" s="326" t="inlineStr">
        <is>
          <t>세기조절방사선</t>
        </is>
      </c>
      <c r="T151" s="959">
        <f>T88+C151+E151+G151+I151+K151+M151+O151</f>
        <v/>
      </c>
    </row>
    <row r="152" ht="14.1" customHeight="1" s="797">
      <c r="A152" s="832" t="n"/>
      <c r="B152" s="556" t="inlineStr">
        <is>
          <t>항암약물</t>
        </is>
      </c>
      <c r="C152" s="838" t="n"/>
      <c r="D152" s="873" t="n"/>
      <c r="E152" s="862" t="n"/>
      <c r="F152" s="853" t="n"/>
      <c r="G152" s="862" t="n"/>
      <c r="H152" s="852" t="n"/>
      <c r="I152" s="862" t="n"/>
      <c r="J152" s="852" t="n"/>
      <c r="K152" s="862" t="n"/>
      <c r="L152" s="914" t="n"/>
      <c r="M152" s="859" t="n"/>
      <c r="N152" s="853" t="n"/>
      <c r="O152" s="856" t="n"/>
      <c r="P152" s="857" t="n"/>
      <c r="Q152" s="830" t="n"/>
      <c r="R152" s="832" t="n"/>
      <c r="S152" s="343" t="inlineStr">
        <is>
          <t>항암약물</t>
        </is>
      </c>
      <c r="T152" s="959">
        <f>T89+C152+E152+G152+I152+K152+M152+O152</f>
        <v/>
      </c>
    </row>
    <row r="153" ht="14.1" customHeight="1" s="797">
      <c r="A153" s="832" t="n"/>
      <c r="B153" s="555" t="inlineStr">
        <is>
          <t>표적항암약물</t>
        </is>
      </c>
      <c r="C153" s="862" t="n"/>
      <c r="D153" s="882" t="n"/>
      <c r="E153" s="862" t="n"/>
      <c r="F153" s="853" t="n"/>
      <c r="G153" s="862" t="n"/>
      <c r="H153" s="852" t="n"/>
      <c r="I153" s="862" t="n"/>
      <c r="J153" s="852" t="n"/>
      <c r="K153" s="862" t="n"/>
      <c r="L153" s="914" t="n"/>
      <c r="M153" s="859" t="n"/>
      <c r="N153" s="853" t="n"/>
      <c r="O153" s="859" t="n"/>
      <c r="P153" s="864" t="n"/>
      <c r="Q153" s="830" t="n"/>
      <c r="R153" s="832" t="n"/>
      <c r="S153" s="326" t="inlineStr">
        <is>
          <t>표적항암약물</t>
        </is>
      </c>
      <c r="T153" s="959">
        <f>T90+C153+E153+G153+I153+K153+M153+O153</f>
        <v/>
      </c>
    </row>
    <row r="154" ht="14.1" customHeight="1" s="797" thickBot="1">
      <c r="A154" s="832" t="n"/>
      <c r="B154" s="557" t="inlineStr">
        <is>
          <t>면역항암약물</t>
        </is>
      </c>
      <c r="C154" s="847" t="n"/>
      <c r="D154" s="848" t="n"/>
      <c r="E154" s="847" t="n"/>
      <c r="F154" s="871" t="n"/>
      <c r="G154" s="847" t="n"/>
      <c r="H154" s="852" t="n"/>
      <c r="I154" s="847" t="n"/>
      <c r="J154" s="852" t="n"/>
      <c r="K154" s="847" t="n"/>
      <c r="L154" s="914" t="n"/>
      <c r="M154" s="847" t="n"/>
      <c r="N154" s="853" t="n"/>
      <c r="O154" s="845" t="n"/>
      <c r="P154" s="846" t="n"/>
      <c r="Q154" s="830" t="n"/>
      <c r="R154" s="832" t="n"/>
      <c r="S154" s="327" t="inlineStr">
        <is>
          <t>면역항암약물</t>
        </is>
      </c>
      <c r="T154" s="963">
        <f>T91+C154+E154+G154+I154+K154+M154+O154</f>
        <v/>
      </c>
    </row>
    <row r="155" ht="14.1" customHeight="1" s="797">
      <c r="A155" s="628" t="inlineStr">
        <is>
          <t>2대
질병</t>
        </is>
      </c>
      <c r="B155" s="461" t="inlineStr">
        <is>
          <t>뇌혈관진단</t>
        </is>
      </c>
      <c r="C155" s="838" t="n"/>
      <c r="D155" s="829" t="n"/>
      <c r="E155" s="838" t="n"/>
      <c r="F155" s="880" t="n"/>
      <c r="G155" s="838" t="n"/>
      <c r="H155" s="880" t="n"/>
      <c r="I155" s="838" t="n"/>
      <c r="J155" s="880" t="n"/>
      <c r="K155" s="838" t="n"/>
      <c r="L155" s="913" t="n"/>
      <c r="M155" s="828" t="n"/>
      <c r="N155" s="829" t="n"/>
      <c r="O155" s="836" t="n"/>
      <c r="P155" s="827" t="n"/>
      <c r="Q155" s="830" t="n"/>
      <c r="R155" s="630" t="inlineStr">
        <is>
          <t>2대
질병</t>
        </is>
      </c>
      <c r="S155" s="379" t="inlineStr">
        <is>
          <t>뇌혈관</t>
        </is>
      </c>
      <c r="T155" s="957">
        <f>T92+C155+E155+G155+I155+K155+M155+O155</f>
        <v/>
      </c>
    </row>
    <row r="156" ht="14.1" customHeight="1" s="797">
      <c r="A156" s="832" t="n"/>
      <c r="B156" s="462" t="inlineStr">
        <is>
          <t>뇌졸증진단</t>
        </is>
      </c>
      <c r="C156" s="838" t="n"/>
      <c r="D156" s="853" t="n"/>
      <c r="E156" s="856" t="n"/>
      <c r="F156" s="852" t="n"/>
      <c r="G156" s="838" t="n"/>
      <c r="H156" s="852" t="n"/>
      <c r="I156" s="838" t="n"/>
      <c r="J156" s="852" t="n"/>
      <c r="K156" s="838" t="n"/>
      <c r="L156" s="914" t="n"/>
      <c r="M156" s="856" t="n"/>
      <c r="N156" s="853" t="n"/>
      <c r="O156" s="836" t="n"/>
      <c r="P156" s="857" t="n"/>
      <c r="Q156" s="830" t="n"/>
      <c r="R156" s="832" t="n"/>
      <c r="S156" s="380" t="inlineStr">
        <is>
          <t>뇌졸증</t>
        </is>
      </c>
      <c r="T156" s="959">
        <f>T93+C156+E156+G156+I156+K156+M156+O156</f>
        <v/>
      </c>
    </row>
    <row r="157" ht="14.1" customHeight="1" s="797" thickBot="1">
      <c r="A157" s="832" t="n"/>
      <c r="B157" s="463" t="inlineStr">
        <is>
          <t>뇌출혈진단</t>
        </is>
      </c>
      <c r="C157" s="859" t="n"/>
      <c r="D157" s="860" t="n"/>
      <c r="E157" s="859" t="n"/>
      <c r="F157" s="863" t="n"/>
      <c r="G157" s="859" t="n"/>
      <c r="H157" s="863" t="n"/>
      <c r="I157" s="859" t="n"/>
      <c r="J157" s="863" t="n"/>
      <c r="K157" s="859" t="n"/>
      <c r="L157" s="915" t="n"/>
      <c r="M157" s="859" t="n"/>
      <c r="N157" s="860" t="n"/>
      <c r="O157" s="883" t="n"/>
      <c r="P157" s="864" t="n"/>
      <c r="Q157" s="830" t="n"/>
      <c r="R157" s="832" t="n"/>
      <c r="S157" s="381" t="inlineStr">
        <is>
          <t>뇌출혈</t>
        </is>
      </c>
      <c r="T157" s="963">
        <f>T94+C157+E157+G157+I157+K157+M157+O157</f>
        <v/>
      </c>
    </row>
    <row r="158" ht="14.1" customHeight="1" s="797">
      <c r="A158" s="832" t="n"/>
      <c r="B158" s="461" t="inlineStr">
        <is>
          <t>심장질환진단</t>
        </is>
      </c>
      <c r="C158" s="828" t="n"/>
      <c r="D158" s="829" t="n"/>
      <c r="E158" s="828" t="n"/>
      <c r="F158" s="880" t="n"/>
      <c r="G158" s="828" t="n"/>
      <c r="H158" s="880" t="n"/>
      <c r="I158" s="828" t="n"/>
      <c r="J158" s="880" t="n"/>
      <c r="K158" s="828" t="n"/>
      <c r="L158" s="913" t="n"/>
      <c r="M158" s="828" t="n"/>
      <c r="N158" s="829" t="n"/>
      <c r="O158" s="826" t="n"/>
      <c r="P158" s="827" t="n"/>
      <c r="Q158" s="830" t="n"/>
      <c r="R158" s="832" t="n"/>
      <c r="S158" s="358" t="inlineStr">
        <is>
          <t>심장질환</t>
        </is>
      </c>
      <c r="T158" s="957">
        <f>T95+C158+E158+G158+I158+K158+M158+O158</f>
        <v/>
      </c>
    </row>
    <row r="159" ht="14.1" customHeight="1" s="797">
      <c r="A159" s="832" t="n"/>
      <c r="B159" s="488" t="inlineStr">
        <is>
          <t>허혈성심장진단</t>
        </is>
      </c>
      <c r="C159" s="838" t="n"/>
      <c r="D159" s="853" t="n"/>
      <c r="E159" s="838" t="n"/>
      <c r="F159" s="852" t="n"/>
      <c r="G159" s="838" t="n"/>
      <c r="H159" s="852" t="n"/>
      <c r="I159" s="838" t="n"/>
      <c r="J159" s="852" t="n"/>
      <c r="K159" s="838" t="n"/>
      <c r="L159" s="914" t="n"/>
      <c r="M159" s="838" t="n"/>
      <c r="N159" s="853" t="n"/>
      <c r="O159" s="836" t="n"/>
      <c r="P159" s="857" t="n"/>
      <c r="Q159" s="830" t="n"/>
      <c r="R159" s="832" t="n"/>
      <c r="S159" s="359" t="inlineStr">
        <is>
          <t>허혈성심장</t>
        </is>
      </c>
      <c r="T159" s="959">
        <f>T96+C159+E159+G159+I159+K159+M159+O159</f>
        <v/>
      </c>
    </row>
    <row r="160" ht="14.1" customHeight="1" s="797" thickBot="1">
      <c r="A160" s="832" t="n"/>
      <c r="B160" s="489" t="inlineStr">
        <is>
          <t>급성심근경색진단</t>
        </is>
      </c>
      <c r="C160" s="847" t="n"/>
      <c r="D160" s="848" t="n"/>
      <c r="E160" s="847" t="n"/>
      <c r="F160" s="885" t="n"/>
      <c r="G160" s="847" t="n"/>
      <c r="H160" s="885" t="n"/>
      <c r="I160" s="847" t="n"/>
      <c r="J160" s="885" t="n"/>
      <c r="K160" s="847" t="n"/>
      <c r="L160" s="891" t="n"/>
      <c r="M160" s="847" t="n"/>
      <c r="N160" s="848" t="n"/>
      <c r="O160" s="845" t="n"/>
      <c r="P160" s="887" t="n"/>
      <c r="Q160" s="830" t="n"/>
      <c r="R160" s="832" t="n"/>
      <c r="S160" s="360" t="inlineStr">
        <is>
          <t>급성심근경색</t>
        </is>
      </c>
      <c r="T160" s="963">
        <f>T97+C160+E160+G160+I160+K160+M160+O160</f>
        <v/>
      </c>
    </row>
    <row r="161" ht="14.1" customHeight="1" s="797">
      <c r="A161" s="832" t="n"/>
      <c r="B161" s="461" t="inlineStr">
        <is>
          <t>수술/시술비</t>
        </is>
      </c>
      <c r="C161" s="828" t="n"/>
      <c r="D161" s="829" t="n"/>
      <c r="E161" s="828" t="n"/>
      <c r="F161" s="880" t="n"/>
      <c r="G161" s="828" t="n"/>
      <c r="H161" s="880" t="n"/>
      <c r="I161" s="828" t="n"/>
      <c r="J161" s="880" t="n"/>
      <c r="K161" s="828" t="n"/>
      <c r="L161" s="913" t="n"/>
      <c r="M161" s="828" t="n"/>
      <c r="N161" s="829" t="n"/>
      <c r="O161" s="826" t="n"/>
      <c r="P161" s="827" t="n"/>
      <c r="Q161" s="830" t="n"/>
      <c r="R161" s="832" t="n"/>
      <c r="S161" s="361" t="inlineStr">
        <is>
          <t>수술비</t>
        </is>
      </c>
      <c r="T161" s="957">
        <f>T98+C161+E161+G161+I161+K161+M161+O161</f>
        <v/>
      </c>
    </row>
    <row r="162" ht="14.1" customHeight="1" s="797">
      <c r="A162" s="832" t="n"/>
      <c r="B162" s="488" t="inlineStr">
        <is>
          <t>혈전용해치료</t>
        </is>
      </c>
      <c r="C162" s="838" t="n"/>
      <c r="D162" s="853" t="n"/>
      <c r="E162" s="838" t="n"/>
      <c r="F162" s="852" t="n"/>
      <c r="G162" s="838" t="n"/>
      <c r="H162" s="852" t="n"/>
      <c r="I162" s="838" t="n"/>
      <c r="J162" s="852" t="n"/>
      <c r="K162" s="838" t="n"/>
      <c r="L162" s="914" t="n"/>
      <c r="M162" s="838" t="n"/>
      <c r="N162" s="853" t="n"/>
      <c r="O162" s="836" t="n"/>
      <c r="P162" s="857" t="n"/>
      <c r="Q162" s="830" t="n"/>
      <c r="R162" s="832" t="n"/>
      <c r="S162" s="362" t="inlineStr">
        <is>
          <t>혈전용해치료</t>
        </is>
      </c>
      <c r="T162" s="959">
        <f>T99+C162+E162+G162+I162+K162+M162+O162</f>
        <v/>
      </c>
    </row>
    <row r="163" ht="14.1" customHeight="1" s="797" thickBot="1">
      <c r="A163" s="832" t="n"/>
      <c r="B163" s="489" t="inlineStr">
        <is>
          <t>혈전제거치료</t>
        </is>
      </c>
      <c r="C163" s="847" t="n"/>
      <c r="D163" s="848" t="n"/>
      <c r="E163" s="847" t="n"/>
      <c r="F163" s="885" t="n"/>
      <c r="G163" s="847" t="n"/>
      <c r="H163" s="885" t="n"/>
      <c r="I163" s="847" t="n"/>
      <c r="J163" s="885" t="n"/>
      <c r="K163" s="847" t="n"/>
      <c r="L163" s="891" t="n"/>
      <c r="M163" s="847" t="n"/>
      <c r="N163" s="848" t="n"/>
      <c r="O163" s="845" t="n"/>
      <c r="P163" s="887" t="n"/>
      <c r="Q163" s="830" t="n"/>
      <c r="R163" s="832" t="n"/>
      <c r="S163" s="363" t="inlineStr">
        <is>
          <t>중환자실치료</t>
        </is>
      </c>
      <c r="T163" s="963">
        <f>T100+C163+E163+G163+I163+K163+M163+O163</f>
        <v/>
      </c>
    </row>
    <row r="164" ht="14.1" customHeight="1" s="797">
      <c r="A164" s="892" t="inlineStr">
        <is>
          <t>후유장해</t>
        </is>
      </c>
      <c r="B164" s="464" t="inlineStr">
        <is>
          <t>질병 80% 이상</t>
        </is>
      </c>
      <c r="C164" s="828" t="n"/>
      <c r="D164" s="966" t="n"/>
      <c r="E164" s="828" t="n"/>
      <c r="F164" s="880" t="n"/>
      <c r="G164" s="828" t="n"/>
      <c r="H164" s="880" t="n"/>
      <c r="I164" s="828" t="n"/>
      <c r="J164" s="880" t="n"/>
      <c r="K164" s="828" t="n"/>
      <c r="L164" s="913" t="n"/>
      <c r="M164" s="828" t="n"/>
      <c r="N164" s="829" t="n"/>
      <c r="O164" s="826" t="n"/>
      <c r="P164" s="827" t="n"/>
      <c r="Q164" s="830" t="n"/>
      <c r="R164" s="892" t="inlineStr">
        <is>
          <t>후유장해</t>
        </is>
      </c>
      <c r="S164" s="364" t="inlineStr">
        <is>
          <t>질병 80% 이상</t>
        </is>
      </c>
      <c r="T164" s="957">
        <f>T101+C164+E164+G164+I164+K164+M164+O164</f>
        <v/>
      </c>
    </row>
    <row r="165" ht="14.1" customHeight="1" s="797">
      <c r="A165" s="832" t="n"/>
      <c r="B165" s="465" t="inlineStr">
        <is>
          <t>질병 3% ~80%</t>
        </is>
      </c>
      <c r="C165" s="838" t="n"/>
      <c r="D165" s="967" t="n"/>
      <c r="E165" s="838" t="n"/>
      <c r="F165" s="931" t="n"/>
      <c r="G165" s="838" t="n"/>
      <c r="H165" s="894" t="n"/>
      <c r="I165" s="838" t="n"/>
      <c r="J165" s="894" t="n"/>
      <c r="K165" s="838" t="n"/>
      <c r="L165" s="968" t="n"/>
      <c r="M165" s="838" t="n"/>
      <c r="N165" s="839" t="n"/>
      <c r="O165" s="836" t="n"/>
      <c r="P165" s="837" t="n"/>
      <c r="Q165" s="830" t="n"/>
      <c r="R165" s="832" t="n"/>
      <c r="S165" s="365" t="inlineStr">
        <is>
          <t>질병 3% ~80%</t>
        </is>
      </c>
      <c r="T165" s="959">
        <f>T102+C165+E165+G165+I165+K165+M165+O165</f>
        <v/>
      </c>
    </row>
    <row r="166" ht="14.1" customHeight="1" s="797">
      <c r="A166" s="832" t="n"/>
      <c r="B166" s="465" t="inlineStr">
        <is>
          <t>상해 80% 이상</t>
        </is>
      </c>
      <c r="C166" s="838" t="n"/>
      <c r="D166" s="902" t="n"/>
      <c r="E166" s="838" t="n"/>
      <c r="F166" s="902" t="n"/>
      <c r="G166" s="838" t="n"/>
      <c r="H166" s="839" t="n"/>
      <c r="I166" s="838" t="n"/>
      <c r="J166" s="839" t="n"/>
      <c r="K166" s="838" t="n"/>
      <c r="L166" s="968" t="n"/>
      <c r="M166" s="838" t="n"/>
      <c r="N166" s="839" t="n"/>
      <c r="O166" s="836" t="n"/>
      <c r="P166" s="837" t="n"/>
      <c r="Q166" s="830" t="n"/>
      <c r="R166" s="832" t="n"/>
      <c r="S166" s="365" t="inlineStr">
        <is>
          <t>상해 80% 이상</t>
        </is>
      </c>
      <c r="T166" s="959">
        <f>T103+C166+E166+G166+I166+K166+M166+O166</f>
        <v/>
      </c>
    </row>
    <row r="167" ht="14.1" customHeight="1" s="797" thickBot="1">
      <c r="A167" s="841" t="n"/>
      <c r="B167" s="466" t="inlineStr">
        <is>
          <t>상해 3% ~ 80%</t>
        </is>
      </c>
      <c r="C167" s="847" t="n"/>
      <c r="D167" s="899" t="n"/>
      <c r="E167" s="847" t="n"/>
      <c r="F167" s="899" t="n"/>
      <c r="G167" s="838" t="n"/>
      <c r="H167" s="848" t="n"/>
      <c r="I167" s="838" t="n"/>
      <c r="J167" s="848" t="n"/>
      <c r="K167" s="838" t="n"/>
      <c r="L167" s="891" t="n"/>
      <c r="M167" s="847" t="n"/>
      <c r="N167" s="848" t="n"/>
      <c r="O167" s="845" t="n"/>
      <c r="P167" s="846" t="n"/>
      <c r="Q167" s="830" t="n"/>
      <c r="R167" s="841" t="n"/>
      <c r="S167" s="366" t="inlineStr">
        <is>
          <t>상해 3% ~ 80%</t>
        </is>
      </c>
      <c r="T167" s="963">
        <f>T104+C167+E167+G167+I167+K167+M167+O167</f>
        <v/>
      </c>
    </row>
    <row r="168" ht="14.1" customHeight="1" s="797">
      <c r="A168" s="897" t="inlineStr">
        <is>
          <t>사망</t>
        </is>
      </c>
      <c r="B168" s="467" t="inlineStr">
        <is>
          <t>일반</t>
        </is>
      </c>
      <c r="C168" s="856" t="n"/>
      <c r="D168" s="939" t="n"/>
      <c r="E168" s="828" t="n"/>
      <c r="F168" s="880" t="n"/>
      <c r="G168" s="828" t="n"/>
      <c r="H168" s="829" t="n"/>
      <c r="I168" s="828" t="n"/>
      <c r="J168" s="829" t="n"/>
      <c r="K168" s="828" t="n"/>
      <c r="L168" s="913" t="n"/>
      <c r="M168" s="828" t="n"/>
      <c r="N168" s="829" t="n"/>
      <c r="O168" s="826" t="n"/>
      <c r="P168" s="827" t="n"/>
      <c r="Q168" s="830" t="n"/>
      <c r="R168" s="897" t="inlineStr">
        <is>
          <t>사망</t>
        </is>
      </c>
      <c r="S168" s="367" t="inlineStr">
        <is>
          <t>일반</t>
        </is>
      </c>
      <c r="T168" s="957">
        <f>T105+C168+E168+G168+I168+K168+M168+O168</f>
        <v/>
      </c>
    </row>
    <row r="169" ht="14.1" customHeight="1" s="797">
      <c r="A169" s="832" t="n"/>
      <c r="B169" s="468" t="inlineStr">
        <is>
          <t>질병</t>
        </is>
      </c>
      <c r="C169" s="838" t="n"/>
      <c r="D169" s="931" t="n"/>
      <c r="E169" s="838" t="n"/>
      <c r="F169" s="894" t="n"/>
      <c r="G169" s="838" t="n"/>
      <c r="H169" s="839" t="n"/>
      <c r="I169" s="838" t="n"/>
      <c r="J169" s="839" t="n"/>
      <c r="K169" s="838" t="n"/>
      <c r="L169" s="968" t="n"/>
      <c r="M169" s="838" t="n"/>
      <c r="N169" s="839" t="n"/>
      <c r="O169" s="836" t="n"/>
      <c r="P169" s="837" t="n"/>
      <c r="Q169" s="830" t="n"/>
      <c r="R169" s="832" t="n"/>
      <c r="S169" s="368" t="inlineStr">
        <is>
          <t>질병</t>
        </is>
      </c>
      <c r="T169" s="959">
        <f>T106+C169+E169+G169+I169+K169+M169+O169</f>
        <v/>
      </c>
    </row>
    <row r="170" ht="14.1" customHeight="1" s="797" thickBot="1">
      <c r="A170" s="841" t="n"/>
      <c r="B170" s="469" t="inlineStr">
        <is>
          <t>상해</t>
        </is>
      </c>
      <c r="C170" s="847" t="n"/>
      <c r="D170" s="900" t="n"/>
      <c r="E170" s="847" t="n"/>
      <c r="F170" s="885" t="n"/>
      <c r="G170" s="847" t="n"/>
      <c r="H170" s="848" t="n"/>
      <c r="I170" s="847" t="n"/>
      <c r="J170" s="848" t="n"/>
      <c r="K170" s="847" t="n"/>
      <c r="L170" s="891" t="n"/>
      <c r="M170" s="847" t="n"/>
      <c r="N170" s="848" t="n"/>
      <c r="O170" s="901" t="n"/>
      <c r="P170" s="857" t="n"/>
      <c r="Q170" s="830" t="n"/>
      <c r="R170" s="841" t="n"/>
      <c r="S170" s="369" t="inlineStr">
        <is>
          <t>상해</t>
        </is>
      </c>
      <c r="T170" s="963">
        <f>T107+C170+E170+G170+I170+K170+M170+O170</f>
        <v/>
      </c>
    </row>
    <row r="171" ht="14.1" customHeight="1" s="797">
      <c r="A171" s="617" t="inlineStr">
        <is>
          <t>수술비</t>
        </is>
      </c>
      <c r="B171" s="470" t="inlineStr">
        <is>
          <t>질병</t>
        </is>
      </c>
      <c r="C171" s="828" t="n"/>
      <c r="D171" s="908" t="n"/>
      <c r="E171" s="828" t="n"/>
      <c r="F171" s="852" t="n"/>
      <c r="G171" s="828" t="n"/>
      <c r="H171" s="853" t="n"/>
      <c r="I171" s="828" t="n"/>
      <c r="J171" s="853" t="n"/>
      <c r="K171" s="828" t="n"/>
      <c r="L171" s="913" t="n"/>
      <c r="M171" s="856" t="n"/>
      <c r="N171" s="853" t="n"/>
      <c r="O171" s="826" t="n"/>
      <c r="P171" s="827" t="n"/>
      <c r="Q171" s="830" t="n"/>
      <c r="R171" s="617" t="inlineStr">
        <is>
          <t>수술비</t>
        </is>
      </c>
      <c r="S171" s="480" t="inlineStr">
        <is>
          <t>질병</t>
        </is>
      </c>
      <c r="T171" s="957">
        <f>T108+C171+E171+G171+I171+K171+M171+O171</f>
        <v/>
      </c>
    </row>
    <row r="172" ht="14.1" customHeight="1" s="797">
      <c r="A172" s="832" t="n"/>
      <c r="B172" s="470" t="inlineStr">
        <is>
          <t>상해</t>
        </is>
      </c>
      <c r="C172" s="838" t="n"/>
      <c r="D172" s="902" t="n"/>
      <c r="E172" s="838" t="n"/>
      <c r="F172" s="894" t="n"/>
      <c r="G172" s="838" t="n"/>
      <c r="H172" s="839" t="n"/>
      <c r="I172" s="838" t="n"/>
      <c r="J172" s="839" t="n"/>
      <c r="K172" s="838" t="n"/>
      <c r="L172" s="968" t="n"/>
      <c r="M172" s="838" t="n"/>
      <c r="N172" s="853" t="n"/>
      <c r="O172" s="836" t="n"/>
      <c r="P172" s="837" t="n"/>
      <c r="Q172" s="830" t="n"/>
      <c r="R172" s="832" t="n"/>
      <c r="S172" s="480" t="inlineStr">
        <is>
          <t>상해</t>
        </is>
      </c>
      <c r="T172" s="959">
        <f>T109+C172+E172+G172+I172+K172+M172+O172</f>
        <v/>
      </c>
    </row>
    <row r="173" ht="14.1" customHeight="1" s="797">
      <c r="A173" s="832" t="n"/>
      <c r="B173" s="470" t="inlineStr">
        <is>
          <t>1-5종</t>
        </is>
      </c>
      <c r="C173" s="838" t="n"/>
      <c r="D173" s="902" t="n"/>
      <c r="E173" s="838" t="n"/>
      <c r="F173" s="852" t="n"/>
      <c r="G173" s="838" t="n"/>
      <c r="H173" s="853" t="n"/>
      <c r="I173" s="838" t="n"/>
      <c r="J173" s="853" t="n"/>
      <c r="K173" s="838" t="n"/>
      <c r="L173" s="914" t="n"/>
      <c r="M173" s="838" t="n"/>
      <c r="N173" s="853" t="n"/>
      <c r="O173" s="836" t="n"/>
      <c r="P173" s="837" t="n"/>
      <c r="Q173" s="830" t="n"/>
      <c r="R173" s="832" t="n"/>
      <c r="S173" s="480" t="inlineStr">
        <is>
          <t>1-5종</t>
        </is>
      </c>
      <c r="T173" s="959">
        <f>T110+C173+E173+G173+I173+K173+M173+O173</f>
        <v/>
      </c>
    </row>
    <row r="174" ht="14.1" customHeight="1" s="797" thickBot="1">
      <c r="A174" s="832" t="n"/>
      <c r="B174" s="471" t="inlineStr">
        <is>
          <t>N대질병</t>
        </is>
      </c>
      <c r="C174" s="862" t="n"/>
      <c r="D174" s="899" t="n"/>
      <c r="E174" s="862" t="n"/>
      <c r="F174" s="863" t="n"/>
      <c r="G174" s="862" t="n"/>
      <c r="H174" s="860" t="n"/>
      <c r="I174" s="862" t="n"/>
      <c r="J174" s="860" t="n"/>
      <c r="K174" s="862" t="n"/>
      <c r="L174" s="969" t="n"/>
      <c r="M174" s="862" t="n"/>
      <c r="N174" s="905" t="n"/>
      <c r="O174" s="907" t="n"/>
      <c r="P174" s="887" t="n"/>
      <c r="Q174" s="830" t="n"/>
      <c r="R174" s="832" t="n"/>
      <c r="S174" s="513" t="inlineStr">
        <is>
          <t>N대질병</t>
        </is>
      </c>
      <c r="T174" s="963">
        <f>T111+C174+E174+G174+I174+K174+M174+O174</f>
        <v/>
      </c>
    </row>
    <row r="175" ht="14.1" customHeight="1" s="797">
      <c r="A175" s="603" t="inlineStr">
        <is>
          <t>상해진단</t>
        </is>
      </c>
      <c r="B175" s="472" t="inlineStr">
        <is>
          <t>골절</t>
        </is>
      </c>
      <c r="C175" s="828" t="n"/>
      <c r="D175" s="908" t="n"/>
      <c r="E175" s="828" t="n"/>
      <c r="F175" s="880" t="n"/>
      <c r="G175" s="828" t="n"/>
      <c r="H175" s="829" t="n"/>
      <c r="I175" s="828" t="n"/>
      <c r="J175" s="829" t="n"/>
      <c r="K175" s="828" t="n"/>
      <c r="L175" s="913" t="n"/>
      <c r="M175" s="828" t="n"/>
      <c r="N175" s="829" t="n"/>
      <c r="O175" s="826" t="n"/>
      <c r="P175" s="827" t="n"/>
      <c r="Q175" s="830" t="n"/>
      <c r="R175" s="603" t="inlineStr">
        <is>
          <t>상해진단</t>
        </is>
      </c>
      <c r="S175" s="483" t="inlineStr">
        <is>
          <t>골절</t>
        </is>
      </c>
      <c r="T175" s="957">
        <f>T112+C175+E175+G175+I175+K175+M175+O175</f>
        <v/>
      </c>
    </row>
    <row r="176" ht="14.1" customHeight="1" s="797" thickBot="1">
      <c r="A176" s="832" t="n"/>
      <c r="B176" s="482" t="inlineStr">
        <is>
          <t>화상</t>
        </is>
      </c>
      <c r="C176" s="909" t="n"/>
      <c r="D176" s="970" t="n"/>
      <c r="E176" s="909" t="n"/>
      <c r="F176" s="885" t="n"/>
      <c r="G176" s="909" t="n"/>
      <c r="H176" s="848" t="n"/>
      <c r="I176" s="909" t="n"/>
      <c r="J176" s="848" t="n"/>
      <c r="K176" s="909" t="n"/>
      <c r="L176" s="916" t="n"/>
      <c r="M176" s="909" t="n"/>
      <c r="N176" s="877" t="n"/>
      <c r="O176" s="911" t="n"/>
      <c r="P176" s="846" t="n"/>
      <c r="Q176" s="830" t="n"/>
      <c r="R176" s="832" t="n"/>
      <c r="S176" s="503" t="inlineStr">
        <is>
          <t>화상</t>
        </is>
      </c>
      <c r="T176" s="963">
        <f>T113+C176+E176+G176+I176+K176+M176+O176</f>
        <v/>
      </c>
    </row>
    <row r="177" ht="14.1" customHeight="1" s="797">
      <c r="A177" s="605" t="inlineStr">
        <is>
          <t>입원비</t>
        </is>
      </c>
      <c r="B177" s="484" t="inlineStr">
        <is>
          <t>질병</t>
        </is>
      </c>
      <c r="C177" s="859" t="n"/>
      <c r="D177" s="971" t="n"/>
      <c r="E177" s="859" t="n"/>
      <c r="F177" s="863" t="n"/>
      <c r="G177" s="859" t="n"/>
      <c r="H177" s="860" t="n"/>
      <c r="I177" s="859" t="n"/>
      <c r="J177" s="860" t="n"/>
      <c r="K177" s="859" t="n"/>
      <c r="L177" s="915" t="n"/>
      <c r="M177" s="859" t="n"/>
      <c r="N177" s="860" t="n"/>
      <c r="O177" s="883" t="n"/>
      <c r="P177" s="864" t="n"/>
      <c r="Q177" s="830" t="n"/>
      <c r="R177" s="605" t="inlineStr">
        <is>
          <t>입원비</t>
        </is>
      </c>
      <c r="S177" s="486" t="inlineStr">
        <is>
          <t>질병</t>
        </is>
      </c>
      <c r="T177" s="957">
        <f>T114+C177+E177+G177+I177+K177+M177+O177</f>
        <v/>
      </c>
    </row>
    <row r="178" ht="14.1" customHeight="1" s="797" thickBot="1">
      <c r="A178" s="912" t="n"/>
      <c r="B178" s="485" t="inlineStr">
        <is>
          <t>상해</t>
        </is>
      </c>
      <c r="C178" s="859" t="n"/>
      <c r="D178" s="971" t="n"/>
      <c r="E178" s="859" t="n"/>
      <c r="F178" s="863" t="n"/>
      <c r="G178" s="859" t="n"/>
      <c r="H178" s="860" t="n"/>
      <c r="I178" s="859" t="n"/>
      <c r="J178" s="860" t="n"/>
      <c r="K178" s="859" t="n"/>
      <c r="L178" s="915" t="n"/>
      <c r="M178" s="859" t="n"/>
      <c r="N178" s="860" t="n"/>
      <c r="O178" s="883" t="n"/>
      <c r="P178" s="864" t="n"/>
      <c r="Q178" s="830" t="n"/>
      <c r="R178" s="912" t="n"/>
      <c r="S178" s="559" t="inlineStr">
        <is>
          <t>상해</t>
        </is>
      </c>
      <c r="T178" s="963">
        <f>T115+C178+E178+G178+I178+K178+M178+O178</f>
        <v/>
      </c>
    </row>
    <row r="179" ht="14.1" customHeight="1" s="797">
      <c r="A179" s="609" t="inlineStr">
        <is>
          <t>간병인</t>
        </is>
      </c>
      <c r="B179" s="473" t="inlineStr">
        <is>
          <t>병원사용</t>
        </is>
      </c>
      <c r="C179" s="828" t="n"/>
      <c r="D179" s="966" t="n"/>
      <c r="E179" s="828" t="n"/>
      <c r="F179" s="880" t="n"/>
      <c r="G179" s="828" t="n"/>
      <c r="H179" s="913" t="n"/>
      <c r="I179" s="828" t="n"/>
      <c r="J179" s="829" t="n"/>
      <c r="K179" s="828" t="n"/>
      <c r="L179" s="913" t="n"/>
      <c r="M179" s="828" t="n"/>
      <c r="N179" s="829" t="n"/>
      <c r="O179" s="826" t="n"/>
      <c r="P179" s="827" t="n"/>
      <c r="Q179" s="830" t="n"/>
      <c r="R179" s="973" t="inlineStr">
        <is>
          <t>간병인</t>
        </is>
      </c>
      <c r="S179" s="562" t="inlineStr">
        <is>
          <t>병원사용</t>
        </is>
      </c>
      <c r="T179" s="957">
        <f>T116+C179+E179+G179+I179+K179+M179+O179</f>
        <v/>
      </c>
    </row>
    <row r="180" ht="14.1" customHeight="1" s="797">
      <c r="A180" s="832" t="n"/>
      <c r="B180" s="474" t="inlineStr">
        <is>
          <t>요양병원사용</t>
        </is>
      </c>
      <c r="C180" s="859" t="n"/>
      <c r="D180" s="971" t="n"/>
      <c r="E180" s="859" t="n"/>
      <c r="F180" s="852" t="n"/>
      <c r="G180" s="859" t="n"/>
      <c r="H180" s="914" t="n"/>
      <c r="I180" s="859" t="n"/>
      <c r="J180" s="853" t="n"/>
      <c r="K180" s="859" t="n"/>
      <c r="L180" s="915" t="n"/>
      <c r="M180" s="859" t="n"/>
      <c r="N180" s="860" t="n"/>
      <c r="O180" s="883" t="n"/>
      <c r="P180" s="864" t="n"/>
      <c r="Q180" s="830" t="n"/>
      <c r="R180" s="832" t="n"/>
      <c r="S180" s="504" t="inlineStr">
        <is>
          <t>요양병원사용</t>
        </is>
      </c>
      <c r="T180" s="959">
        <f>T117+C180+E180+G180+I180+K180+M180+O180</f>
        <v/>
      </c>
    </row>
    <row r="181" ht="14.1" customHeight="1" s="797" thickBot="1">
      <c r="A181" s="841" t="n"/>
      <c r="B181" s="475" t="inlineStr">
        <is>
          <t>간호간병통합사용</t>
        </is>
      </c>
      <c r="C181" s="847" t="n"/>
      <c r="D181" s="974" t="n"/>
      <c r="E181" s="847" t="n"/>
      <c r="F181" s="852" t="n"/>
      <c r="G181" s="847" t="n"/>
      <c r="H181" s="914" t="n"/>
      <c r="I181" s="847" t="n"/>
      <c r="J181" s="853" t="n"/>
      <c r="K181" s="847" t="n"/>
      <c r="L181" s="891" t="n"/>
      <c r="M181" s="847" t="n"/>
      <c r="N181" s="848" t="n"/>
      <c r="O181" s="845" t="n"/>
      <c r="P181" s="846" t="n"/>
      <c r="Q181" s="830" t="n"/>
      <c r="R181" s="841" t="n"/>
      <c r="S181" s="505" t="inlineStr">
        <is>
          <t>간호간병통합사용</t>
        </is>
      </c>
      <c r="T181" s="963">
        <f>T118+C181+E181+G181+I181+K181+M181+O181</f>
        <v/>
      </c>
    </row>
    <row r="182" ht="14.1" customHeight="1" s="797">
      <c r="A182" s="917" t="inlineStr">
        <is>
          <t>운전자</t>
        </is>
      </c>
      <c r="B182" s="476" t="inlineStr">
        <is>
          <t>벌금</t>
        </is>
      </c>
      <c r="C182" s="828" t="n"/>
      <c r="D182" s="975" t="n"/>
      <c r="E182" s="826" t="n"/>
      <c r="F182" s="880" t="n"/>
      <c r="G182" s="828" t="n"/>
      <c r="H182" s="913" t="n"/>
      <c r="I182" s="828" t="n"/>
      <c r="J182" s="829" t="n"/>
      <c r="K182" s="828" t="n"/>
      <c r="L182" s="913" t="n"/>
      <c r="M182" s="828" t="n"/>
      <c r="N182" s="829" t="n"/>
      <c r="O182" s="836" t="n"/>
      <c r="P182" s="827" t="n"/>
      <c r="Q182" s="830" t="n"/>
      <c r="R182" s="917" t="inlineStr">
        <is>
          <t>운전자</t>
        </is>
      </c>
      <c r="S182" s="377" t="inlineStr">
        <is>
          <t>벌금</t>
        </is>
      </c>
      <c r="T182" s="957">
        <f>T119+C182+E182+G182+I182+K182+M182+O182</f>
        <v/>
      </c>
    </row>
    <row r="183" ht="14.1" customHeight="1" s="797">
      <c r="A183" s="832" t="n"/>
      <c r="B183" s="476" t="inlineStr">
        <is>
          <t>변호사선임</t>
        </is>
      </c>
      <c r="C183" s="838" t="n"/>
      <c r="D183" s="976" t="n"/>
      <c r="E183" s="836" t="n"/>
      <c r="F183" s="894" t="n"/>
      <c r="G183" s="838" t="n"/>
      <c r="H183" s="968" t="n"/>
      <c r="I183" s="838" t="n"/>
      <c r="J183" s="443" t="n"/>
      <c r="K183" s="838" t="n"/>
      <c r="L183" s="968" t="n"/>
      <c r="M183" s="838" t="n"/>
      <c r="N183" s="839" t="n"/>
      <c r="O183" s="836" t="n"/>
      <c r="P183" s="837" t="n"/>
      <c r="Q183" s="830" t="n"/>
      <c r="R183" s="832" t="n"/>
      <c r="S183" s="377" t="inlineStr">
        <is>
          <t>변호사선임</t>
        </is>
      </c>
      <c r="T183" s="959">
        <f>T120+C183+E183+G183+I183+K183+M183+O183</f>
        <v/>
      </c>
    </row>
    <row r="184" ht="14.1" customHeight="1" s="797" thickBot="1">
      <c r="A184" s="841" t="n"/>
      <c r="B184" s="477" t="inlineStr">
        <is>
          <t>교통사고처리지원</t>
        </is>
      </c>
      <c r="C184" s="856" t="n"/>
      <c r="D184" s="967" t="n"/>
      <c r="E184" s="901" t="n"/>
      <c r="F184" s="852" t="n"/>
      <c r="G184" s="856" t="n"/>
      <c r="H184" s="914" t="n"/>
      <c r="I184" s="856" t="n"/>
      <c r="J184" s="839" t="n"/>
      <c r="K184" s="856" t="n"/>
      <c r="L184" s="914" t="n"/>
      <c r="M184" s="856" t="n"/>
      <c r="N184" s="853" t="n"/>
      <c r="O184" s="836" t="n"/>
      <c r="P184" s="837" t="n"/>
      <c r="Q184" s="830" t="n"/>
      <c r="R184" s="841" t="n"/>
      <c r="S184" s="378" t="inlineStr">
        <is>
          <t>교통사고처리지원</t>
        </is>
      </c>
      <c r="T184" s="963">
        <f>T121+C184+E184+G184+I184+K184+M184+O184</f>
        <v/>
      </c>
    </row>
    <row r="185" ht="14.1" customHeight="1" s="797" thickBot="1">
      <c r="A185" s="585" t="inlineStr">
        <is>
          <t>일상생활배상책임</t>
        </is>
      </c>
      <c r="B185" s="919" t="n"/>
      <c r="C185" s="920" t="n"/>
      <c r="D185" s="977" t="n"/>
      <c r="E185" s="920" t="n"/>
      <c r="F185" s="922" t="n"/>
      <c r="G185" s="920" t="n"/>
      <c r="H185" s="978" t="n"/>
      <c r="I185" s="920" t="n"/>
      <c r="J185" s="923" t="n"/>
      <c r="K185" s="920" t="n"/>
      <c r="L185" s="978" t="n"/>
      <c r="M185" s="920" t="n"/>
      <c r="N185" s="923" t="n"/>
      <c r="O185" s="925" t="n"/>
      <c r="P185" s="926" t="n"/>
      <c r="Q185" s="830" t="n"/>
      <c r="R185" s="585" t="inlineStr">
        <is>
          <t>일상생활배상책임</t>
        </is>
      </c>
      <c r="S185" s="919" t="n"/>
      <c r="T185" s="963">
        <f>T122+C185+E185+G185+I185+K185+M185+O185</f>
        <v/>
      </c>
    </row>
    <row r="186" ht="14.1" customHeight="1" s="797">
      <c r="A186" s="928" t="inlineStr">
        <is>
          <t>기타</t>
        </is>
      </c>
      <c r="B186" s="929" t="n"/>
      <c r="C186" s="930" t="n"/>
      <c r="D186" s="829" t="n"/>
      <c r="E186" s="930" t="n"/>
      <c r="F186" s="839" t="n"/>
      <c r="G186" s="930" t="n"/>
      <c r="H186" s="913" t="n"/>
      <c r="I186" s="930" t="n"/>
      <c r="J186" s="979" t="n"/>
      <c r="K186" s="938" t="n"/>
      <c r="L186" s="913" t="n"/>
      <c r="M186" s="930" t="n"/>
      <c r="N186" s="914" t="n"/>
      <c r="O186" s="930" t="n"/>
      <c r="P186" s="827" t="n"/>
      <c r="Q186" s="830" t="n"/>
      <c r="R186" s="935" t="inlineStr">
        <is>
          <t>기타</t>
        </is>
      </c>
      <c r="S186" s="980" t="n"/>
      <c r="T186" s="937" t="n"/>
    </row>
    <row r="187" ht="14.1" customHeight="1" s="797">
      <c r="A187" s="804" t="n"/>
      <c r="C187" s="938" t="n"/>
      <c r="D187" s="839" t="n"/>
      <c r="E187" s="938" t="n"/>
      <c r="F187" s="853" t="n"/>
      <c r="G187" s="938" t="n"/>
      <c r="H187" s="968" t="n"/>
      <c r="I187" s="938" t="n"/>
      <c r="J187" s="839" t="n"/>
      <c r="K187" s="454" t="n"/>
      <c r="L187" s="968" t="n"/>
      <c r="M187" s="938" t="n"/>
      <c r="N187" s="968" t="n"/>
      <c r="O187" s="938" t="n"/>
      <c r="P187" s="837" t="n"/>
      <c r="Q187" s="830" t="n"/>
      <c r="R187" s="804" t="n"/>
      <c r="S187" s="804" t="n"/>
      <c r="T187" s="805" t="n"/>
    </row>
    <row r="188" ht="14.1" customHeight="1" s="797">
      <c r="A188" s="804" t="n"/>
      <c r="C188" s="938" t="n"/>
      <c r="D188" s="839" t="n"/>
      <c r="E188" s="938" t="n"/>
      <c r="F188" s="853" t="n"/>
      <c r="G188" s="938" t="n"/>
      <c r="H188" s="968" t="n"/>
      <c r="I188" s="938" t="n"/>
      <c r="J188" s="853" t="n"/>
      <c r="K188" s="938" t="n"/>
      <c r="L188" s="839" t="n"/>
      <c r="M188" s="938" t="n"/>
      <c r="N188" s="914" t="n"/>
      <c r="O188" s="938" t="n"/>
      <c r="P188" s="837" t="n"/>
      <c r="Q188" s="830" t="n"/>
      <c r="R188" s="804" t="n"/>
      <c r="S188" s="804" t="n"/>
      <c r="T188" s="805" t="n"/>
    </row>
    <row r="189" ht="14.1" customHeight="1" s="797" thickBot="1">
      <c r="A189" s="942" t="n"/>
      <c r="B189" s="943" t="n"/>
      <c r="C189" s="944" t="n"/>
      <c r="D189" s="848" t="n"/>
      <c r="E189" s="944" t="n"/>
      <c r="F189" s="981" t="n"/>
      <c r="G189" s="944" t="n"/>
      <c r="H189" s="891" t="n"/>
      <c r="I189" s="944" t="n"/>
      <c r="J189" s="885" t="n"/>
      <c r="K189" s="944" t="n"/>
      <c r="L189" s="885" t="n"/>
      <c r="M189" s="944" t="n"/>
      <c r="N189" s="848" t="n"/>
      <c r="O189" s="944" t="n"/>
      <c r="P189" s="846" t="n"/>
      <c r="Q189" s="830" t="n"/>
      <c r="R189" s="942" t="n"/>
      <c r="S189" s="942" t="n"/>
      <c r="T189" s="946" t="n"/>
    </row>
    <row r="190" ht="21" customHeight="1" s="797">
      <c r="A190" s="947">
        <f>A127</f>
        <v/>
      </c>
      <c r="B190" s="796" t="n"/>
      <c r="C190" s="649" t="n"/>
      <c r="D190" s="794" t="n"/>
      <c r="E190" s="649" t="n"/>
      <c r="F190" s="794" t="n"/>
      <c r="G190" s="649" t="n"/>
      <c r="H190" s="794" t="n"/>
      <c r="I190" s="649" t="n"/>
      <c r="J190" s="794" t="n"/>
      <c r="K190" s="649" t="n"/>
      <c r="L190" s="794" t="n"/>
      <c r="M190" s="649" t="n"/>
      <c r="N190" s="794" t="n"/>
      <c r="O190" s="649" t="n"/>
      <c r="P190" s="794" t="n"/>
      <c r="Q190" s="138" t="n"/>
      <c r="R190" s="795" t="inlineStr">
        <is>
          <t>평가 기준일</t>
        </is>
      </c>
      <c r="S190" s="796" t="n"/>
      <c r="T190" s="137">
        <f>T127</f>
        <v/>
      </c>
    </row>
    <row r="191" ht="14.1" customHeight="1" s="797">
      <c r="A191" s="647" t="inlineStr">
        <is>
          <t>상품명</t>
        </is>
      </c>
      <c r="B191" s="798" t="n"/>
      <c r="C191" s="645" t="n"/>
      <c r="D191" s="799" t="n"/>
      <c r="E191" s="645" t="n"/>
      <c r="F191" s="799" t="n"/>
      <c r="G191" s="645" t="n"/>
      <c r="H191" s="799" t="n"/>
      <c r="I191" s="645" t="n"/>
      <c r="J191" s="799" t="n"/>
      <c r="K191" s="645" t="n"/>
      <c r="L191" s="799" t="n"/>
      <c r="M191" s="645" t="n"/>
      <c r="N191" s="799" t="n"/>
      <c r="O191" s="645" t="n"/>
      <c r="P191" s="799" t="n"/>
      <c r="Q191" s="25" t="n"/>
      <c r="R191" s="948" t="n"/>
      <c r="S191" s="801" t="n"/>
      <c r="T191" s="802" t="n"/>
    </row>
    <row r="192" ht="14.1" customHeight="1" s="797">
      <c r="A192" s="647" t="inlineStr">
        <is>
          <t>계약자 / 피보험자</t>
        </is>
      </c>
      <c r="B192" s="798" t="n"/>
      <c r="C192" s="645" t="n"/>
      <c r="D192" s="799" t="n"/>
      <c r="E192" s="645" t="n"/>
      <c r="F192" s="799" t="n"/>
      <c r="G192" s="645" t="n"/>
      <c r="H192" s="799" t="n"/>
      <c r="I192" s="645" t="n"/>
      <c r="J192" s="799" t="n"/>
      <c r="K192" s="645" t="n"/>
      <c r="L192" s="799" t="n"/>
      <c r="M192" s="645" t="n"/>
      <c r="N192" s="799" t="n"/>
      <c r="O192" s="646" t="n"/>
      <c r="P192" s="799" t="n"/>
      <c r="Q192" s="25" t="n"/>
      <c r="R192" s="804" t="n"/>
      <c r="T192" s="805" t="n"/>
    </row>
    <row r="193" ht="14.1" customHeight="1" s="797">
      <c r="A193" s="647" t="inlineStr">
        <is>
          <t>계약일자</t>
        </is>
      </c>
      <c r="B193" s="798" t="n"/>
      <c r="C193" s="646" t="n"/>
      <c r="D193" s="799" t="n"/>
      <c r="E193" s="646" t="n"/>
      <c r="F193" s="799" t="n"/>
      <c r="G193" s="646" t="n"/>
      <c r="H193" s="799" t="n"/>
      <c r="I193" s="646" t="n"/>
      <c r="J193" s="799" t="n"/>
      <c r="K193" s="646" t="n"/>
      <c r="L193" s="799" t="n"/>
      <c r="M193" s="646" t="n"/>
      <c r="N193" s="799" t="n"/>
      <c r="O193" s="646" t="n"/>
      <c r="P193" s="799" t="n"/>
      <c r="Q193" s="25" t="n"/>
      <c r="R193" s="804" t="n"/>
      <c r="T193" s="805" t="n"/>
    </row>
    <row r="194" ht="14.1" customHeight="1" s="797">
      <c r="A194" s="647" t="inlineStr">
        <is>
          <t>납입기간 / 기납입기간</t>
        </is>
      </c>
      <c r="B194" s="798" t="n"/>
      <c r="C194" s="806" t="n"/>
      <c r="D194" s="807" t="n"/>
      <c r="E194" s="806" t="n"/>
      <c r="F194" s="807">
        <f>IF(DATEDIF(E193,$T$1,"m")&lt;E194*12,DATEDIF(E193,$T$1,"m"),E194*12)</f>
        <v/>
      </c>
      <c r="G194" s="806" t="n"/>
      <c r="H194" s="807">
        <f>IF(DATEDIF(G193,$T$1,"m")&lt;G194*12,DATEDIF(G193,$T$1,"m"),G194*12)</f>
        <v/>
      </c>
      <c r="I194" s="806" t="n"/>
      <c r="J194" s="807">
        <f>IF(DATEDIF(I193,$T$1,"m")&lt;I194*12,DATEDIF(I193,$T$1,"m"),I194*12)</f>
        <v/>
      </c>
      <c r="K194" s="806" t="n"/>
      <c r="L194" s="807">
        <f>IF(DATEDIF(K193,$T$1,"m")&lt;K194*12,DATEDIF(K193,$T$1,"m"),K194*12)</f>
        <v/>
      </c>
      <c r="M194" s="806" t="n"/>
      <c r="N194" s="949">
        <f>IF(DATEDIF(M193,$T$1,"m")&lt;M194*12,DATEDIF(M193,$T$1,"m"),M194*12)</f>
        <v/>
      </c>
      <c r="O194" s="806" t="n"/>
      <c r="P194" s="807">
        <f>IF(DATEDIF(O193,$T$1,"m")&lt;O194*12,DATEDIF(O193,$T$1,"m"),O194*12)</f>
        <v/>
      </c>
      <c r="Q194" s="25" t="n"/>
      <c r="R194" s="804" t="n"/>
      <c r="T194" s="805" t="n"/>
    </row>
    <row r="195" ht="14.1" customHeight="1" s="797">
      <c r="A195" s="647" t="inlineStr">
        <is>
          <t>보장기간</t>
        </is>
      </c>
      <c r="B195" s="798" t="n"/>
      <c r="C195" s="645" t="n"/>
      <c r="D195" s="799" t="n"/>
      <c r="E195" s="645" t="n"/>
      <c r="F195" s="799" t="n"/>
      <c r="G195" s="645" t="n"/>
      <c r="H195" s="799" t="n"/>
      <c r="I195" s="645" t="n"/>
      <c r="J195" s="799" t="n"/>
      <c r="K195" s="645" t="n"/>
      <c r="L195" s="799" t="n"/>
      <c r="M195" s="645" t="n"/>
      <c r="N195" s="799" t="n"/>
      <c r="O195" s="645" t="n"/>
      <c r="P195" s="799" t="n"/>
      <c r="Q195" s="25" t="n"/>
      <c r="R195" s="808" t="n"/>
      <c r="S195" s="809" t="n"/>
      <c r="T195" s="810" t="n"/>
    </row>
    <row r="196" ht="14.1" customHeight="1" s="797">
      <c r="A196" s="632" t="inlineStr">
        <is>
          <t>비고 / 갱신종류</t>
        </is>
      </c>
      <c r="B196" s="811" t="n"/>
      <c r="C196" s="642" t="n"/>
      <c r="D196" s="799" t="n"/>
      <c r="E196" s="642" t="n"/>
      <c r="F196" s="799" t="n"/>
      <c r="G196" s="642" t="n"/>
      <c r="H196" s="799" t="n"/>
      <c r="I196" s="642" t="n"/>
      <c r="J196" s="799" t="n"/>
      <c r="K196" s="642" t="n"/>
      <c r="L196" s="799" t="n"/>
      <c r="M196" s="642" t="n"/>
      <c r="N196" s="799" t="n"/>
      <c r="O196" s="642" t="n"/>
      <c r="P196" s="799" t="n"/>
      <c r="Q196" s="25" t="n"/>
      <c r="R196" s="950" t="n"/>
      <c r="S196" s="798" t="n"/>
      <c r="T196" s="27" t="inlineStr">
        <is>
          <t>총 보장 (원)</t>
        </is>
      </c>
    </row>
    <row r="197" ht="14.1" customHeight="1" s="797">
      <c r="A197" s="639" t="inlineStr">
        <is>
          <t>월 보험료</t>
        </is>
      </c>
      <c r="B197" s="798" t="n"/>
      <c r="C197" s="813" t="n"/>
      <c r="D197" s="799" t="n"/>
      <c r="E197" s="813" t="n"/>
      <c r="F197" s="799" t="n"/>
      <c r="G197" s="813" t="n"/>
      <c r="H197" s="799" t="n"/>
      <c r="I197" s="813" t="n"/>
      <c r="J197" s="799" t="n"/>
      <c r="K197" s="813" t="n"/>
      <c r="L197" s="799" t="n"/>
      <c r="M197" s="813" t="n"/>
      <c r="N197" s="799" t="n"/>
      <c r="O197" s="813" t="n"/>
      <c r="P197" s="799" t="n"/>
      <c r="Q197" s="814" t="n"/>
      <c r="R197" s="982" t="inlineStr">
        <is>
          <t>합산 월 보험료</t>
        </is>
      </c>
      <c r="S197" s="798" t="n"/>
      <c r="T197" s="951">
        <f>T134+C197+E197+G197+I197+K197+O197</f>
        <v/>
      </c>
    </row>
    <row r="198" ht="14.1" customHeight="1" s="797">
      <c r="A198" s="647" t="inlineStr">
        <is>
          <t>보험료 총액</t>
        </is>
      </c>
      <c r="B198" s="798" t="n"/>
      <c r="C198" s="817" t="n"/>
      <c r="D198" s="799" t="n"/>
      <c r="E198" s="817">
        <f>E197*E194*12</f>
        <v/>
      </c>
      <c r="F198" s="799" t="n"/>
      <c r="G198" s="817">
        <f>G197*G194*12</f>
        <v/>
      </c>
      <c r="H198" s="799" t="n"/>
      <c r="I198" s="817">
        <f>I197*I194*12</f>
        <v/>
      </c>
      <c r="J198" s="799" t="n"/>
      <c r="K198" s="817">
        <f>K197*K194*12</f>
        <v/>
      </c>
      <c r="L198" s="799" t="n"/>
      <c r="M198" s="817">
        <f>M197*M194*12</f>
        <v/>
      </c>
      <c r="N198" s="799" t="n"/>
      <c r="O198" s="817">
        <f>O197*O194*12</f>
        <v/>
      </c>
      <c r="P198" s="799" t="n"/>
      <c r="Q198" s="814" t="n"/>
      <c r="R198" s="982" t="inlineStr">
        <is>
          <t>합산 보험료 총액</t>
        </is>
      </c>
      <c r="S198" s="798" t="n"/>
      <c r="T198" s="952">
        <f>T135+C198+E198+G198+I198+K198+O198</f>
        <v/>
      </c>
    </row>
    <row r="199" ht="14.1" customHeight="1" s="797">
      <c r="A199" s="647" t="inlineStr">
        <is>
          <t>기 납입금</t>
        </is>
      </c>
      <c r="B199" s="798" t="n"/>
      <c r="C199" s="817" t="n"/>
      <c r="D199" s="799" t="n"/>
      <c r="E199" s="817">
        <f>E197*F194</f>
        <v/>
      </c>
      <c r="F199" s="799" t="n"/>
      <c r="G199" s="817">
        <f>G197*H194</f>
        <v/>
      </c>
      <c r="H199" s="799" t="n"/>
      <c r="I199" s="817">
        <f>I197*J194</f>
        <v/>
      </c>
      <c r="J199" s="799" t="n"/>
      <c r="K199" s="817">
        <f>K197*L194</f>
        <v/>
      </c>
      <c r="L199" s="799" t="n"/>
      <c r="M199" s="817">
        <f>M197*N194</f>
        <v/>
      </c>
      <c r="N199" s="799" t="n"/>
      <c r="O199" s="817">
        <f>O197*P194</f>
        <v/>
      </c>
      <c r="P199" s="799" t="n"/>
      <c r="Q199" s="814" t="n"/>
      <c r="R199" s="982" t="inlineStr">
        <is>
          <t>합산 기 납입금</t>
        </is>
      </c>
      <c r="S199" s="798" t="n"/>
      <c r="T199" s="952">
        <f>T136+C199+E199+G199+I199+K199+O199</f>
        <v/>
      </c>
    </row>
    <row r="200" ht="14.1" customHeight="1" s="797" thickBot="1">
      <c r="A200" s="632" t="inlineStr">
        <is>
          <t>미 납입금</t>
        </is>
      </c>
      <c r="B200" s="811" t="n"/>
      <c r="C200" s="817" t="n"/>
      <c r="D200" s="799" t="n"/>
      <c r="E200" s="817">
        <f>E198-E199</f>
        <v/>
      </c>
      <c r="F200" s="799" t="n"/>
      <c r="G200" s="817">
        <f>G198-G199</f>
        <v/>
      </c>
      <c r="H200" s="799" t="n"/>
      <c r="I200" s="817">
        <f>I198-I199</f>
        <v/>
      </c>
      <c r="J200" s="799" t="n"/>
      <c r="K200" s="817">
        <f>K198-K199</f>
        <v/>
      </c>
      <c r="L200" s="799" t="n"/>
      <c r="M200" s="817">
        <f>M198-M199</f>
        <v/>
      </c>
      <c r="N200" s="799" t="n"/>
      <c r="O200" s="817">
        <f>O198-O199</f>
        <v/>
      </c>
      <c r="P200" s="799" t="n"/>
      <c r="Q200" s="814" t="n"/>
      <c r="R200" s="983" t="inlineStr">
        <is>
          <t>합산 미 납입금</t>
        </is>
      </c>
      <c r="S200" s="954" t="n"/>
      <c r="T200" s="955">
        <f>T137+C200+E200+G200+I200+K200+O200</f>
        <v/>
      </c>
    </row>
    <row r="201" ht="14.1" customHeight="1" s="797">
      <c r="A201" s="821" t="inlineStr">
        <is>
          <t>실비
(갱신)</t>
        </is>
      </c>
      <c r="B201" s="457" t="inlineStr">
        <is>
          <t>질병입원의료비</t>
        </is>
      </c>
      <c r="C201" s="828" t="n"/>
      <c r="D201" s="829" t="n"/>
      <c r="E201" s="828" t="n"/>
      <c r="F201" s="956" t="n"/>
      <c r="G201" s="828" t="n"/>
      <c r="H201" s="880" t="n"/>
      <c r="I201" s="828" t="n"/>
      <c r="J201" s="880" t="n"/>
      <c r="K201" s="828" t="n"/>
      <c r="L201" s="829" t="n"/>
      <c r="M201" s="828" t="n"/>
      <c r="N201" s="827" t="n"/>
      <c r="O201" s="826" t="n"/>
      <c r="P201" s="827" t="n"/>
      <c r="Q201" s="830" t="n"/>
      <c r="R201" s="821" t="inlineStr">
        <is>
          <t>실비
(갱신)</t>
        </is>
      </c>
      <c r="S201" s="352" t="inlineStr">
        <is>
          <t>질병입원의료비</t>
        </is>
      </c>
      <c r="T201" s="957">
        <f>T138+C201+E201+G201+I201+K201+M201+O201</f>
        <v/>
      </c>
    </row>
    <row r="202" ht="14.1" customHeight="1" s="797">
      <c r="A202" s="832" t="n"/>
      <c r="B202" s="458" t="inlineStr">
        <is>
          <t>질병통원의료비</t>
        </is>
      </c>
      <c r="C202" s="838" t="n"/>
      <c r="D202" s="839" t="n"/>
      <c r="E202" s="838" t="n"/>
      <c r="F202" s="958" t="n"/>
      <c r="G202" s="838" t="n"/>
      <c r="H202" s="894" t="n"/>
      <c r="I202" s="838" t="n"/>
      <c r="J202" s="894" t="n"/>
      <c r="K202" s="838" t="n"/>
      <c r="L202" s="839" t="n"/>
      <c r="M202" s="838" t="n"/>
      <c r="N202" s="837" t="n"/>
      <c r="O202" s="836" t="n"/>
      <c r="P202" s="837" t="n"/>
      <c r="Q202" s="830" t="n"/>
      <c r="R202" s="832" t="n"/>
      <c r="S202" s="353" t="inlineStr">
        <is>
          <t>질병통원의료비</t>
        </is>
      </c>
      <c r="T202" s="959">
        <f>T139+C202+E202+G202+I202+K202+M202+O202</f>
        <v/>
      </c>
    </row>
    <row r="203" ht="14.1" customHeight="1" s="797">
      <c r="A203" s="832" t="n"/>
      <c r="B203" s="458" t="inlineStr">
        <is>
          <t>상해입원의료비</t>
        </is>
      </c>
      <c r="C203" s="838" t="n"/>
      <c r="D203" s="839" t="n"/>
      <c r="E203" s="838" t="n"/>
      <c r="F203" s="958" t="n"/>
      <c r="G203" s="838" t="n"/>
      <c r="H203" s="894" t="n"/>
      <c r="I203" s="838" t="n"/>
      <c r="J203" s="894" t="n"/>
      <c r="K203" s="838" t="n"/>
      <c r="L203" s="839" t="n"/>
      <c r="M203" s="838" t="n"/>
      <c r="N203" s="837" t="n"/>
      <c r="O203" s="836" t="n"/>
      <c r="P203" s="837" t="n"/>
      <c r="Q203" s="830" t="n"/>
      <c r="R203" s="832" t="n"/>
      <c r="S203" s="353" t="inlineStr">
        <is>
          <t>상해입원의료비</t>
        </is>
      </c>
      <c r="T203" s="959">
        <f>T140+C203+E203+G203+I203+K203+M203+O203</f>
        <v/>
      </c>
    </row>
    <row r="204" ht="14.1" customHeight="1" s="797">
      <c r="A204" s="832" t="n"/>
      <c r="B204" s="458" t="inlineStr">
        <is>
          <t>상해통원의료비</t>
        </is>
      </c>
      <c r="C204" s="838" t="n"/>
      <c r="D204" s="839" t="n"/>
      <c r="E204" s="838" t="n"/>
      <c r="F204" s="958" t="n"/>
      <c r="G204" s="838" t="n"/>
      <c r="H204" s="894" t="n"/>
      <c r="I204" s="838" t="n"/>
      <c r="J204" s="894" t="n"/>
      <c r="K204" s="838" t="n"/>
      <c r="L204" s="839" t="n"/>
      <c r="M204" s="838" t="n"/>
      <c r="N204" s="837" t="n"/>
      <c r="O204" s="836" t="n"/>
      <c r="P204" s="837" t="n"/>
      <c r="Q204" s="830" t="n"/>
      <c r="R204" s="832" t="n"/>
      <c r="S204" s="353" t="inlineStr">
        <is>
          <t>상해통원의료비</t>
        </is>
      </c>
      <c r="T204" s="959">
        <f>T141+C204+E204+G204+I204+K204+M204+O204</f>
        <v/>
      </c>
    </row>
    <row r="205" ht="14.1" customHeight="1" s="797" thickBot="1">
      <c r="A205" s="841" t="n"/>
      <c r="B205" s="459" t="inlineStr">
        <is>
          <t>3대비급여 의료비</t>
        </is>
      </c>
      <c r="C205" s="847" t="n"/>
      <c r="D205" s="848" t="n"/>
      <c r="E205" s="847" t="n"/>
      <c r="F205" s="960" t="n"/>
      <c r="G205" s="847" t="n"/>
      <c r="H205" s="885" t="n"/>
      <c r="I205" s="847" t="n"/>
      <c r="J205" s="885" t="n"/>
      <c r="K205" s="847" t="n"/>
      <c r="L205" s="848" t="n"/>
      <c r="M205" s="847" t="n"/>
      <c r="N205" s="846" t="n"/>
      <c r="O205" s="845" t="n"/>
      <c r="P205" s="846" t="n"/>
      <c r="Q205" s="830" t="n"/>
      <c r="R205" s="841" t="n"/>
      <c r="S205" s="354" t="inlineStr">
        <is>
          <t>3대비급여 의료비</t>
        </is>
      </c>
      <c r="T205" s="963">
        <f>T142+C205+E205+G205+I205+K205+M205+O205</f>
        <v/>
      </c>
    </row>
    <row r="206" ht="14.1" customHeight="1" s="797">
      <c r="A206" s="624" t="inlineStr">
        <is>
          <t>암</t>
        </is>
      </c>
      <c r="B206" s="460" t="inlineStr">
        <is>
          <t>암진단</t>
        </is>
      </c>
      <c r="C206" s="828" t="n"/>
      <c r="D206" s="908" t="n"/>
      <c r="E206" s="828" t="n"/>
      <c r="F206" s="880" t="n"/>
      <c r="G206" s="828" t="n"/>
      <c r="H206" s="880" t="n"/>
      <c r="I206" s="828" t="n"/>
      <c r="J206" s="880" t="n"/>
      <c r="K206" s="828" t="n"/>
      <c r="L206" s="913" t="n"/>
      <c r="M206" s="828" t="n"/>
      <c r="N206" s="829" t="n"/>
      <c r="O206" s="828" t="n"/>
      <c r="P206" s="827" t="n"/>
      <c r="Q206" s="830" t="n"/>
      <c r="R206" s="626" t="inlineStr">
        <is>
          <t>암</t>
        </is>
      </c>
      <c r="S206" s="490" t="inlineStr">
        <is>
          <t>암진단비</t>
        </is>
      </c>
      <c r="T206" s="957">
        <f>T143+C206+E206+G206+I206+K206+M206+O206</f>
        <v/>
      </c>
    </row>
    <row r="207" ht="14.1" customHeight="1" s="797">
      <c r="A207" s="832" t="n"/>
      <c r="B207" s="481" t="inlineStr">
        <is>
          <t>유사암진단</t>
        </is>
      </c>
      <c r="C207" s="838" t="n"/>
      <c r="D207" s="873" t="n"/>
      <c r="E207" s="838" t="n"/>
      <c r="F207" s="852" t="n"/>
      <c r="G207" s="838" t="n"/>
      <c r="H207" s="852" t="n"/>
      <c r="I207" s="838" t="n"/>
      <c r="J207" s="852" t="n"/>
      <c r="K207" s="838" t="n"/>
      <c r="L207" s="914" t="n"/>
      <c r="M207" s="838" t="n"/>
      <c r="N207" s="853" t="n"/>
      <c r="O207" s="856" t="n"/>
      <c r="P207" s="857" t="n"/>
      <c r="Q207" s="830" t="n"/>
      <c r="R207" s="832" t="n"/>
      <c r="S207" s="491" t="inlineStr">
        <is>
          <t>유사암진단</t>
        </is>
      </c>
      <c r="T207" s="959">
        <f>T144+C207+E207+G207+I207+K207+M207+O207</f>
        <v/>
      </c>
    </row>
    <row r="208" ht="14.1" customHeight="1" s="797" thickBot="1">
      <c r="A208" s="832" t="n"/>
      <c r="B208" s="553" t="inlineStr">
        <is>
          <t>전이암진단</t>
        </is>
      </c>
      <c r="C208" s="847" t="n"/>
      <c r="D208" s="961" t="n"/>
      <c r="E208" s="847" t="n"/>
      <c r="F208" s="910" t="n"/>
      <c r="G208" s="847" t="n"/>
      <c r="H208" s="910" t="n"/>
      <c r="I208" s="847" t="n"/>
      <c r="J208" s="910" t="n"/>
      <c r="K208" s="847" t="n"/>
      <c r="L208" s="916" t="n"/>
      <c r="M208" s="909" t="n"/>
      <c r="N208" s="877" t="n"/>
      <c r="O208" s="909" t="n"/>
      <c r="P208" s="962" t="n"/>
      <c r="Q208" s="830" t="n"/>
      <c r="R208" s="832" t="n"/>
      <c r="S208" s="566" t="inlineStr">
        <is>
          <t>전이암진단</t>
        </is>
      </c>
      <c r="T208" s="959">
        <f>T145+C208+E208+G208+I208+K208+M208+O208</f>
        <v/>
      </c>
    </row>
    <row r="209" ht="14.1" customHeight="1" s="797">
      <c r="A209" s="832" t="n"/>
      <c r="B209" s="554" t="inlineStr">
        <is>
          <t>암수술</t>
        </is>
      </c>
      <c r="C209" s="856" t="n"/>
      <c r="D209" s="873" t="n"/>
      <c r="E209" s="856" t="n"/>
      <c r="F209" s="852" t="n"/>
      <c r="G209" s="856" t="n"/>
      <c r="H209" s="852" t="n"/>
      <c r="I209" s="856" t="n"/>
      <c r="J209" s="852" t="n"/>
      <c r="K209" s="856" t="n"/>
      <c r="L209" s="914" t="n"/>
      <c r="M209" s="856" t="n"/>
      <c r="N209" s="853" t="n"/>
      <c r="O209" s="856" t="n"/>
      <c r="P209" s="857" t="n"/>
      <c r="Q209" s="830" t="n"/>
      <c r="R209" s="832" t="n"/>
      <c r="S209" s="343" t="inlineStr">
        <is>
          <t>암수술</t>
        </is>
      </c>
      <c r="T209" s="957">
        <f>T146+C209+E209+G209+I209+K209+M209+O209</f>
        <v/>
      </c>
    </row>
    <row r="210" ht="14.1" customHeight="1" s="797">
      <c r="A210" s="832" t="n"/>
      <c r="B210" s="555" t="inlineStr">
        <is>
          <t>다빈치로봇수술</t>
        </is>
      </c>
      <c r="C210" s="838" t="n"/>
      <c r="D210" s="873" t="n"/>
      <c r="E210" s="838" t="n"/>
      <c r="F210" s="852" t="n"/>
      <c r="G210" s="838" t="n"/>
      <c r="H210" s="852" t="n"/>
      <c r="I210" s="838" t="n"/>
      <c r="J210" s="852" t="n"/>
      <c r="K210" s="838" t="n"/>
      <c r="L210" s="914" t="n"/>
      <c r="M210" s="856" t="n"/>
      <c r="N210" s="853" t="n"/>
      <c r="O210" s="856" t="n"/>
      <c r="P210" s="857" t="n"/>
      <c r="Q210" s="830" t="n"/>
      <c r="R210" s="832" t="n"/>
      <c r="S210" s="326" t="inlineStr">
        <is>
          <t>다빈치로봇수술</t>
        </is>
      </c>
      <c r="T210" s="959">
        <f>T147+C210+E210+G210+I210+K210+M210+O210</f>
        <v/>
      </c>
    </row>
    <row r="211" ht="14.1" customHeight="1" s="797">
      <c r="A211" s="832" t="n"/>
      <c r="B211" s="556" t="inlineStr">
        <is>
          <t>항암방사선</t>
        </is>
      </c>
      <c r="C211" s="838" t="n"/>
      <c r="D211" s="873" t="n"/>
      <c r="E211" s="838" t="n"/>
      <c r="F211" s="852" t="n"/>
      <c r="G211" s="838" t="n"/>
      <c r="H211" s="852" t="n"/>
      <c r="I211" s="838" t="n"/>
      <c r="J211" s="852" t="n"/>
      <c r="K211" s="838" t="n"/>
      <c r="L211" s="914" t="n"/>
      <c r="M211" s="856" t="n"/>
      <c r="N211" s="853" t="n"/>
      <c r="O211" s="856" t="n"/>
      <c r="P211" s="857" t="n"/>
      <c r="Q211" s="830" t="n"/>
      <c r="R211" s="832" t="n"/>
      <c r="S211" s="343" t="inlineStr">
        <is>
          <t>항암방사선</t>
        </is>
      </c>
      <c r="T211" s="959">
        <f>T148+C211+E211+G211+I211+K211+M211+O211</f>
        <v/>
      </c>
    </row>
    <row r="212" ht="14.1" customHeight="1" s="797">
      <c r="A212" s="832" t="n"/>
      <c r="B212" s="555" t="inlineStr">
        <is>
          <t>중입자방사선</t>
        </is>
      </c>
      <c r="C212" s="838" t="n"/>
      <c r="D212" s="873" t="n"/>
      <c r="E212" s="838" t="n"/>
      <c r="F212" s="852" t="n"/>
      <c r="G212" s="838" t="n"/>
      <c r="H212" s="852" t="n"/>
      <c r="I212" s="838" t="n"/>
      <c r="J212" s="852" t="n"/>
      <c r="K212" s="838" t="n"/>
      <c r="L212" s="914" t="n"/>
      <c r="M212" s="856" t="n"/>
      <c r="N212" s="853" t="n"/>
      <c r="O212" s="856" t="n"/>
      <c r="P212" s="857" t="n"/>
      <c r="Q212" s="830" t="n"/>
      <c r="R212" s="832" t="n"/>
      <c r="S212" s="326" t="inlineStr">
        <is>
          <t>중입자방사선</t>
        </is>
      </c>
      <c r="T212" s="959">
        <f>T149+C212+E212+G212+I212+K212+M212+O212</f>
        <v/>
      </c>
    </row>
    <row r="213" ht="14.1" customHeight="1" s="797">
      <c r="A213" s="832" t="n"/>
      <c r="B213" s="555" t="inlineStr">
        <is>
          <t>양성자방사선</t>
        </is>
      </c>
      <c r="C213" s="838" t="n"/>
      <c r="D213" s="873" t="n"/>
      <c r="E213" s="838" t="n"/>
      <c r="F213" s="852" t="n"/>
      <c r="G213" s="838" t="n"/>
      <c r="H213" s="852" t="n"/>
      <c r="I213" s="838" t="n"/>
      <c r="J213" s="852" t="n"/>
      <c r="K213" s="838" t="n"/>
      <c r="L213" s="914" t="n"/>
      <c r="M213" s="856" t="n"/>
      <c r="N213" s="853" t="n"/>
      <c r="O213" s="856" t="n"/>
      <c r="P213" s="857" t="n"/>
      <c r="Q213" s="830" t="n"/>
      <c r="R213" s="832" t="n"/>
      <c r="S213" s="326" t="inlineStr">
        <is>
          <t>양성자방사선</t>
        </is>
      </c>
      <c r="T213" s="959">
        <f>T150+C213+E213+G213+I213+K213+M213+O213</f>
        <v/>
      </c>
    </row>
    <row r="214" ht="14.1" customHeight="1" s="797">
      <c r="A214" s="832" t="n"/>
      <c r="B214" s="555" t="inlineStr">
        <is>
          <t>세기조절방사선</t>
        </is>
      </c>
      <c r="C214" s="838" t="n"/>
      <c r="D214" s="873" t="n"/>
      <c r="E214" s="838" t="n"/>
      <c r="F214" s="852" t="n"/>
      <c r="G214" s="838" t="n"/>
      <c r="H214" s="852" t="n"/>
      <c r="I214" s="838" t="n"/>
      <c r="J214" s="852" t="n"/>
      <c r="K214" s="838" t="n"/>
      <c r="L214" s="914" t="n"/>
      <c r="M214" s="856" t="n"/>
      <c r="N214" s="853" t="n"/>
      <c r="O214" s="856" t="n"/>
      <c r="P214" s="857" t="n"/>
      <c r="Q214" s="830" t="n"/>
      <c r="R214" s="832" t="n"/>
      <c r="S214" s="326" t="inlineStr">
        <is>
          <t>세기조절방사선</t>
        </is>
      </c>
      <c r="T214" s="959">
        <f>T151+C214+E214+G214+I214+K214+M214+O214</f>
        <v/>
      </c>
    </row>
    <row r="215" ht="14.1" customHeight="1" s="797">
      <c r="A215" s="832" t="n"/>
      <c r="B215" s="556" t="inlineStr">
        <is>
          <t>항암약물</t>
        </is>
      </c>
      <c r="C215" s="838" t="n"/>
      <c r="D215" s="873" t="n"/>
      <c r="E215" s="862" t="n"/>
      <c r="F215" s="853" t="n"/>
      <c r="G215" s="862" t="n"/>
      <c r="H215" s="852" t="n"/>
      <c r="I215" s="862" t="n"/>
      <c r="J215" s="852" t="n"/>
      <c r="K215" s="862" t="n"/>
      <c r="L215" s="914" t="n"/>
      <c r="M215" s="859" t="n"/>
      <c r="N215" s="853" t="n"/>
      <c r="O215" s="856" t="n"/>
      <c r="P215" s="857" t="n"/>
      <c r="Q215" s="830" t="n"/>
      <c r="R215" s="832" t="n"/>
      <c r="S215" s="343" t="inlineStr">
        <is>
          <t>항암약물</t>
        </is>
      </c>
      <c r="T215" s="959">
        <f>T152+C215+E215+G215+I215+K215+M215+O215</f>
        <v/>
      </c>
    </row>
    <row r="216" ht="14.1" customHeight="1" s="797">
      <c r="A216" s="832" t="n"/>
      <c r="B216" s="555" t="inlineStr">
        <is>
          <t>표적항암약물</t>
        </is>
      </c>
      <c r="C216" s="862" t="n"/>
      <c r="D216" s="882" t="n"/>
      <c r="E216" s="862" t="n"/>
      <c r="F216" s="853" t="n"/>
      <c r="G216" s="862" t="n"/>
      <c r="H216" s="852" t="n"/>
      <c r="I216" s="862" t="n"/>
      <c r="J216" s="852" t="n"/>
      <c r="K216" s="862" t="n"/>
      <c r="L216" s="914" t="n"/>
      <c r="M216" s="859" t="n"/>
      <c r="N216" s="853" t="n"/>
      <c r="O216" s="859" t="n"/>
      <c r="P216" s="864" t="n"/>
      <c r="Q216" s="830" t="n"/>
      <c r="R216" s="832" t="n"/>
      <c r="S216" s="326" t="inlineStr">
        <is>
          <t>표적항암약물</t>
        </is>
      </c>
      <c r="T216" s="959">
        <f>T153+C216+E216+G216+I216+K216+M216+O216</f>
        <v/>
      </c>
    </row>
    <row r="217" ht="14.1" customHeight="1" s="797" thickBot="1">
      <c r="A217" s="832" t="n"/>
      <c r="B217" s="557" t="inlineStr">
        <is>
          <t>면역항암약물</t>
        </is>
      </c>
      <c r="C217" s="847" t="n"/>
      <c r="D217" s="848" t="n"/>
      <c r="E217" s="847" t="n"/>
      <c r="F217" s="871" t="n"/>
      <c r="G217" s="847" t="n"/>
      <c r="H217" s="852" t="n"/>
      <c r="I217" s="847" t="n"/>
      <c r="J217" s="852" t="n"/>
      <c r="K217" s="847" t="n"/>
      <c r="L217" s="914" t="n"/>
      <c r="M217" s="847" t="n"/>
      <c r="N217" s="853" t="n"/>
      <c r="O217" s="845" t="n"/>
      <c r="P217" s="846" t="n"/>
      <c r="Q217" s="830" t="n"/>
      <c r="R217" s="832" t="n"/>
      <c r="S217" s="327" t="inlineStr">
        <is>
          <t>면역항암약물</t>
        </is>
      </c>
      <c r="T217" s="963">
        <f>T154+C217+E217+G217+I217+K217+M217+O217</f>
        <v/>
      </c>
    </row>
    <row r="218" ht="14.1" customHeight="1" s="797">
      <c r="A218" s="628" t="inlineStr">
        <is>
          <t>2대
질병</t>
        </is>
      </c>
      <c r="B218" s="461" t="inlineStr">
        <is>
          <t>뇌혈관진단</t>
        </is>
      </c>
      <c r="C218" s="838" t="n"/>
      <c r="D218" s="829" t="n"/>
      <c r="E218" s="838" t="n"/>
      <c r="F218" s="880" t="n"/>
      <c r="G218" s="838" t="n"/>
      <c r="H218" s="880" t="n"/>
      <c r="I218" s="838" t="n"/>
      <c r="J218" s="880" t="n"/>
      <c r="K218" s="838" t="n"/>
      <c r="L218" s="913" t="n"/>
      <c r="M218" s="828" t="n"/>
      <c r="N218" s="829" t="n"/>
      <c r="O218" s="836" t="n"/>
      <c r="P218" s="827" t="n"/>
      <c r="Q218" s="830" t="n"/>
      <c r="R218" s="630" t="inlineStr">
        <is>
          <t>2대
질병</t>
        </is>
      </c>
      <c r="S218" s="379" t="inlineStr">
        <is>
          <t>뇌혈관</t>
        </is>
      </c>
      <c r="T218" s="957">
        <f>T155+C218+E218+G218+I218+K218+M218+O218</f>
        <v/>
      </c>
    </row>
    <row r="219" ht="14.1" customHeight="1" s="797">
      <c r="A219" s="832" t="n"/>
      <c r="B219" s="462" t="inlineStr">
        <is>
          <t>뇌졸증진단</t>
        </is>
      </c>
      <c r="C219" s="838" t="n"/>
      <c r="D219" s="853" t="n"/>
      <c r="E219" s="856" t="n"/>
      <c r="F219" s="852" t="n"/>
      <c r="G219" s="838" t="n"/>
      <c r="H219" s="852" t="n"/>
      <c r="I219" s="838" t="n"/>
      <c r="J219" s="852" t="n"/>
      <c r="K219" s="838" t="n"/>
      <c r="L219" s="914" t="n"/>
      <c r="M219" s="856" t="n"/>
      <c r="N219" s="853" t="n"/>
      <c r="O219" s="836" t="n"/>
      <c r="P219" s="857" t="n"/>
      <c r="Q219" s="830" t="n"/>
      <c r="R219" s="832" t="n"/>
      <c r="S219" s="380" t="inlineStr">
        <is>
          <t>뇌졸증</t>
        </is>
      </c>
      <c r="T219" s="959">
        <f>T156+C219+E219+G219+I219+K219+M219+O219</f>
        <v/>
      </c>
    </row>
    <row r="220" ht="14.1" customHeight="1" s="797" thickBot="1">
      <c r="A220" s="832" t="n"/>
      <c r="B220" s="463" t="inlineStr">
        <is>
          <t>뇌출혈진단</t>
        </is>
      </c>
      <c r="C220" s="859" t="n"/>
      <c r="D220" s="860" t="n"/>
      <c r="E220" s="859" t="n"/>
      <c r="F220" s="863" t="n"/>
      <c r="G220" s="859" t="n"/>
      <c r="H220" s="863" t="n"/>
      <c r="I220" s="859" t="n"/>
      <c r="J220" s="863" t="n"/>
      <c r="K220" s="859" t="n"/>
      <c r="L220" s="915" t="n"/>
      <c r="M220" s="859" t="n"/>
      <c r="N220" s="860" t="n"/>
      <c r="O220" s="883" t="n"/>
      <c r="P220" s="864" t="n"/>
      <c r="Q220" s="830" t="n"/>
      <c r="R220" s="832" t="n"/>
      <c r="S220" s="381" t="inlineStr">
        <is>
          <t>뇌출혈</t>
        </is>
      </c>
      <c r="T220" s="959">
        <f>T157+C220+E220+G220+I220+K220+M220+O220</f>
        <v/>
      </c>
    </row>
    <row r="221" ht="14.1" customHeight="1" s="797">
      <c r="A221" s="832" t="n"/>
      <c r="B221" s="461" t="inlineStr">
        <is>
          <t>심장질환진단</t>
        </is>
      </c>
      <c r="C221" s="828" t="n"/>
      <c r="D221" s="829" t="n"/>
      <c r="E221" s="828" t="n"/>
      <c r="F221" s="880" t="n"/>
      <c r="G221" s="828" t="n"/>
      <c r="H221" s="880" t="n"/>
      <c r="I221" s="828" t="n"/>
      <c r="J221" s="880" t="n"/>
      <c r="K221" s="828" t="n"/>
      <c r="L221" s="913" t="n"/>
      <c r="M221" s="828" t="n"/>
      <c r="N221" s="829" t="n"/>
      <c r="O221" s="826" t="n"/>
      <c r="P221" s="827" t="n"/>
      <c r="Q221" s="830" t="n"/>
      <c r="R221" s="832" t="n"/>
      <c r="S221" s="358" t="inlineStr">
        <is>
          <t>심장질환</t>
        </is>
      </c>
      <c r="T221" s="957">
        <f>T158+C221+E221+G221+I221+K221+M221+O221</f>
        <v/>
      </c>
    </row>
    <row r="222" ht="14.1" customHeight="1" s="797">
      <c r="A222" s="832" t="n"/>
      <c r="B222" s="488" t="inlineStr">
        <is>
          <t>허혈성심장진단</t>
        </is>
      </c>
      <c r="C222" s="838" t="n"/>
      <c r="D222" s="853" t="n"/>
      <c r="E222" s="838" t="n"/>
      <c r="F222" s="852" t="n"/>
      <c r="G222" s="838" t="n"/>
      <c r="H222" s="852" t="n"/>
      <c r="I222" s="838" t="n"/>
      <c r="J222" s="852" t="n"/>
      <c r="K222" s="838" t="n"/>
      <c r="L222" s="914" t="n"/>
      <c r="M222" s="838" t="n"/>
      <c r="N222" s="853" t="n"/>
      <c r="O222" s="836" t="n"/>
      <c r="P222" s="857" t="n"/>
      <c r="Q222" s="830" t="n"/>
      <c r="R222" s="832" t="n"/>
      <c r="S222" s="359" t="inlineStr">
        <is>
          <t>허혈성심장</t>
        </is>
      </c>
      <c r="T222" s="959">
        <f>T159+C222+E222+G222+I222+K222+M222+O222</f>
        <v/>
      </c>
    </row>
    <row r="223" ht="14.1" customHeight="1" s="797" thickBot="1">
      <c r="A223" s="832" t="n"/>
      <c r="B223" s="489" t="inlineStr">
        <is>
          <t>급성심근경색진단</t>
        </is>
      </c>
      <c r="C223" s="847" t="n"/>
      <c r="D223" s="848" t="n"/>
      <c r="E223" s="847" t="n"/>
      <c r="F223" s="885" t="n"/>
      <c r="G223" s="847" t="n"/>
      <c r="H223" s="885" t="n"/>
      <c r="I223" s="847" t="n"/>
      <c r="J223" s="885" t="n"/>
      <c r="K223" s="847" t="n"/>
      <c r="L223" s="891" t="n"/>
      <c r="M223" s="847" t="n"/>
      <c r="N223" s="848" t="n"/>
      <c r="O223" s="845" t="n"/>
      <c r="P223" s="887" t="n"/>
      <c r="Q223" s="830" t="n"/>
      <c r="R223" s="832" t="n"/>
      <c r="S223" s="360" t="inlineStr">
        <is>
          <t>급성심근경색</t>
        </is>
      </c>
      <c r="T223" s="959">
        <f>T160+C223+E223+G223+I223+K223+M223+O223</f>
        <v/>
      </c>
    </row>
    <row r="224" ht="14.1" customHeight="1" s="797">
      <c r="A224" s="832" t="n"/>
      <c r="B224" s="461" t="inlineStr">
        <is>
          <t>수술/시술비</t>
        </is>
      </c>
      <c r="C224" s="828" t="n"/>
      <c r="D224" s="829" t="n"/>
      <c r="E224" s="828" t="n"/>
      <c r="F224" s="880" t="n"/>
      <c r="G224" s="828" t="n"/>
      <c r="H224" s="880" t="n"/>
      <c r="I224" s="828" t="n"/>
      <c r="J224" s="880" t="n"/>
      <c r="K224" s="828" t="n"/>
      <c r="L224" s="913" t="n"/>
      <c r="M224" s="828" t="n"/>
      <c r="N224" s="829" t="n"/>
      <c r="O224" s="826" t="n"/>
      <c r="P224" s="827" t="n"/>
      <c r="Q224" s="830" t="n"/>
      <c r="R224" s="832" t="n"/>
      <c r="S224" s="361" t="inlineStr">
        <is>
          <t>수술비</t>
        </is>
      </c>
      <c r="T224" s="957">
        <f>T161+C224+E224+G224+I224+K224+M224+O224</f>
        <v/>
      </c>
    </row>
    <row r="225" ht="14.1" customHeight="1" s="797">
      <c r="A225" s="832" t="n"/>
      <c r="B225" s="488" t="inlineStr">
        <is>
          <t>혈전용해치료</t>
        </is>
      </c>
      <c r="C225" s="838" t="n"/>
      <c r="D225" s="853" t="n"/>
      <c r="E225" s="838" t="n"/>
      <c r="F225" s="852" t="n"/>
      <c r="G225" s="838" t="n"/>
      <c r="H225" s="852" t="n"/>
      <c r="I225" s="838" t="n"/>
      <c r="J225" s="852" t="n"/>
      <c r="K225" s="838" t="n"/>
      <c r="L225" s="914" t="n"/>
      <c r="M225" s="838" t="n"/>
      <c r="N225" s="853" t="n"/>
      <c r="O225" s="836" t="n"/>
      <c r="P225" s="857" t="n"/>
      <c r="Q225" s="830" t="n"/>
      <c r="R225" s="832" t="n"/>
      <c r="S225" s="362" t="inlineStr">
        <is>
          <t>혈전용해치료</t>
        </is>
      </c>
      <c r="T225" s="959">
        <f>T162+C225+E225+G225+I225+K225+M225+O225</f>
        <v/>
      </c>
    </row>
    <row r="226" ht="14.1" customHeight="1" s="797" thickBot="1">
      <c r="A226" s="832" t="n"/>
      <c r="B226" s="489" t="inlineStr">
        <is>
          <t>혈전제거치료</t>
        </is>
      </c>
      <c r="C226" s="847" t="n"/>
      <c r="D226" s="848" t="n"/>
      <c r="E226" s="847" t="n"/>
      <c r="F226" s="885" t="n"/>
      <c r="G226" s="847" t="n"/>
      <c r="H226" s="885" t="n"/>
      <c r="I226" s="847" t="n"/>
      <c r="J226" s="885" t="n"/>
      <c r="K226" s="847" t="n"/>
      <c r="L226" s="891" t="n"/>
      <c r="M226" s="847" t="n"/>
      <c r="N226" s="848" t="n"/>
      <c r="O226" s="845" t="n"/>
      <c r="P226" s="887" t="n"/>
      <c r="Q226" s="830" t="n"/>
      <c r="R226" s="832" t="n"/>
      <c r="S226" s="363" t="inlineStr">
        <is>
          <t>중환자실치료</t>
        </is>
      </c>
      <c r="T226" s="959">
        <f>T163+C226+E226+G226+I226+K226+M226+O226</f>
        <v/>
      </c>
    </row>
    <row r="227" ht="14.1" customHeight="1" s="797">
      <c r="A227" s="892" t="inlineStr">
        <is>
          <t>후유장해</t>
        </is>
      </c>
      <c r="B227" s="464" t="inlineStr">
        <is>
          <t>질병 80% 이상</t>
        </is>
      </c>
      <c r="C227" s="828" t="n"/>
      <c r="D227" s="966" t="n"/>
      <c r="E227" s="828" t="n"/>
      <c r="F227" s="880" t="n"/>
      <c r="G227" s="828" t="n"/>
      <c r="H227" s="880" t="n"/>
      <c r="I227" s="828" t="n"/>
      <c r="J227" s="880" t="n"/>
      <c r="K227" s="828" t="n"/>
      <c r="L227" s="913" t="n"/>
      <c r="M227" s="828" t="n"/>
      <c r="N227" s="829" t="n"/>
      <c r="O227" s="826" t="n"/>
      <c r="P227" s="827" t="n"/>
      <c r="Q227" s="830" t="n"/>
      <c r="R227" s="892" t="inlineStr">
        <is>
          <t>후유장해</t>
        </is>
      </c>
      <c r="S227" s="364" t="inlineStr">
        <is>
          <t>질병 80% 이상</t>
        </is>
      </c>
      <c r="T227" s="957">
        <f>T164+C227+E227+G227+I227+K227+M227+O227</f>
        <v/>
      </c>
    </row>
    <row r="228" ht="14.1" customHeight="1" s="797">
      <c r="A228" s="832" t="n"/>
      <c r="B228" s="465" t="inlineStr">
        <is>
          <t>질병 3% ~80%</t>
        </is>
      </c>
      <c r="C228" s="838" t="n"/>
      <c r="D228" s="967" t="n"/>
      <c r="E228" s="838" t="n"/>
      <c r="F228" s="931" t="n"/>
      <c r="G228" s="838" t="n"/>
      <c r="H228" s="894" t="n"/>
      <c r="I228" s="838" t="n"/>
      <c r="J228" s="894" t="n"/>
      <c r="K228" s="838" t="n"/>
      <c r="L228" s="968" t="n"/>
      <c r="M228" s="838" t="n"/>
      <c r="N228" s="839" t="n"/>
      <c r="O228" s="836" t="n"/>
      <c r="P228" s="837" t="n"/>
      <c r="Q228" s="830" t="n"/>
      <c r="R228" s="832" t="n"/>
      <c r="S228" s="365" t="inlineStr">
        <is>
          <t>질병 3% ~80%</t>
        </is>
      </c>
      <c r="T228" s="959">
        <f>T165+C228+E228+G228+I228+K228+M228+O228</f>
        <v/>
      </c>
    </row>
    <row r="229" ht="14.1" customHeight="1" s="797">
      <c r="A229" s="832" t="n"/>
      <c r="B229" s="465" t="inlineStr">
        <is>
          <t>상해 80% 이상</t>
        </is>
      </c>
      <c r="C229" s="838" t="n"/>
      <c r="D229" s="902" t="n"/>
      <c r="E229" s="838" t="n"/>
      <c r="F229" s="902" t="n"/>
      <c r="G229" s="838" t="n"/>
      <c r="H229" s="839" t="n"/>
      <c r="I229" s="838" t="n"/>
      <c r="J229" s="839" t="n"/>
      <c r="K229" s="838" t="n"/>
      <c r="L229" s="968" t="n"/>
      <c r="M229" s="838" t="n"/>
      <c r="N229" s="839" t="n"/>
      <c r="O229" s="836" t="n"/>
      <c r="P229" s="837" t="n"/>
      <c r="Q229" s="830" t="n"/>
      <c r="R229" s="832" t="n"/>
      <c r="S229" s="365" t="inlineStr">
        <is>
          <t>상해 80% 이상</t>
        </is>
      </c>
      <c r="T229" s="959">
        <f>T166+C229+E229+G229+I229+K229+M229+O229</f>
        <v/>
      </c>
    </row>
    <row r="230" ht="14.1" customHeight="1" s="797" thickBot="1">
      <c r="A230" s="841" t="n"/>
      <c r="B230" s="466" t="inlineStr">
        <is>
          <t>상해 3% ~ 80%</t>
        </is>
      </c>
      <c r="C230" s="847" t="n"/>
      <c r="D230" s="899" t="n"/>
      <c r="E230" s="847" t="n"/>
      <c r="F230" s="899" t="n"/>
      <c r="G230" s="838" t="n"/>
      <c r="H230" s="848" t="n"/>
      <c r="I230" s="838" t="n"/>
      <c r="J230" s="848" t="n"/>
      <c r="K230" s="838" t="n"/>
      <c r="L230" s="891" t="n"/>
      <c r="M230" s="847" t="n"/>
      <c r="N230" s="848" t="n"/>
      <c r="O230" s="845" t="n"/>
      <c r="P230" s="846" t="n"/>
      <c r="Q230" s="830" t="n"/>
      <c r="R230" s="841" t="n"/>
      <c r="S230" s="366" t="inlineStr">
        <is>
          <t>상해 3% ~ 80%</t>
        </is>
      </c>
      <c r="T230" s="959">
        <f>T167+C230+E230+G230+I230+K230+M230+O230</f>
        <v/>
      </c>
    </row>
    <row r="231" ht="14.1" customHeight="1" s="797">
      <c r="A231" s="897" t="inlineStr">
        <is>
          <t>사망</t>
        </is>
      </c>
      <c r="B231" s="467" t="inlineStr">
        <is>
          <t>일반</t>
        </is>
      </c>
      <c r="C231" s="856" t="n"/>
      <c r="D231" s="939" t="n"/>
      <c r="E231" s="828" t="n"/>
      <c r="F231" s="880" t="n"/>
      <c r="G231" s="828" t="n"/>
      <c r="H231" s="829" t="n"/>
      <c r="I231" s="828" t="n"/>
      <c r="J231" s="829" t="n"/>
      <c r="K231" s="828" t="n"/>
      <c r="L231" s="913" t="n"/>
      <c r="M231" s="828" t="n"/>
      <c r="N231" s="829" t="n"/>
      <c r="O231" s="826" t="n"/>
      <c r="P231" s="827" t="n"/>
      <c r="Q231" s="830" t="n"/>
      <c r="R231" s="897" t="inlineStr">
        <is>
          <t>사망</t>
        </is>
      </c>
      <c r="S231" s="367" t="inlineStr">
        <is>
          <t>일반</t>
        </is>
      </c>
      <c r="T231" s="957">
        <f>T168+C231+E231+G231+I231+K231+M231+O231</f>
        <v/>
      </c>
    </row>
    <row r="232" ht="14.1" customHeight="1" s="797">
      <c r="A232" s="832" t="n"/>
      <c r="B232" s="468" t="inlineStr">
        <is>
          <t>질병</t>
        </is>
      </c>
      <c r="C232" s="838" t="n"/>
      <c r="D232" s="931" t="n"/>
      <c r="E232" s="838" t="n"/>
      <c r="F232" s="894" t="n"/>
      <c r="G232" s="838" t="n"/>
      <c r="H232" s="839" t="n"/>
      <c r="I232" s="838" t="n"/>
      <c r="J232" s="839" t="n"/>
      <c r="K232" s="838" t="n"/>
      <c r="L232" s="968" t="n"/>
      <c r="M232" s="838" t="n"/>
      <c r="N232" s="839" t="n"/>
      <c r="O232" s="836" t="n"/>
      <c r="P232" s="837" t="n"/>
      <c r="Q232" s="830" t="n"/>
      <c r="R232" s="832" t="n"/>
      <c r="S232" s="368" t="inlineStr">
        <is>
          <t>질병</t>
        </is>
      </c>
      <c r="T232" s="959">
        <f>T169+C232+E232+G232+I232+K232+M232+O232</f>
        <v/>
      </c>
    </row>
    <row r="233" ht="14.1" customHeight="1" s="797" thickBot="1">
      <c r="A233" s="841" t="n"/>
      <c r="B233" s="469" t="inlineStr">
        <is>
          <t>상해</t>
        </is>
      </c>
      <c r="C233" s="847" t="n"/>
      <c r="D233" s="900" t="n"/>
      <c r="E233" s="847" t="n"/>
      <c r="F233" s="885" t="n"/>
      <c r="G233" s="847" t="n"/>
      <c r="H233" s="848" t="n"/>
      <c r="I233" s="847" t="n"/>
      <c r="J233" s="848" t="n"/>
      <c r="K233" s="847" t="n"/>
      <c r="L233" s="891" t="n"/>
      <c r="M233" s="847" t="n"/>
      <c r="N233" s="848" t="n"/>
      <c r="O233" s="901" t="n"/>
      <c r="P233" s="857" t="n"/>
      <c r="Q233" s="830" t="n"/>
      <c r="R233" s="841" t="n"/>
      <c r="S233" s="369" t="inlineStr">
        <is>
          <t>상해</t>
        </is>
      </c>
      <c r="T233" s="959">
        <f>T170+C233+E233+G233+I233+K233+M233+O233</f>
        <v/>
      </c>
    </row>
    <row r="234" ht="14.1" customHeight="1" s="797">
      <c r="A234" s="617" t="inlineStr">
        <is>
          <t>수술비</t>
        </is>
      </c>
      <c r="B234" s="470" t="inlineStr">
        <is>
          <t>질병</t>
        </is>
      </c>
      <c r="C234" s="828" t="n"/>
      <c r="D234" s="908" t="n"/>
      <c r="E234" s="828" t="n"/>
      <c r="F234" s="852" t="n"/>
      <c r="G234" s="828" t="n"/>
      <c r="H234" s="853" t="n"/>
      <c r="I234" s="828" t="n"/>
      <c r="J234" s="853" t="n"/>
      <c r="K234" s="828" t="n"/>
      <c r="L234" s="913" t="n"/>
      <c r="M234" s="856" t="n"/>
      <c r="N234" s="853" t="n"/>
      <c r="O234" s="826" t="n"/>
      <c r="P234" s="827" t="n"/>
      <c r="Q234" s="830" t="n"/>
      <c r="R234" s="617" t="inlineStr">
        <is>
          <t>수술비</t>
        </is>
      </c>
      <c r="S234" s="480" t="inlineStr">
        <is>
          <t>질병</t>
        </is>
      </c>
      <c r="T234" s="957">
        <f>T171+C234+E234+G234+I234+K234+M234+O234</f>
        <v/>
      </c>
    </row>
    <row r="235" ht="14.1" customHeight="1" s="797">
      <c r="A235" s="832" t="n"/>
      <c r="B235" s="470" t="inlineStr">
        <is>
          <t>상해</t>
        </is>
      </c>
      <c r="C235" s="838" t="n"/>
      <c r="D235" s="902" t="n"/>
      <c r="E235" s="838" t="n"/>
      <c r="F235" s="894" t="n"/>
      <c r="G235" s="838" t="n"/>
      <c r="H235" s="839" t="n"/>
      <c r="I235" s="838" t="n"/>
      <c r="J235" s="839" t="n"/>
      <c r="K235" s="838" t="n"/>
      <c r="L235" s="968" t="n"/>
      <c r="M235" s="838" t="n"/>
      <c r="N235" s="853" t="n"/>
      <c r="O235" s="836" t="n"/>
      <c r="P235" s="837" t="n"/>
      <c r="Q235" s="830" t="n"/>
      <c r="R235" s="832" t="n"/>
      <c r="S235" s="480" t="inlineStr">
        <is>
          <t>상해</t>
        </is>
      </c>
      <c r="T235" s="959">
        <f>T172+C235+E235+G235+I235+K235+M235+O235</f>
        <v/>
      </c>
    </row>
    <row r="236" ht="14.1" customHeight="1" s="797">
      <c r="A236" s="832" t="n"/>
      <c r="B236" s="470" t="inlineStr">
        <is>
          <t>1-5종</t>
        </is>
      </c>
      <c r="C236" s="838" t="n"/>
      <c r="D236" s="902" t="n"/>
      <c r="E236" s="838" t="n"/>
      <c r="F236" s="852" t="n"/>
      <c r="G236" s="838" t="n"/>
      <c r="H236" s="853" t="n"/>
      <c r="I236" s="838" t="n"/>
      <c r="J236" s="853" t="n"/>
      <c r="K236" s="838" t="n"/>
      <c r="L236" s="914" t="n"/>
      <c r="M236" s="838" t="n"/>
      <c r="N236" s="853" t="n"/>
      <c r="O236" s="836" t="n"/>
      <c r="P236" s="837" t="n"/>
      <c r="Q236" s="830" t="n"/>
      <c r="R236" s="832" t="n"/>
      <c r="S236" s="480" t="inlineStr">
        <is>
          <t>1-5종</t>
        </is>
      </c>
      <c r="T236" s="959">
        <f>T173+C236+E236+G236+I236+K236+M236+O236</f>
        <v/>
      </c>
    </row>
    <row r="237" ht="14.1" customHeight="1" s="797" thickBot="1">
      <c r="A237" s="832" t="n"/>
      <c r="B237" s="471" t="inlineStr">
        <is>
          <t>N대질병</t>
        </is>
      </c>
      <c r="C237" s="862" t="n"/>
      <c r="D237" s="899" t="n"/>
      <c r="E237" s="862" t="n"/>
      <c r="F237" s="863" t="n"/>
      <c r="G237" s="862" t="n"/>
      <c r="H237" s="860" t="n"/>
      <c r="I237" s="862" t="n"/>
      <c r="J237" s="860" t="n"/>
      <c r="K237" s="862" t="n"/>
      <c r="L237" s="969" t="n"/>
      <c r="M237" s="862" t="n"/>
      <c r="N237" s="905" t="n"/>
      <c r="O237" s="907" t="n"/>
      <c r="P237" s="887" t="n"/>
      <c r="Q237" s="830" t="n"/>
      <c r="R237" s="832" t="n"/>
      <c r="S237" s="513" t="inlineStr">
        <is>
          <t>N대질병</t>
        </is>
      </c>
      <c r="T237" s="959">
        <f>T174+C237+E237+G237+I237+K237+M237+O237</f>
        <v/>
      </c>
    </row>
    <row r="238" ht="14.1" customHeight="1" s="797">
      <c r="A238" s="603" t="inlineStr">
        <is>
          <t>상해진단</t>
        </is>
      </c>
      <c r="B238" s="472" t="inlineStr">
        <is>
          <t>골절</t>
        </is>
      </c>
      <c r="C238" s="828" t="n"/>
      <c r="D238" s="908" t="n"/>
      <c r="E238" s="828" t="n"/>
      <c r="F238" s="880" t="n"/>
      <c r="G238" s="828" t="n"/>
      <c r="H238" s="829" t="n"/>
      <c r="I238" s="828" t="n"/>
      <c r="J238" s="829" t="n"/>
      <c r="K238" s="828" t="n"/>
      <c r="L238" s="913" t="n"/>
      <c r="M238" s="828" t="n"/>
      <c r="N238" s="829" t="n"/>
      <c r="O238" s="826" t="n"/>
      <c r="P238" s="827" t="n"/>
      <c r="Q238" s="830" t="n"/>
      <c r="R238" s="603" t="inlineStr">
        <is>
          <t>상해진단</t>
        </is>
      </c>
      <c r="S238" s="483" t="inlineStr">
        <is>
          <t>골절</t>
        </is>
      </c>
      <c r="T238" s="957">
        <f>T175+C238+E238+G238+I238+K238+M238+O238</f>
        <v/>
      </c>
    </row>
    <row r="239" ht="14.1" customHeight="1" s="797" thickBot="1">
      <c r="A239" s="832" t="n"/>
      <c r="B239" s="482" t="inlineStr">
        <is>
          <t>화상</t>
        </is>
      </c>
      <c r="C239" s="909" t="n"/>
      <c r="D239" s="970" t="n"/>
      <c r="E239" s="909" t="n"/>
      <c r="F239" s="885" t="n"/>
      <c r="G239" s="909" t="n"/>
      <c r="H239" s="848" t="n"/>
      <c r="I239" s="909" t="n"/>
      <c r="J239" s="848" t="n"/>
      <c r="K239" s="909" t="n"/>
      <c r="L239" s="916" t="n"/>
      <c r="M239" s="909" t="n"/>
      <c r="N239" s="877" t="n"/>
      <c r="O239" s="911" t="n"/>
      <c r="P239" s="846" t="n"/>
      <c r="Q239" s="830" t="n"/>
      <c r="R239" s="832" t="n"/>
      <c r="S239" s="503" t="inlineStr">
        <is>
          <t>화상</t>
        </is>
      </c>
      <c r="T239" s="959">
        <f>T176+C239+E239+G239+I239+K239+M239+O239</f>
        <v/>
      </c>
    </row>
    <row r="240" ht="14.1" customHeight="1" s="797">
      <c r="A240" s="605" t="inlineStr">
        <is>
          <t>입원비</t>
        </is>
      </c>
      <c r="B240" s="484" t="inlineStr">
        <is>
          <t>질병</t>
        </is>
      </c>
      <c r="C240" s="859" t="n"/>
      <c r="D240" s="971" t="n"/>
      <c r="E240" s="859" t="n"/>
      <c r="F240" s="863" t="n"/>
      <c r="G240" s="859" t="n"/>
      <c r="H240" s="860" t="n"/>
      <c r="I240" s="859" t="n"/>
      <c r="J240" s="860" t="n"/>
      <c r="K240" s="859" t="n"/>
      <c r="L240" s="915" t="n"/>
      <c r="M240" s="859" t="n"/>
      <c r="N240" s="860" t="n"/>
      <c r="O240" s="883" t="n"/>
      <c r="P240" s="864" t="n"/>
      <c r="Q240" s="830" t="n"/>
      <c r="R240" s="605" t="inlineStr">
        <is>
          <t>입원비</t>
        </is>
      </c>
      <c r="S240" s="486" t="inlineStr">
        <is>
          <t>질병</t>
        </is>
      </c>
      <c r="T240" s="957">
        <f>T177+C240+E240+G240+I240+K240+M240+O240</f>
        <v/>
      </c>
    </row>
    <row r="241" ht="14.1" customHeight="1" s="797" thickBot="1">
      <c r="A241" s="912" t="n"/>
      <c r="B241" s="485" t="inlineStr">
        <is>
          <t>상해</t>
        </is>
      </c>
      <c r="C241" s="859" t="n"/>
      <c r="D241" s="971" t="n"/>
      <c r="E241" s="859" t="n"/>
      <c r="F241" s="863" t="n"/>
      <c r="G241" s="859" t="n"/>
      <c r="H241" s="860" t="n"/>
      <c r="I241" s="859" t="n"/>
      <c r="J241" s="860" t="n"/>
      <c r="K241" s="859" t="n"/>
      <c r="L241" s="915" t="n"/>
      <c r="M241" s="859" t="n"/>
      <c r="N241" s="860" t="n"/>
      <c r="O241" s="883" t="n"/>
      <c r="P241" s="864" t="n"/>
      <c r="Q241" s="830" t="n"/>
      <c r="R241" s="912" t="n"/>
      <c r="S241" s="559" t="inlineStr">
        <is>
          <t>상해</t>
        </is>
      </c>
      <c r="T241" s="959">
        <f>T178+C241+E241+G241+I241+K241+M241+O241</f>
        <v/>
      </c>
    </row>
    <row r="242" ht="14.1" customHeight="1" s="797">
      <c r="A242" s="609" t="inlineStr">
        <is>
          <t>간병인</t>
        </is>
      </c>
      <c r="B242" s="473" t="inlineStr">
        <is>
          <t>병원사용</t>
        </is>
      </c>
      <c r="C242" s="828" t="n"/>
      <c r="D242" s="966" t="n"/>
      <c r="E242" s="828" t="n"/>
      <c r="F242" s="880" t="n"/>
      <c r="G242" s="828" t="n"/>
      <c r="H242" s="913" t="n"/>
      <c r="I242" s="828" t="n"/>
      <c r="J242" s="829" t="n"/>
      <c r="K242" s="828" t="n"/>
      <c r="L242" s="913" t="n"/>
      <c r="M242" s="828" t="n"/>
      <c r="N242" s="829" t="n"/>
      <c r="O242" s="826" t="n"/>
      <c r="P242" s="827" t="n"/>
      <c r="Q242" s="830" t="n"/>
      <c r="R242" s="973" t="inlineStr">
        <is>
          <t>간병인</t>
        </is>
      </c>
      <c r="S242" s="562" t="inlineStr">
        <is>
          <t>병원사용</t>
        </is>
      </c>
      <c r="T242" s="957">
        <f>T179+C242+E242+G242+I242+K242+M242+O242</f>
        <v/>
      </c>
    </row>
    <row r="243" ht="14.1" customHeight="1" s="797">
      <c r="A243" s="832" t="n"/>
      <c r="B243" s="474" t="inlineStr">
        <is>
          <t>요양병원사용</t>
        </is>
      </c>
      <c r="C243" s="859" t="n"/>
      <c r="D243" s="971" t="n"/>
      <c r="E243" s="859" t="n"/>
      <c r="F243" s="852" t="n"/>
      <c r="G243" s="859" t="n"/>
      <c r="H243" s="914" t="n"/>
      <c r="I243" s="859" t="n"/>
      <c r="J243" s="853" t="n"/>
      <c r="K243" s="859" t="n"/>
      <c r="L243" s="915" t="n"/>
      <c r="M243" s="859" t="n"/>
      <c r="N243" s="860" t="n"/>
      <c r="O243" s="883" t="n"/>
      <c r="P243" s="864" t="n"/>
      <c r="Q243" s="830" t="n"/>
      <c r="R243" s="832" t="n"/>
      <c r="S243" s="504" t="inlineStr">
        <is>
          <t>요양병원사용</t>
        </is>
      </c>
      <c r="T243" s="959">
        <f>T180+C243+E243+G243+I243+K243+M243+O243</f>
        <v/>
      </c>
    </row>
    <row r="244" ht="14.1" customHeight="1" s="797" thickBot="1">
      <c r="A244" s="841" t="n"/>
      <c r="B244" s="475" t="inlineStr">
        <is>
          <t>간호간병통합사용</t>
        </is>
      </c>
      <c r="C244" s="847" t="n"/>
      <c r="D244" s="974" t="n"/>
      <c r="E244" s="847" t="n"/>
      <c r="F244" s="852" t="n"/>
      <c r="G244" s="847" t="n"/>
      <c r="H244" s="914" t="n"/>
      <c r="I244" s="847" t="n"/>
      <c r="J244" s="853" t="n"/>
      <c r="K244" s="847" t="n"/>
      <c r="L244" s="891" t="n"/>
      <c r="M244" s="847" t="n"/>
      <c r="N244" s="848" t="n"/>
      <c r="O244" s="845" t="n"/>
      <c r="P244" s="846" t="n"/>
      <c r="Q244" s="830" t="n"/>
      <c r="R244" s="841" t="n"/>
      <c r="S244" s="505" t="inlineStr">
        <is>
          <t>간호간병통합사용</t>
        </is>
      </c>
      <c r="T244" s="959">
        <f>T181+C244+E244+G244+I244+K244+M244+O244</f>
        <v/>
      </c>
    </row>
    <row r="245" ht="14.1" customHeight="1" s="797">
      <c r="A245" s="917" t="inlineStr">
        <is>
          <t>운전자</t>
        </is>
      </c>
      <c r="B245" s="476" t="inlineStr">
        <is>
          <t>벌금</t>
        </is>
      </c>
      <c r="C245" s="828" t="n"/>
      <c r="D245" s="975" t="n"/>
      <c r="E245" s="826" t="n"/>
      <c r="F245" s="880" t="n"/>
      <c r="G245" s="828" t="n"/>
      <c r="H245" s="913" t="n"/>
      <c r="I245" s="828" t="n"/>
      <c r="J245" s="829" t="n"/>
      <c r="K245" s="828" t="n"/>
      <c r="L245" s="913" t="n"/>
      <c r="M245" s="828" t="n"/>
      <c r="N245" s="829" t="n"/>
      <c r="O245" s="836" t="n"/>
      <c r="P245" s="827" t="n"/>
      <c r="Q245" s="830" t="n"/>
      <c r="R245" s="917" t="inlineStr">
        <is>
          <t>운전자</t>
        </is>
      </c>
      <c r="S245" s="377" t="inlineStr">
        <is>
          <t>벌금</t>
        </is>
      </c>
      <c r="T245" s="957">
        <f>T182+C245+E245+G245+I245+K245+M245+O245</f>
        <v/>
      </c>
    </row>
    <row r="246" ht="14.1" customHeight="1" s="797">
      <c r="A246" s="832" t="n"/>
      <c r="B246" s="476" t="inlineStr">
        <is>
          <t>변호사선임</t>
        </is>
      </c>
      <c r="C246" s="838" t="n"/>
      <c r="D246" s="976" t="n"/>
      <c r="E246" s="836" t="n"/>
      <c r="F246" s="894" t="n"/>
      <c r="G246" s="838" t="n"/>
      <c r="H246" s="968" t="n"/>
      <c r="I246" s="838" t="n"/>
      <c r="J246" s="443" t="n"/>
      <c r="K246" s="838" t="n"/>
      <c r="L246" s="968" t="n"/>
      <c r="M246" s="838" t="n"/>
      <c r="N246" s="839" t="n"/>
      <c r="O246" s="836" t="n"/>
      <c r="P246" s="837" t="n"/>
      <c r="Q246" s="830" t="n"/>
      <c r="R246" s="832" t="n"/>
      <c r="S246" s="377" t="inlineStr">
        <is>
          <t>변호사선임</t>
        </is>
      </c>
      <c r="T246" s="959">
        <f>T183+C246+E246+G246+I246+K246+M246+O246</f>
        <v/>
      </c>
    </row>
    <row r="247" ht="14.1" customHeight="1" s="797" thickBot="1">
      <c r="A247" s="841" t="n"/>
      <c r="B247" s="477" t="inlineStr">
        <is>
          <t>교통사고처리지원</t>
        </is>
      </c>
      <c r="C247" s="856" t="n"/>
      <c r="D247" s="967" t="n"/>
      <c r="E247" s="901" t="n"/>
      <c r="F247" s="852" t="n"/>
      <c r="G247" s="856" t="n"/>
      <c r="H247" s="914" t="n"/>
      <c r="I247" s="856" t="n"/>
      <c r="J247" s="839" t="n"/>
      <c r="K247" s="856" t="n"/>
      <c r="L247" s="914" t="n"/>
      <c r="M247" s="856" t="n"/>
      <c r="N247" s="853" t="n"/>
      <c r="O247" s="836" t="n"/>
      <c r="P247" s="837" t="n"/>
      <c r="Q247" s="830" t="n"/>
      <c r="R247" s="841" t="n"/>
      <c r="S247" s="378" t="inlineStr">
        <is>
          <t>교통사고처리지원</t>
        </is>
      </c>
      <c r="T247" s="959">
        <f>T184+C247+E247+G247+I247+K247+M247+O247</f>
        <v/>
      </c>
    </row>
    <row r="248" ht="14.1" customHeight="1" s="797" thickBot="1">
      <c r="A248" s="585" t="inlineStr">
        <is>
          <t>일상생활배상책임</t>
        </is>
      </c>
      <c r="B248" s="919" t="n"/>
      <c r="C248" s="920" t="n"/>
      <c r="D248" s="977" t="n"/>
      <c r="E248" s="920" t="n"/>
      <c r="F248" s="922" t="n"/>
      <c r="G248" s="920" t="n"/>
      <c r="H248" s="978" t="n"/>
      <c r="I248" s="920" t="n"/>
      <c r="J248" s="923" t="n"/>
      <c r="K248" s="920" t="n"/>
      <c r="L248" s="978" t="n"/>
      <c r="M248" s="920" t="n"/>
      <c r="N248" s="923" t="n"/>
      <c r="O248" s="925" t="n"/>
      <c r="P248" s="926" t="n"/>
      <c r="Q248" s="830" t="n"/>
      <c r="R248" s="585" t="inlineStr">
        <is>
          <t>일상생활배상책임</t>
        </is>
      </c>
      <c r="S248" s="919" t="n"/>
      <c r="T248" s="957">
        <f>T185+C248+E248+G248+I248+K248+M248+O248</f>
        <v/>
      </c>
    </row>
    <row r="249" ht="14.1" customHeight="1" s="797">
      <c r="A249" s="928" t="inlineStr">
        <is>
          <t>기타</t>
        </is>
      </c>
      <c r="B249" s="929" t="n"/>
      <c r="C249" s="930" t="n"/>
      <c r="D249" s="829" t="n"/>
      <c r="E249" s="930" t="n"/>
      <c r="F249" s="839" t="n"/>
      <c r="G249" s="930" t="n"/>
      <c r="H249" s="913" t="n"/>
      <c r="I249" s="930" t="n"/>
      <c r="J249" s="979" t="n"/>
      <c r="K249" s="938" t="n"/>
      <c r="L249" s="913" t="n"/>
      <c r="M249" s="930" t="n"/>
      <c r="N249" s="914" t="n"/>
      <c r="O249" s="930" t="n"/>
      <c r="P249" s="827" t="n"/>
      <c r="Q249" s="830" t="n"/>
      <c r="R249" s="935" t="inlineStr">
        <is>
          <t>기타</t>
        </is>
      </c>
      <c r="S249" s="980" t="n"/>
      <c r="T249" s="937" t="n"/>
    </row>
    <row r="250" ht="14.1" customHeight="1" s="797">
      <c r="A250" s="804" t="n"/>
      <c r="C250" s="938" t="n"/>
      <c r="D250" s="839" t="n"/>
      <c r="E250" s="938" t="n"/>
      <c r="F250" s="853" t="n"/>
      <c r="G250" s="938" t="n"/>
      <c r="H250" s="968" t="n"/>
      <c r="I250" s="938" t="n"/>
      <c r="J250" s="839" t="n"/>
      <c r="K250" s="454" t="n"/>
      <c r="L250" s="968" t="n"/>
      <c r="M250" s="938" t="n"/>
      <c r="N250" s="968" t="n"/>
      <c r="O250" s="938" t="n"/>
      <c r="P250" s="837" t="n"/>
      <c r="Q250" s="830" t="n"/>
      <c r="R250" s="804" t="n"/>
      <c r="S250" s="804" t="n"/>
      <c r="T250" s="805" t="n"/>
    </row>
    <row r="251" ht="14.1" customHeight="1" s="797">
      <c r="A251" s="804" t="n"/>
      <c r="C251" s="938" t="n"/>
      <c r="D251" s="839" t="n"/>
      <c r="E251" s="938" t="n"/>
      <c r="F251" s="853" t="n"/>
      <c r="G251" s="938" t="n"/>
      <c r="H251" s="968" t="n"/>
      <c r="I251" s="938" t="n"/>
      <c r="J251" s="853" t="n"/>
      <c r="K251" s="938" t="n"/>
      <c r="L251" s="839" t="n"/>
      <c r="M251" s="938" t="n"/>
      <c r="N251" s="914" t="n"/>
      <c r="O251" s="938" t="n"/>
      <c r="P251" s="837" t="n"/>
      <c r="Q251" s="830" t="n"/>
      <c r="R251" s="804" t="n"/>
      <c r="S251" s="804" t="n"/>
      <c r="T251" s="805" t="n"/>
    </row>
    <row r="252" ht="14.1" customHeight="1" s="797" thickBot="1">
      <c r="A252" s="942" t="n"/>
      <c r="B252" s="943" t="n"/>
      <c r="C252" s="944" t="n"/>
      <c r="D252" s="848" t="n"/>
      <c r="E252" s="944" t="n"/>
      <c r="F252" s="981" t="n"/>
      <c r="G252" s="944" t="n"/>
      <c r="H252" s="891" t="n"/>
      <c r="I252" s="944" t="n"/>
      <c r="J252" s="885" t="n"/>
      <c r="K252" s="944" t="n"/>
      <c r="L252" s="885" t="n"/>
      <c r="M252" s="944" t="n"/>
      <c r="N252" s="848" t="n"/>
      <c r="O252" s="944" t="n"/>
      <c r="P252" s="846" t="n"/>
      <c r="Q252" s="830" t="n"/>
      <c r="R252" s="942" t="n"/>
      <c r="S252" s="942" t="n"/>
      <c r="T252" s="946" t="n"/>
    </row>
    <row r="253" ht="18.95" customHeight="1" s="797">
      <c r="A253" s="947">
        <f>A190</f>
        <v/>
      </c>
      <c r="B253" s="796" t="n"/>
      <c r="C253" s="649" t="n"/>
      <c r="D253" s="794" t="n"/>
      <c r="E253" s="649" t="n"/>
      <c r="F253" s="794" t="n"/>
      <c r="G253" s="649" t="n"/>
      <c r="H253" s="794" t="n"/>
      <c r="I253" s="649" t="n"/>
      <c r="J253" s="794" t="n"/>
      <c r="K253" s="649" t="n"/>
      <c r="L253" s="794" t="n"/>
      <c r="M253" s="649" t="n"/>
      <c r="N253" s="794" t="n"/>
      <c r="O253" s="649" t="n"/>
      <c r="P253" s="794" t="n"/>
      <c r="Q253" s="138" t="n"/>
      <c r="R253" s="795" t="inlineStr">
        <is>
          <t>평가 기준일</t>
        </is>
      </c>
      <c r="S253" s="796" t="n"/>
      <c r="T253" s="137">
        <f>T190</f>
        <v/>
      </c>
    </row>
    <row r="254" ht="14.1" customHeight="1" s="797">
      <c r="A254" s="647" t="inlineStr">
        <is>
          <t>상품명</t>
        </is>
      </c>
      <c r="B254" s="798" t="n"/>
      <c r="C254" s="645" t="n"/>
      <c r="D254" s="799" t="n"/>
      <c r="E254" s="645" t="n"/>
      <c r="F254" s="799" t="n"/>
      <c r="G254" s="645" t="n"/>
      <c r="H254" s="799" t="n"/>
      <c r="I254" s="645" t="n"/>
      <c r="J254" s="799" t="n"/>
      <c r="K254" s="645" t="n"/>
      <c r="L254" s="799" t="n"/>
      <c r="M254" s="645" t="n"/>
      <c r="N254" s="799" t="n"/>
      <c r="O254" s="645" t="n"/>
      <c r="P254" s="799" t="n"/>
      <c r="Q254" s="25" t="n"/>
      <c r="R254" s="948" t="n"/>
      <c r="S254" s="801" t="n"/>
      <c r="T254" s="802" t="n"/>
    </row>
    <row r="255" ht="14.1" customHeight="1" s="797">
      <c r="A255" s="647" t="inlineStr">
        <is>
          <t>계약자 / 피보험자</t>
        </is>
      </c>
      <c r="B255" s="798" t="n"/>
      <c r="C255" s="645" t="n"/>
      <c r="D255" s="799" t="n"/>
      <c r="E255" s="645" t="n"/>
      <c r="F255" s="799" t="n"/>
      <c r="G255" s="645" t="n"/>
      <c r="H255" s="799" t="n"/>
      <c r="I255" s="645" t="n"/>
      <c r="J255" s="799" t="n"/>
      <c r="K255" s="645" t="n"/>
      <c r="L255" s="799" t="n"/>
      <c r="M255" s="645" t="n"/>
      <c r="N255" s="799" t="n"/>
      <c r="O255" s="646" t="n"/>
      <c r="P255" s="799" t="n"/>
      <c r="Q255" s="25" t="n"/>
      <c r="R255" s="804" t="n"/>
      <c r="T255" s="805" t="n"/>
    </row>
    <row r="256" ht="14.1" customHeight="1" s="797">
      <c r="A256" s="647" t="inlineStr">
        <is>
          <t>계약일자</t>
        </is>
      </c>
      <c r="B256" s="798" t="n"/>
      <c r="C256" s="646" t="n"/>
      <c r="D256" s="799" t="n"/>
      <c r="E256" s="646" t="n"/>
      <c r="F256" s="799" t="n"/>
      <c r="G256" s="646" t="n"/>
      <c r="H256" s="799" t="n"/>
      <c r="I256" s="646" t="n"/>
      <c r="J256" s="799" t="n"/>
      <c r="K256" s="646" t="n"/>
      <c r="L256" s="799" t="n"/>
      <c r="M256" s="646" t="n"/>
      <c r="N256" s="799" t="n"/>
      <c r="O256" s="646" t="n"/>
      <c r="P256" s="799" t="n"/>
      <c r="Q256" s="25" t="n"/>
      <c r="R256" s="804" t="n"/>
      <c r="T256" s="805" t="n"/>
    </row>
    <row r="257" ht="14.1" customHeight="1" s="797">
      <c r="A257" s="647" t="inlineStr">
        <is>
          <t>납입기간 / 기납입기간</t>
        </is>
      </c>
      <c r="B257" s="798" t="n"/>
      <c r="C257" s="806" t="n"/>
      <c r="D257" s="807" t="n"/>
      <c r="E257" s="806" t="n"/>
      <c r="F257" s="807">
        <f>IF(DATEDIF(E256,$T$1,"m")&lt;E257*12,DATEDIF(E256,$T$1,"m"),E257*12)</f>
        <v/>
      </c>
      <c r="G257" s="806" t="n"/>
      <c r="H257" s="807">
        <f>IF(DATEDIF(G256,$T$1,"m")&lt;G257*12,DATEDIF(G256,$T$1,"m"),G257*12)</f>
        <v/>
      </c>
      <c r="I257" s="806" t="n"/>
      <c r="J257" s="807">
        <f>IF(DATEDIF(I256,$T$1,"m")&lt;I257*12,DATEDIF(I256,$T$1,"m"),I257*12)</f>
        <v/>
      </c>
      <c r="K257" s="806" t="n"/>
      <c r="L257" s="807">
        <f>IF(DATEDIF(K256,$T$1,"m")&lt;K257*12,DATEDIF(K256,$T$1,"m"),K257*12)</f>
        <v/>
      </c>
      <c r="M257" s="806" t="n"/>
      <c r="N257" s="949">
        <f>IF(DATEDIF(M256,$T$1,"m")&lt;M257*12,DATEDIF(M256,$T$1,"m"),M257*12)</f>
        <v/>
      </c>
      <c r="O257" s="806" t="n"/>
      <c r="P257" s="807">
        <f>IF(DATEDIF(O256,$T$1,"m")&lt;O257*12,DATEDIF(O256,$T$1,"m"),O257*12)</f>
        <v/>
      </c>
      <c r="Q257" s="25" t="n"/>
      <c r="R257" s="804" t="n"/>
      <c r="T257" s="805" t="n"/>
    </row>
    <row r="258" ht="14.1" customHeight="1" s="797">
      <c r="A258" s="647" t="inlineStr">
        <is>
          <t>보장기간</t>
        </is>
      </c>
      <c r="B258" s="798" t="n"/>
      <c r="C258" s="645" t="n"/>
      <c r="D258" s="799" t="n"/>
      <c r="E258" s="645" t="n"/>
      <c r="F258" s="799" t="n"/>
      <c r="G258" s="645" t="n"/>
      <c r="H258" s="799" t="n"/>
      <c r="I258" s="645" t="n"/>
      <c r="J258" s="799" t="n"/>
      <c r="K258" s="645" t="n"/>
      <c r="L258" s="799" t="n"/>
      <c r="M258" s="645" t="n"/>
      <c r="N258" s="799" t="n"/>
      <c r="O258" s="645" t="n"/>
      <c r="P258" s="799" t="n"/>
      <c r="Q258" s="25" t="n"/>
      <c r="R258" s="808" t="n"/>
      <c r="S258" s="809" t="n"/>
      <c r="T258" s="810" t="n"/>
    </row>
    <row r="259" ht="14.1" customHeight="1" s="797">
      <c r="A259" s="632" t="inlineStr">
        <is>
          <t>비고 / 갱신종류</t>
        </is>
      </c>
      <c r="B259" s="811" t="n"/>
      <c r="C259" s="642" t="n"/>
      <c r="D259" s="799" t="n"/>
      <c r="E259" s="642" t="n"/>
      <c r="F259" s="799" t="n"/>
      <c r="G259" s="642" t="n"/>
      <c r="H259" s="799" t="n"/>
      <c r="I259" s="642" t="n"/>
      <c r="J259" s="799" t="n"/>
      <c r="K259" s="642" t="n"/>
      <c r="L259" s="799" t="n"/>
      <c r="M259" s="642" t="n"/>
      <c r="N259" s="799" t="n"/>
      <c r="O259" s="642" t="n"/>
      <c r="P259" s="799" t="n"/>
      <c r="Q259" s="25" t="n"/>
      <c r="R259" s="950" t="n"/>
      <c r="S259" s="798" t="n"/>
      <c r="T259" s="27" t="inlineStr">
        <is>
          <t>총 보장 (원)</t>
        </is>
      </c>
    </row>
    <row r="260" ht="14.1" customHeight="1" s="797">
      <c r="A260" s="639" t="inlineStr">
        <is>
          <t>월 보험료</t>
        </is>
      </c>
      <c r="B260" s="798" t="n"/>
      <c r="C260" s="813" t="n"/>
      <c r="D260" s="799" t="n"/>
      <c r="E260" s="813" t="n"/>
      <c r="F260" s="799" t="n"/>
      <c r="G260" s="813" t="n"/>
      <c r="H260" s="799" t="n"/>
      <c r="I260" s="813" t="n"/>
      <c r="J260" s="799" t="n"/>
      <c r="K260" s="813" t="n"/>
      <c r="L260" s="799" t="n"/>
      <c r="M260" s="813" t="n"/>
      <c r="N260" s="799" t="n"/>
      <c r="O260" s="813" t="n"/>
      <c r="P260" s="799" t="n"/>
      <c r="Q260" s="814" t="n"/>
      <c r="R260" s="982" t="inlineStr">
        <is>
          <t>합산 월 보험료</t>
        </is>
      </c>
      <c r="S260" s="798" t="n"/>
      <c r="T260" s="951">
        <f>T197+C260+E260+G260+I260+K260+O260</f>
        <v/>
      </c>
    </row>
    <row r="261" ht="14.1" customHeight="1" s="797">
      <c r="A261" s="647" t="inlineStr">
        <is>
          <t>보험료 총액</t>
        </is>
      </c>
      <c r="B261" s="798" t="n"/>
      <c r="C261" s="817" t="n"/>
      <c r="D261" s="799" t="n"/>
      <c r="E261" s="817">
        <f>E260*E257*12</f>
        <v/>
      </c>
      <c r="F261" s="799" t="n"/>
      <c r="G261" s="817">
        <f>G260*G257*12</f>
        <v/>
      </c>
      <c r="H261" s="799" t="n"/>
      <c r="I261" s="817">
        <f>I260*I257*12</f>
        <v/>
      </c>
      <c r="J261" s="799" t="n"/>
      <c r="K261" s="817">
        <f>K260*K257*12</f>
        <v/>
      </c>
      <c r="L261" s="799" t="n"/>
      <c r="M261" s="817">
        <f>M260*M257*12</f>
        <v/>
      </c>
      <c r="N261" s="799" t="n"/>
      <c r="O261" s="817">
        <f>O260*O257*12</f>
        <v/>
      </c>
      <c r="P261" s="799" t="n"/>
      <c r="Q261" s="814" t="n"/>
      <c r="R261" s="982" t="inlineStr">
        <is>
          <t>합산 보험료 총액</t>
        </is>
      </c>
      <c r="S261" s="798" t="n"/>
      <c r="T261" s="952">
        <f>T198+C261+E261+G261+I261+K261+O261</f>
        <v/>
      </c>
    </row>
    <row r="262" ht="14.1" customHeight="1" s="797">
      <c r="A262" s="647" t="inlineStr">
        <is>
          <t>기 납입금</t>
        </is>
      </c>
      <c r="B262" s="798" t="n"/>
      <c r="C262" s="817" t="n"/>
      <c r="D262" s="799" t="n"/>
      <c r="E262" s="817">
        <f>E260*F257</f>
        <v/>
      </c>
      <c r="F262" s="799" t="n"/>
      <c r="G262" s="817">
        <f>G260*H257</f>
        <v/>
      </c>
      <c r="H262" s="799" t="n"/>
      <c r="I262" s="817">
        <f>I260*J257</f>
        <v/>
      </c>
      <c r="J262" s="799" t="n"/>
      <c r="K262" s="817">
        <f>K260*L257</f>
        <v/>
      </c>
      <c r="L262" s="799" t="n"/>
      <c r="M262" s="817">
        <f>M260*N257</f>
        <v/>
      </c>
      <c r="N262" s="799" t="n"/>
      <c r="O262" s="817">
        <f>O260*P257</f>
        <v/>
      </c>
      <c r="P262" s="799" t="n"/>
      <c r="Q262" s="814" t="n"/>
      <c r="R262" s="982" t="inlineStr">
        <is>
          <t>합산 기 납입금</t>
        </is>
      </c>
      <c r="S262" s="798" t="n"/>
      <c r="T262" s="952">
        <f>T199+C262+E262+G262+I262+K262+O262</f>
        <v/>
      </c>
    </row>
    <row r="263" ht="14.1" customHeight="1" s="797" thickBot="1">
      <c r="A263" s="632" t="inlineStr">
        <is>
          <t>미 납입금</t>
        </is>
      </c>
      <c r="B263" s="811" t="n"/>
      <c r="C263" s="817" t="n"/>
      <c r="D263" s="799" t="n"/>
      <c r="E263" s="817">
        <f>E261-E262</f>
        <v/>
      </c>
      <c r="F263" s="799" t="n"/>
      <c r="G263" s="817">
        <f>G261-G262</f>
        <v/>
      </c>
      <c r="H263" s="799" t="n"/>
      <c r="I263" s="817">
        <f>I261-I262</f>
        <v/>
      </c>
      <c r="J263" s="799" t="n"/>
      <c r="K263" s="817">
        <f>K261-K262</f>
        <v/>
      </c>
      <c r="L263" s="799" t="n"/>
      <c r="M263" s="817">
        <f>M261-M262</f>
        <v/>
      </c>
      <c r="N263" s="799" t="n"/>
      <c r="O263" s="817">
        <f>O261-O262</f>
        <v/>
      </c>
      <c r="P263" s="799" t="n"/>
      <c r="Q263" s="814" t="n"/>
      <c r="R263" s="983" t="inlineStr">
        <is>
          <t>합산 미 납입금</t>
        </is>
      </c>
      <c r="S263" s="954" t="n"/>
      <c r="T263" s="955">
        <f>T200+C263+E263+G263+I263+K263+O263</f>
        <v/>
      </c>
    </row>
    <row r="264" ht="14.1" customHeight="1" s="797">
      <c r="A264" s="821" t="inlineStr">
        <is>
          <t>실비
(갱신)</t>
        </is>
      </c>
      <c r="B264" s="457" t="inlineStr">
        <is>
          <t>질병입원의료비</t>
        </is>
      </c>
      <c r="C264" s="828" t="n"/>
      <c r="D264" s="829" t="n"/>
      <c r="E264" s="828" t="n"/>
      <c r="F264" s="956" t="n"/>
      <c r="G264" s="828" t="n"/>
      <c r="H264" s="880" t="n"/>
      <c r="I264" s="828" t="n"/>
      <c r="J264" s="880" t="n"/>
      <c r="K264" s="828" t="n"/>
      <c r="L264" s="829" t="n"/>
      <c r="M264" s="828" t="n"/>
      <c r="N264" s="827" t="n"/>
      <c r="O264" s="826" t="n"/>
      <c r="P264" s="827" t="n"/>
      <c r="Q264" s="830" t="n"/>
      <c r="R264" s="821" t="inlineStr">
        <is>
          <t>실비
(갱신)</t>
        </is>
      </c>
      <c r="S264" s="352" t="inlineStr">
        <is>
          <t>질병입원의료비</t>
        </is>
      </c>
      <c r="T264" s="957">
        <f>T201+C264+E264+G264+I264+K264+M264+O264</f>
        <v/>
      </c>
    </row>
    <row r="265" ht="14.1" customHeight="1" s="797">
      <c r="A265" s="832" t="n"/>
      <c r="B265" s="458" t="inlineStr">
        <is>
          <t>질병통원의료비</t>
        </is>
      </c>
      <c r="C265" s="838" t="n"/>
      <c r="D265" s="839" t="n"/>
      <c r="E265" s="838" t="n"/>
      <c r="F265" s="958" t="n"/>
      <c r="G265" s="838" t="n"/>
      <c r="H265" s="894" t="n"/>
      <c r="I265" s="838" t="n"/>
      <c r="J265" s="894" t="n"/>
      <c r="K265" s="838" t="n"/>
      <c r="L265" s="839" t="n"/>
      <c r="M265" s="838" t="n"/>
      <c r="N265" s="837" t="n"/>
      <c r="O265" s="836" t="n"/>
      <c r="P265" s="837" t="n"/>
      <c r="Q265" s="830" t="n"/>
      <c r="R265" s="832" t="n"/>
      <c r="S265" s="353" t="inlineStr">
        <is>
          <t>질병통원의료비</t>
        </is>
      </c>
      <c r="T265" s="959">
        <f>T202+C265+E265+G265+I265+K265+M265+O265</f>
        <v/>
      </c>
    </row>
    <row r="266" ht="14.1" customHeight="1" s="797">
      <c r="A266" s="832" t="n"/>
      <c r="B266" s="458" t="inlineStr">
        <is>
          <t>상해입원의료비</t>
        </is>
      </c>
      <c r="C266" s="838" t="n"/>
      <c r="D266" s="839" t="n"/>
      <c r="E266" s="838" t="n"/>
      <c r="F266" s="958" t="n"/>
      <c r="G266" s="838" t="n"/>
      <c r="H266" s="894" t="n"/>
      <c r="I266" s="838" t="n"/>
      <c r="J266" s="894" t="n"/>
      <c r="K266" s="838" t="n"/>
      <c r="L266" s="839" t="n"/>
      <c r="M266" s="838" t="n"/>
      <c r="N266" s="837" t="n"/>
      <c r="O266" s="836" t="n"/>
      <c r="P266" s="837" t="n"/>
      <c r="Q266" s="830" t="n"/>
      <c r="R266" s="832" t="n"/>
      <c r="S266" s="353" t="inlineStr">
        <is>
          <t>상해입원의료비</t>
        </is>
      </c>
      <c r="T266" s="959">
        <f>T203+C266+E266+G266+I266+K266+M266+O266</f>
        <v/>
      </c>
    </row>
    <row r="267" ht="14.1" customHeight="1" s="797">
      <c r="A267" s="832" t="n"/>
      <c r="B267" s="458" t="inlineStr">
        <is>
          <t>상해통원의료비</t>
        </is>
      </c>
      <c r="C267" s="838" t="n"/>
      <c r="D267" s="839" t="n"/>
      <c r="E267" s="838" t="n"/>
      <c r="F267" s="958" t="n"/>
      <c r="G267" s="838" t="n"/>
      <c r="H267" s="894" t="n"/>
      <c r="I267" s="838" t="n"/>
      <c r="J267" s="894" t="n"/>
      <c r="K267" s="838" t="n"/>
      <c r="L267" s="839" t="n"/>
      <c r="M267" s="838" t="n"/>
      <c r="N267" s="837" t="n"/>
      <c r="O267" s="836" t="n"/>
      <c r="P267" s="837" t="n"/>
      <c r="Q267" s="830" t="n"/>
      <c r="R267" s="832" t="n"/>
      <c r="S267" s="353" t="inlineStr">
        <is>
          <t>상해통원의료비</t>
        </is>
      </c>
      <c r="T267" s="959">
        <f>T204+C267+E267+G267+I267+K267+M267+O267</f>
        <v/>
      </c>
    </row>
    <row r="268" ht="14.1" customHeight="1" s="797" thickBot="1">
      <c r="A268" s="841" t="n"/>
      <c r="B268" s="459" t="inlineStr">
        <is>
          <t>3대비급여 의료비</t>
        </is>
      </c>
      <c r="C268" s="847" t="n"/>
      <c r="D268" s="848" t="n"/>
      <c r="E268" s="847" t="n"/>
      <c r="F268" s="960" t="n"/>
      <c r="G268" s="847" t="n"/>
      <c r="H268" s="885" t="n"/>
      <c r="I268" s="847" t="n"/>
      <c r="J268" s="885" t="n"/>
      <c r="K268" s="847" t="n"/>
      <c r="L268" s="848" t="n"/>
      <c r="M268" s="847" t="n"/>
      <c r="N268" s="846" t="n"/>
      <c r="O268" s="845" t="n"/>
      <c r="P268" s="846" t="n"/>
      <c r="Q268" s="830" t="n"/>
      <c r="R268" s="841" t="n"/>
      <c r="S268" s="354" t="inlineStr">
        <is>
          <t>3대비급여 의료비</t>
        </is>
      </c>
      <c r="T268" s="963">
        <f>T205+C268+E268+G268+I268+K268+M268+O268</f>
        <v/>
      </c>
    </row>
    <row r="269" ht="14.1" customHeight="1" s="797">
      <c r="A269" s="624" t="inlineStr">
        <is>
          <t>암</t>
        </is>
      </c>
      <c r="B269" s="460" t="inlineStr">
        <is>
          <t>암진단</t>
        </is>
      </c>
      <c r="C269" s="828" t="n"/>
      <c r="D269" s="908" t="n"/>
      <c r="E269" s="828" t="n"/>
      <c r="F269" s="880" t="n"/>
      <c r="G269" s="828" t="n"/>
      <c r="H269" s="880" t="n"/>
      <c r="I269" s="828" t="n"/>
      <c r="J269" s="880" t="n"/>
      <c r="K269" s="828" t="n"/>
      <c r="L269" s="913" t="n"/>
      <c r="M269" s="828" t="n"/>
      <c r="N269" s="829" t="n"/>
      <c r="O269" s="828" t="n"/>
      <c r="P269" s="827" t="n"/>
      <c r="Q269" s="830" t="n"/>
      <c r="R269" s="626" t="inlineStr">
        <is>
          <t>암</t>
        </is>
      </c>
      <c r="S269" s="490" t="inlineStr">
        <is>
          <t>암진단비</t>
        </is>
      </c>
      <c r="T269" s="957">
        <f>T206+C269+E269+G269+I269+K269+M269+O269</f>
        <v/>
      </c>
    </row>
    <row r="270" ht="14.1" customHeight="1" s="797">
      <c r="A270" s="832" t="n"/>
      <c r="B270" s="481" t="inlineStr">
        <is>
          <t>유사암진단</t>
        </is>
      </c>
      <c r="C270" s="838" t="n"/>
      <c r="D270" s="873" t="n"/>
      <c r="E270" s="838" t="n"/>
      <c r="F270" s="852" t="n"/>
      <c r="G270" s="838" t="n"/>
      <c r="H270" s="852" t="n"/>
      <c r="I270" s="838" t="n"/>
      <c r="J270" s="852" t="n"/>
      <c r="K270" s="838" t="n"/>
      <c r="L270" s="914" t="n"/>
      <c r="M270" s="838" t="n"/>
      <c r="N270" s="853" t="n"/>
      <c r="O270" s="856" t="n"/>
      <c r="P270" s="857" t="n"/>
      <c r="Q270" s="830" t="n"/>
      <c r="R270" s="832" t="n"/>
      <c r="S270" s="491" t="inlineStr">
        <is>
          <t>유사암진단</t>
        </is>
      </c>
      <c r="T270" s="959">
        <f>T207+C270+E270+G270+I270+K270+M270+O270</f>
        <v/>
      </c>
    </row>
    <row r="271" ht="14.1" customHeight="1" s="797" thickBot="1">
      <c r="A271" s="832" t="n"/>
      <c r="B271" s="553" t="inlineStr">
        <is>
          <t>전이암진단</t>
        </is>
      </c>
      <c r="C271" s="847" t="n"/>
      <c r="D271" s="961" t="n"/>
      <c r="E271" s="847" t="n"/>
      <c r="F271" s="910" t="n"/>
      <c r="G271" s="847" t="n"/>
      <c r="H271" s="910" t="n"/>
      <c r="I271" s="847" t="n"/>
      <c r="J271" s="910" t="n"/>
      <c r="K271" s="847" t="n"/>
      <c r="L271" s="916" t="n"/>
      <c r="M271" s="909" t="n"/>
      <c r="N271" s="877" t="n"/>
      <c r="O271" s="909" t="n"/>
      <c r="P271" s="962" t="n"/>
      <c r="Q271" s="830" t="n"/>
      <c r="R271" s="832" t="n"/>
      <c r="S271" s="566" t="inlineStr">
        <is>
          <t>전이암진단</t>
        </is>
      </c>
      <c r="T271" s="959">
        <f>T208+C271+E271+G271+I271+K271+M271+O271</f>
        <v/>
      </c>
    </row>
    <row r="272" ht="14.1" customHeight="1" s="797">
      <c r="A272" s="832" t="n"/>
      <c r="B272" s="554" t="inlineStr">
        <is>
          <t>암수술</t>
        </is>
      </c>
      <c r="C272" s="856" t="n"/>
      <c r="D272" s="873" t="n"/>
      <c r="E272" s="856" t="n"/>
      <c r="F272" s="852" t="n"/>
      <c r="G272" s="856" t="n"/>
      <c r="H272" s="852" t="n"/>
      <c r="I272" s="856" t="n"/>
      <c r="J272" s="852" t="n"/>
      <c r="K272" s="856" t="n"/>
      <c r="L272" s="914" t="n"/>
      <c r="M272" s="856" t="n"/>
      <c r="N272" s="853" t="n"/>
      <c r="O272" s="856" t="n"/>
      <c r="P272" s="857" t="n"/>
      <c r="Q272" s="830" t="n"/>
      <c r="R272" s="832" t="n"/>
      <c r="S272" s="343" t="inlineStr">
        <is>
          <t>암수술</t>
        </is>
      </c>
      <c r="T272" s="957">
        <f>T209+C272+E272+G272+I272+K272+M272+O272</f>
        <v/>
      </c>
    </row>
    <row r="273" ht="14.1" customHeight="1" s="797">
      <c r="A273" s="832" t="n"/>
      <c r="B273" s="555" t="inlineStr">
        <is>
          <t>다빈치로봇수술</t>
        </is>
      </c>
      <c r="C273" s="838" t="n"/>
      <c r="D273" s="873" t="n"/>
      <c r="E273" s="838" t="n"/>
      <c r="F273" s="852" t="n"/>
      <c r="G273" s="838" t="n"/>
      <c r="H273" s="852" t="n"/>
      <c r="I273" s="838" t="n"/>
      <c r="J273" s="852" t="n"/>
      <c r="K273" s="838" t="n"/>
      <c r="L273" s="914" t="n"/>
      <c r="M273" s="856" t="n"/>
      <c r="N273" s="853" t="n"/>
      <c r="O273" s="856" t="n"/>
      <c r="P273" s="857" t="n"/>
      <c r="Q273" s="830" t="n"/>
      <c r="R273" s="832" t="n"/>
      <c r="S273" s="326" t="inlineStr">
        <is>
          <t>다빈치로봇수술</t>
        </is>
      </c>
      <c r="T273" s="959">
        <f>T210+C273+E273+G273+I273+K273+M273+O273</f>
        <v/>
      </c>
    </row>
    <row r="274" ht="14.1" customHeight="1" s="797">
      <c r="A274" s="832" t="n"/>
      <c r="B274" s="556" t="inlineStr">
        <is>
          <t>항암방사선</t>
        </is>
      </c>
      <c r="C274" s="838" t="n"/>
      <c r="D274" s="873" t="n"/>
      <c r="E274" s="838" t="n"/>
      <c r="F274" s="852" t="n"/>
      <c r="G274" s="838" t="n"/>
      <c r="H274" s="852" t="n"/>
      <c r="I274" s="838" t="n"/>
      <c r="J274" s="852" t="n"/>
      <c r="K274" s="838" t="n"/>
      <c r="L274" s="914" t="n"/>
      <c r="M274" s="856" t="n"/>
      <c r="N274" s="853" t="n"/>
      <c r="O274" s="856" t="n"/>
      <c r="P274" s="857" t="n"/>
      <c r="Q274" s="830" t="n"/>
      <c r="R274" s="832" t="n"/>
      <c r="S274" s="343" t="inlineStr">
        <is>
          <t>항암방사선</t>
        </is>
      </c>
      <c r="T274" s="959">
        <f>T211+C274+E274+G274+I274+K274+M274+O274</f>
        <v/>
      </c>
    </row>
    <row r="275" ht="14.1" customHeight="1" s="797">
      <c r="A275" s="832" t="n"/>
      <c r="B275" s="555" t="inlineStr">
        <is>
          <t>중입자방사선</t>
        </is>
      </c>
      <c r="C275" s="838" t="n"/>
      <c r="D275" s="873" t="n"/>
      <c r="E275" s="838" t="n"/>
      <c r="F275" s="852" t="n"/>
      <c r="G275" s="838" t="n"/>
      <c r="H275" s="852" t="n"/>
      <c r="I275" s="838" t="n"/>
      <c r="J275" s="852" t="n"/>
      <c r="K275" s="838" t="n"/>
      <c r="L275" s="914" t="n"/>
      <c r="M275" s="856" t="n"/>
      <c r="N275" s="853" t="n"/>
      <c r="O275" s="856" t="n"/>
      <c r="P275" s="857" t="n"/>
      <c r="Q275" s="830" t="n"/>
      <c r="R275" s="832" t="n"/>
      <c r="S275" s="326" t="inlineStr">
        <is>
          <t>중입자방사선</t>
        </is>
      </c>
      <c r="T275" s="959">
        <f>T212+C275+E275+G275+I275+K275+M275+O275</f>
        <v/>
      </c>
    </row>
    <row r="276" ht="14.1" customHeight="1" s="797">
      <c r="A276" s="832" t="n"/>
      <c r="B276" s="555" t="inlineStr">
        <is>
          <t>양성자방사선</t>
        </is>
      </c>
      <c r="C276" s="838" t="n"/>
      <c r="D276" s="873" t="n"/>
      <c r="E276" s="838" t="n"/>
      <c r="F276" s="852" t="n"/>
      <c r="G276" s="838" t="n"/>
      <c r="H276" s="852" t="n"/>
      <c r="I276" s="838" t="n"/>
      <c r="J276" s="852" t="n"/>
      <c r="K276" s="838" t="n"/>
      <c r="L276" s="914" t="n"/>
      <c r="M276" s="856" t="n"/>
      <c r="N276" s="853" t="n"/>
      <c r="O276" s="856" t="n"/>
      <c r="P276" s="857" t="n"/>
      <c r="Q276" s="830" t="n"/>
      <c r="R276" s="832" t="n"/>
      <c r="S276" s="326" t="inlineStr">
        <is>
          <t>양성자방사선</t>
        </is>
      </c>
      <c r="T276" s="959">
        <f>T213+C276+E276+G276+I276+K276+M276+O276</f>
        <v/>
      </c>
    </row>
    <row r="277" ht="14.1" customHeight="1" s="797">
      <c r="A277" s="832" t="n"/>
      <c r="B277" s="555" t="inlineStr">
        <is>
          <t>세기조절방사선</t>
        </is>
      </c>
      <c r="C277" s="838" t="n"/>
      <c r="D277" s="873" t="n"/>
      <c r="E277" s="838" t="n"/>
      <c r="F277" s="852" t="n"/>
      <c r="G277" s="838" t="n"/>
      <c r="H277" s="852" t="n"/>
      <c r="I277" s="838" t="n"/>
      <c r="J277" s="852" t="n"/>
      <c r="K277" s="838" t="n"/>
      <c r="L277" s="914" t="n"/>
      <c r="M277" s="856" t="n"/>
      <c r="N277" s="853" t="n"/>
      <c r="O277" s="856" t="n"/>
      <c r="P277" s="857" t="n"/>
      <c r="Q277" s="830" t="n"/>
      <c r="R277" s="832" t="n"/>
      <c r="S277" s="326" t="inlineStr">
        <is>
          <t>세기조절방사선</t>
        </is>
      </c>
      <c r="T277" s="959">
        <f>T214+C277+E277+G277+I277+K277+M277+O277</f>
        <v/>
      </c>
    </row>
    <row r="278" ht="14.1" customHeight="1" s="797">
      <c r="A278" s="832" t="n"/>
      <c r="B278" s="556" t="inlineStr">
        <is>
          <t>항암약물</t>
        </is>
      </c>
      <c r="C278" s="838" t="n"/>
      <c r="D278" s="873" t="n"/>
      <c r="E278" s="862" t="n"/>
      <c r="F278" s="853" t="n"/>
      <c r="G278" s="862" t="n"/>
      <c r="H278" s="852" t="n"/>
      <c r="I278" s="862" t="n"/>
      <c r="J278" s="852" t="n"/>
      <c r="K278" s="862" t="n"/>
      <c r="L278" s="914" t="n"/>
      <c r="M278" s="859" t="n"/>
      <c r="N278" s="853" t="n"/>
      <c r="O278" s="856" t="n"/>
      <c r="P278" s="857" t="n"/>
      <c r="Q278" s="830" t="n"/>
      <c r="R278" s="832" t="n"/>
      <c r="S278" s="343" t="inlineStr">
        <is>
          <t>항암약물</t>
        </is>
      </c>
      <c r="T278" s="959">
        <f>T215+C278+E278+G278+I278+K278+M278+O278</f>
        <v/>
      </c>
    </row>
    <row r="279" ht="14.1" customHeight="1" s="797">
      <c r="A279" s="832" t="n"/>
      <c r="B279" s="555" t="inlineStr">
        <is>
          <t>표적항암약물</t>
        </is>
      </c>
      <c r="C279" s="862" t="n"/>
      <c r="D279" s="882" t="n"/>
      <c r="E279" s="862" t="n"/>
      <c r="F279" s="853" t="n"/>
      <c r="G279" s="862" t="n"/>
      <c r="H279" s="852" t="n"/>
      <c r="I279" s="862" t="n"/>
      <c r="J279" s="852" t="n"/>
      <c r="K279" s="862" t="n"/>
      <c r="L279" s="914" t="n"/>
      <c r="M279" s="859" t="n"/>
      <c r="N279" s="853" t="n"/>
      <c r="O279" s="859" t="n"/>
      <c r="P279" s="864" t="n"/>
      <c r="Q279" s="830" t="n"/>
      <c r="R279" s="832" t="n"/>
      <c r="S279" s="326" t="inlineStr">
        <is>
          <t>표적항암약물</t>
        </is>
      </c>
      <c r="T279" s="959">
        <f>T216+C279+E279+G279+I279+K279+M279+O279</f>
        <v/>
      </c>
    </row>
    <row r="280" ht="14.1" customHeight="1" s="797" thickBot="1">
      <c r="A280" s="832" t="n"/>
      <c r="B280" s="557" t="inlineStr">
        <is>
          <t>면역항암약물</t>
        </is>
      </c>
      <c r="C280" s="847" t="n"/>
      <c r="D280" s="848" t="n"/>
      <c r="E280" s="847" t="n"/>
      <c r="F280" s="871" t="n"/>
      <c r="G280" s="847" t="n"/>
      <c r="H280" s="852" t="n"/>
      <c r="I280" s="847" t="n"/>
      <c r="J280" s="852" t="n"/>
      <c r="K280" s="847" t="n"/>
      <c r="L280" s="914" t="n"/>
      <c r="M280" s="847" t="n"/>
      <c r="N280" s="853" t="n"/>
      <c r="O280" s="845" t="n"/>
      <c r="P280" s="846" t="n"/>
      <c r="Q280" s="830" t="n"/>
      <c r="R280" s="832" t="n"/>
      <c r="S280" s="327" t="inlineStr">
        <is>
          <t>면역항암약물</t>
        </is>
      </c>
      <c r="T280" s="963">
        <f>T217+C280+E280+G280+I280+K280+M280+O280</f>
        <v/>
      </c>
    </row>
    <row r="281" ht="14.1" customHeight="1" s="797">
      <c r="A281" s="628" t="inlineStr">
        <is>
          <t>2대
질병</t>
        </is>
      </c>
      <c r="B281" s="461" t="inlineStr">
        <is>
          <t>뇌혈관진단</t>
        </is>
      </c>
      <c r="C281" s="838" t="n"/>
      <c r="D281" s="829" t="n"/>
      <c r="E281" s="838" t="n"/>
      <c r="F281" s="880" t="n"/>
      <c r="G281" s="838" t="n"/>
      <c r="H281" s="880" t="n"/>
      <c r="I281" s="838" t="n"/>
      <c r="J281" s="880" t="n"/>
      <c r="K281" s="838" t="n"/>
      <c r="L281" s="913" t="n"/>
      <c r="M281" s="828" t="n"/>
      <c r="N281" s="829" t="n"/>
      <c r="O281" s="836" t="n"/>
      <c r="P281" s="827" t="n"/>
      <c r="Q281" s="830" t="n"/>
      <c r="R281" s="630" t="inlineStr">
        <is>
          <t>2대
질병</t>
        </is>
      </c>
      <c r="S281" s="379" t="inlineStr">
        <is>
          <t>뇌혈관</t>
        </is>
      </c>
      <c r="T281" s="957">
        <f>T218+C281+E281+G281+I281+K281+M281+O281</f>
        <v/>
      </c>
    </row>
    <row r="282" ht="14.1" customHeight="1" s="797">
      <c r="A282" s="832" t="n"/>
      <c r="B282" s="462" t="inlineStr">
        <is>
          <t>뇌졸증진단</t>
        </is>
      </c>
      <c r="C282" s="838" t="n"/>
      <c r="D282" s="853" t="n"/>
      <c r="E282" s="856" t="n"/>
      <c r="F282" s="852" t="n"/>
      <c r="G282" s="838" t="n"/>
      <c r="H282" s="852" t="n"/>
      <c r="I282" s="838" t="n"/>
      <c r="J282" s="852" t="n"/>
      <c r="K282" s="838" t="n"/>
      <c r="L282" s="914" t="n"/>
      <c r="M282" s="856" t="n"/>
      <c r="N282" s="853" t="n"/>
      <c r="O282" s="836" t="n"/>
      <c r="P282" s="857" t="n"/>
      <c r="Q282" s="830" t="n"/>
      <c r="R282" s="832" t="n"/>
      <c r="S282" s="380" t="inlineStr">
        <is>
          <t>뇌졸증</t>
        </is>
      </c>
      <c r="T282" s="959">
        <f>T219+C282+E282+G282+I282+K282+M282+O282</f>
        <v/>
      </c>
    </row>
    <row r="283" ht="14.1" customHeight="1" s="797" thickBot="1">
      <c r="A283" s="832" t="n"/>
      <c r="B283" s="463" t="inlineStr">
        <is>
          <t>뇌출혈진단</t>
        </is>
      </c>
      <c r="C283" s="859" t="n"/>
      <c r="D283" s="860" t="n"/>
      <c r="E283" s="859" t="n"/>
      <c r="F283" s="863" t="n"/>
      <c r="G283" s="859" t="n"/>
      <c r="H283" s="863" t="n"/>
      <c r="I283" s="859" t="n"/>
      <c r="J283" s="863" t="n"/>
      <c r="K283" s="859" t="n"/>
      <c r="L283" s="915" t="n"/>
      <c r="M283" s="859" t="n"/>
      <c r="N283" s="860" t="n"/>
      <c r="O283" s="883" t="n"/>
      <c r="P283" s="864" t="n"/>
      <c r="Q283" s="830" t="n"/>
      <c r="R283" s="832" t="n"/>
      <c r="S283" s="381" t="inlineStr">
        <is>
          <t>뇌출혈</t>
        </is>
      </c>
      <c r="T283" s="959">
        <f>T220+C283+E283+G283+I283+K283+M283+O283</f>
        <v/>
      </c>
    </row>
    <row r="284" ht="14.1" customHeight="1" s="797">
      <c r="A284" s="832" t="n"/>
      <c r="B284" s="461" t="inlineStr">
        <is>
          <t>심장질환진단</t>
        </is>
      </c>
      <c r="C284" s="828" t="n"/>
      <c r="D284" s="829" t="n"/>
      <c r="E284" s="828" t="n"/>
      <c r="F284" s="880" t="n"/>
      <c r="G284" s="828" t="n"/>
      <c r="H284" s="880" t="n"/>
      <c r="I284" s="828" t="n"/>
      <c r="J284" s="880" t="n"/>
      <c r="K284" s="828" t="n"/>
      <c r="L284" s="913" t="n"/>
      <c r="M284" s="828" t="n"/>
      <c r="N284" s="829" t="n"/>
      <c r="O284" s="826" t="n"/>
      <c r="P284" s="827" t="n"/>
      <c r="Q284" s="830" t="n"/>
      <c r="R284" s="832" t="n"/>
      <c r="S284" s="358" t="inlineStr">
        <is>
          <t>심장질환</t>
        </is>
      </c>
      <c r="T284" s="957">
        <f>T221+C284+E284+G284+I284+K284+M284+O284</f>
        <v/>
      </c>
    </row>
    <row r="285" ht="14.1" customHeight="1" s="797">
      <c r="A285" s="832" t="n"/>
      <c r="B285" s="488" t="inlineStr">
        <is>
          <t>허혈성심장진단</t>
        </is>
      </c>
      <c r="C285" s="838" t="n"/>
      <c r="D285" s="853" t="n"/>
      <c r="E285" s="838" t="n"/>
      <c r="F285" s="852" t="n"/>
      <c r="G285" s="838" t="n"/>
      <c r="H285" s="852" t="n"/>
      <c r="I285" s="838" t="n"/>
      <c r="J285" s="852" t="n"/>
      <c r="K285" s="838" t="n"/>
      <c r="L285" s="914" t="n"/>
      <c r="M285" s="838" t="n"/>
      <c r="N285" s="853" t="n"/>
      <c r="O285" s="836" t="n"/>
      <c r="P285" s="857" t="n"/>
      <c r="Q285" s="830" t="n"/>
      <c r="R285" s="832" t="n"/>
      <c r="S285" s="359" t="inlineStr">
        <is>
          <t>허혈성심장</t>
        </is>
      </c>
      <c r="T285" s="959">
        <f>T222+C285+E285+G285+I285+K285+M285+O285</f>
        <v/>
      </c>
    </row>
    <row r="286" ht="14.1" customHeight="1" s="797" thickBot="1">
      <c r="A286" s="832" t="n"/>
      <c r="B286" s="489" t="inlineStr">
        <is>
          <t>급성심근경색진단</t>
        </is>
      </c>
      <c r="C286" s="847" t="n"/>
      <c r="D286" s="848" t="n"/>
      <c r="E286" s="847" t="n"/>
      <c r="F286" s="885" t="n"/>
      <c r="G286" s="847" t="n"/>
      <c r="H286" s="885" t="n"/>
      <c r="I286" s="847" t="n"/>
      <c r="J286" s="885" t="n"/>
      <c r="K286" s="847" t="n"/>
      <c r="L286" s="891" t="n"/>
      <c r="M286" s="847" t="n"/>
      <c r="N286" s="848" t="n"/>
      <c r="O286" s="845" t="n"/>
      <c r="P286" s="887" t="n"/>
      <c r="Q286" s="830" t="n"/>
      <c r="R286" s="832" t="n"/>
      <c r="S286" s="360" t="inlineStr">
        <is>
          <t>급성심근경색</t>
        </is>
      </c>
      <c r="T286" s="959">
        <f>T223+C286+E286+G286+I286+K286+M286+O286</f>
        <v/>
      </c>
    </row>
    <row r="287" ht="14.1" customHeight="1" s="797">
      <c r="A287" s="832" t="n"/>
      <c r="B287" s="461" t="inlineStr">
        <is>
          <t>수술/시술비</t>
        </is>
      </c>
      <c r="C287" s="828" t="n"/>
      <c r="D287" s="829" t="n"/>
      <c r="E287" s="828" t="n"/>
      <c r="F287" s="880" t="n"/>
      <c r="G287" s="828" t="n"/>
      <c r="H287" s="880" t="n"/>
      <c r="I287" s="828" t="n"/>
      <c r="J287" s="880" t="n"/>
      <c r="K287" s="828" t="n"/>
      <c r="L287" s="913" t="n"/>
      <c r="M287" s="828" t="n"/>
      <c r="N287" s="829" t="n"/>
      <c r="O287" s="826" t="n"/>
      <c r="P287" s="827" t="n"/>
      <c r="Q287" s="830" t="n"/>
      <c r="R287" s="832" t="n"/>
      <c r="S287" s="361" t="inlineStr">
        <is>
          <t>수술비</t>
        </is>
      </c>
      <c r="T287" s="957">
        <f>T224+C287+E287+G287+I287+K287+M287+O287</f>
        <v/>
      </c>
    </row>
    <row r="288" ht="14.1" customHeight="1" s="797">
      <c r="A288" s="832" t="n"/>
      <c r="B288" s="488" t="inlineStr">
        <is>
          <t>혈전용해치료</t>
        </is>
      </c>
      <c r="C288" s="838" t="n"/>
      <c r="D288" s="853" t="n"/>
      <c r="E288" s="838" t="n"/>
      <c r="F288" s="852" t="n"/>
      <c r="G288" s="838" t="n"/>
      <c r="H288" s="852" t="n"/>
      <c r="I288" s="838" t="n"/>
      <c r="J288" s="852" t="n"/>
      <c r="K288" s="838" t="n"/>
      <c r="L288" s="914" t="n"/>
      <c r="M288" s="838" t="n"/>
      <c r="N288" s="853" t="n"/>
      <c r="O288" s="836" t="n"/>
      <c r="P288" s="857" t="n"/>
      <c r="Q288" s="830" t="n"/>
      <c r="R288" s="832" t="n"/>
      <c r="S288" s="362" t="inlineStr">
        <is>
          <t>혈전용해치료</t>
        </is>
      </c>
      <c r="T288" s="959">
        <f>T225+C288+E288+G288+I288+K288+M288+O288</f>
        <v/>
      </c>
    </row>
    <row r="289" ht="14.1" customHeight="1" s="797" thickBot="1">
      <c r="A289" s="832" t="n"/>
      <c r="B289" s="489" t="inlineStr">
        <is>
          <t>혈전제거치료</t>
        </is>
      </c>
      <c r="C289" s="847" t="n"/>
      <c r="D289" s="848" t="n"/>
      <c r="E289" s="847" t="n"/>
      <c r="F289" s="885" t="n"/>
      <c r="G289" s="847" t="n"/>
      <c r="H289" s="885" t="n"/>
      <c r="I289" s="847" t="n"/>
      <c r="J289" s="885" t="n"/>
      <c r="K289" s="847" t="n"/>
      <c r="L289" s="891" t="n"/>
      <c r="M289" s="847" t="n"/>
      <c r="N289" s="848" t="n"/>
      <c r="O289" s="845" t="n"/>
      <c r="P289" s="887" t="n"/>
      <c r="Q289" s="830" t="n"/>
      <c r="R289" s="832" t="n"/>
      <c r="S289" s="363" t="inlineStr">
        <is>
          <t>중환자실치료</t>
        </is>
      </c>
      <c r="T289" s="959">
        <f>T226+C289+E289+G289+I289+K289+M289+O289</f>
        <v/>
      </c>
    </row>
    <row r="290" ht="14.1" customHeight="1" s="797">
      <c r="A290" s="892" t="inlineStr">
        <is>
          <t>후유장해</t>
        </is>
      </c>
      <c r="B290" s="464" t="inlineStr">
        <is>
          <t>질병 80% 이상</t>
        </is>
      </c>
      <c r="C290" s="828" t="n"/>
      <c r="D290" s="966" t="n"/>
      <c r="E290" s="828" t="n"/>
      <c r="F290" s="880" t="n"/>
      <c r="G290" s="828" t="n"/>
      <c r="H290" s="880" t="n"/>
      <c r="I290" s="828" t="n"/>
      <c r="J290" s="880" t="n"/>
      <c r="K290" s="828" t="n"/>
      <c r="L290" s="913" t="n"/>
      <c r="M290" s="828" t="n"/>
      <c r="N290" s="829" t="n"/>
      <c r="O290" s="826" t="n"/>
      <c r="P290" s="827" t="n"/>
      <c r="Q290" s="830" t="n"/>
      <c r="R290" s="892" t="inlineStr">
        <is>
          <t>후유장해</t>
        </is>
      </c>
      <c r="S290" s="364" t="inlineStr">
        <is>
          <t>질병 80% 이상</t>
        </is>
      </c>
      <c r="T290" s="957">
        <f>T227+C290+E290+G290+I290+K290+M290+O290</f>
        <v/>
      </c>
    </row>
    <row r="291" ht="14.1" customHeight="1" s="797">
      <c r="A291" s="832" t="n"/>
      <c r="B291" s="465" t="inlineStr">
        <is>
          <t>질병 3% ~80%</t>
        </is>
      </c>
      <c r="C291" s="838" t="n"/>
      <c r="D291" s="967" t="n"/>
      <c r="E291" s="838" t="n"/>
      <c r="F291" s="931" t="n"/>
      <c r="G291" s="838" t="n"/>
      <c r="H291" s="894" t="n"/>
      <c r="I291" s="838" t="n"/>
      <c r="J291" s="894" t="n"/>
      <c r="K291" s="838" t="n"/>
      <c r="L291" s="968" t="n"/>
      <c r="M291" s="838" t="n"/>
      <c r="N291" s="839" t="n"/>
      <c r="O291" s="836" t="n"/>
      <c r="P291" s="837" t="n"/>
      <c r="Q291" s="830" t="n"/>
      <c r="R291" s="832" t="n"/>
      <c r="S291" s="365" t="inlineStr">
        <is>
          <t>질병 3% ~80%</t>
        </is>
      </c>
      <c r="T291" s="959">
        <f>T228+C291+E291+G291+I291+K291+M291+O291</f>
        <v/>
      </c>
    </row>
    <row r="292" ht="14.1" customHeight="1" s="797">
      <c r="A292" s="832" t="n"/>
      <c r="B292" s="465" t="inlineStr">
        <is>
          <t>상해 80% 이상</t>
        </is>
      </c>
      <c r="C292" s="838" t="n"/>
      <c r="D292" s="902" t="n"/>
      <c r="E292" s="838" t="n"/>
      <c r="F292" s="902" t="n"/>
      <c r="G292" s="838" t="n"/>
      <c r="H292" s="839" t="n"/>
      <c r="I292" s="838" t="n"/>
      <c r="J292" s="839" t="n"/>
      <c r="K292" s="838" t="n"/>
      <c r="L292" s="968" t="n"/>
      <c r="M292" s="838" t="n"/>
      <c r="N292" s="839" t="n"/>
      <c r="O292" s="836" t="n"/>
      <c r="P292" s="837" t="n"/>
      <c r="Q292" s="830" t="n"/>
      <c r="R292" s="832" t="n"/>
      <c r="S292" s="365" t="inlineStr">
        <is>
          <t>상해 80% 이상</t>
        </is>
      </c>
      <c r="T292" s="959">
        <f>T229+C292+E292+G292+I292+K292+M292+O292</f>
        <v/>
      </c>
    </row>
    <row r="293" ht="14.1" customHeight="1" s="797" thickBot="1">
      <c r="A293" s="841" t="n"/>
      <c r="B293" s="466" t="inlineStr">
        <is>
          <t>상해 3% ~ 80%</t>
        </is>
      </c>
      <c r="C293" s="847" t="n"/>
      <c r="D293" s="899" t="n"/>
      <c r="E293" s="847" t="n"/>
      <c r="F293" s="899" t="n"/>
      <c r="G293" s="838" t="n"/>
      <c r="H293" s="848" t="n"/>
      <c r="I293" s="838" t="n"/>
      <c r="J293" s="848" t="n"/>
      <c r="K293" s="838" t="n"/>
      <c r="L293" s="891" t="n"/>
      <c r="M293" s="847" t="n"/>
      <c r="N293" s="848" t="n"/>
      <c r="O293" s="845" t="n"/>
      <c r="P293" s="846" t="n"/>
      <c r="Q293" s="830" t="n"/>
      <c r="R293" s="841" t="n"/>
      <c r="S293" s="366" t="inlineStr">
        <is>
          <t>상해 3% ~ 80%</t>
        </is>
      </c>
      <c r="T293" s="959">
        <f>T230+C293+E293+G293+I293+K293+M293+O293</f>
        <v/>
      </c>
    </row>
    <row r="294" ht="14.1" customHeight="1" s="797">
      <c r="A294" s="897" t="inlineStr">
        <is>
          <t>사망</t>
        </is>
      </c>
      <c r="B294" s="467" t="inlineStr">
        <is>
          <t>일반</t>
        </is>
      </c>
      <c r="C294" s="856" t="n"/>
      <c r="D294" s="939" t="n"/>
      <c r="E294" s="828" t="n"/>
      <c r="F294" s="880" t="n"/>
      <c r="G294" s="828" t="n"/>
      <c r="H294" s="829" t="n"/>
      <c r="I294" s="828" t="n"/>
      <c r="J294" s="829" t="n"/>
      <c r="K294" s="828" t="n"/>
      <c r="L294" s="913" t="n"/>
      <c r="M294" s="828" t="n"/>
      <c r="N294" s="829" t="n"/>
      <c r="O294" s="826" t="n"/>
      <c r="P294" s="827" t="n"/>
      <c r="Q294" s="830" t="n"/>
      <c r="R294" s="897" t="inlineStr">
        <is>
          <t>사망</t>
        </is>
      </c>
      <c r="S294" s="367" t="inlineStr">
        <is>
          <t>일반</t>
        </is>
      </c>
      <c r="T294" s="957">
        <f>T231+C294+E294+G294+I294+K294+M294+O294</f>
        <v/>
      </c>
    </row>
    <row r="295" ht="14.1" customHeight="1" s="797">
      <c r="A295" s="832" t="n"/>
      <c r="B295" s="468" t="inlineStr">
        <is>
          <t>질병</t>
        </is>
      </c>
      <c r="C295" s="838" t="n"/>
      <c r="D295" s="931" t="n"/>
      <c r="E295" s="838" t="n"/>
      <c r="F295" s="894" t="n"/>
      <c r="G295" s="838" t="n"/>
      <c r="H295" s="839" t="n"/>
      <c r="I295" s="838" t="n"/>
      <c r="J295" s="839" t="n"/>
      <c r="K295" s="838" t="n"/>
      <c r="L295" s="968" t="n"/>
      <c r="M295" s="838" t="n"/>
      <c r="N295" s="839" t="n"/>
      <c r="O295" s="836" t="n"/>
      <c r="P295" s="837" t="n"/>
      <c r="Q295" s="830" t="n"/>
      <c r="R295" s="832" t="n"/>
      <c r="S295" s="368" t="inlineStr">
        <is>
          <t>질병</t>
        </is>
      </c>
      <c r="T295" s="959">
        <f>T232+C295+E295+G295+I295+K295+M295+O295</f>
        <v/>
      </c>
    </row>
    <row r="296" ht="14.1" customHeight="1" s="797" thickBot="1">
      <c r="A296" s="841" t="n"/>
      <c r="B296" s="469" t="inlineStr">
        <is>
          <t>상해</t>
        </is>
      </c>
      <c r="C296" s="847" t="n"/>
      <c r="D296" s="900" t="n"/>
      <c r="E296" s="847" t="n"/>
      <c r="F296" s="885" t="n"/>
      <c r="G296" s="847" t="n"/>
      <c r="H296" s="848" t="n"/>
      <c r="I296" s="847" t="n"/>
      <c r="J296" s="848" t="n"/>
      <c r="K296" s="847" t="n"/>
      <c r="L296" s="891" t="n"/>
      <c r="M296" s="847" t="n"/>
      <c r="N296" s="848" t="n"/>
      <c r="O296" s="901" t="n"/>
      <c r="P296" s="857" t="n"/>
      <c r="Q296" s="830" t="n"/>
      <c r="R296" s="841" t="n"/>
      <c r="S296" s="369" t="inlineStr">
        <is>
          <t>상해</t>
        </is>
      </c>
      <c r="T296" s="959">
        <f>T233+C296+E296+G296+I296+K296+M296+O296</f>
        <v/>
      </c>
    </row>
    <row r="297" ht="14.1" customHeight="1" s="797">
      <c r="A297" s="617" t="inlineStr">
        <is>
          <t>수술비</t>
        </is>
      </c>
      <c r="B297" s="470" t="inlineStr">
        <is>
          <t>질병</t>
        </is>
      </c>
      <c r="C297" s="828" t="n"/>
      <c r="D297" s="908" t="n"/>
      <c r="E297" s="828" t="n"/>
      <c r="F297" s="852" t="n"/>
      <c r="G297" s="828" t="n"/>
      <c r="H297" s="853" t="n"/>
      <c r="I297" s="828" t="n"/>
      <c r="J297" s="853" t="n"/>
      <c r="K297" s="828" t="n"/>
      <c r="L297" s="913" t="n"/>
      <c r="M297" s="856" t="n"/>
      <c r="N297" s="853" t="n"/>
      <c r="O297" s="826" t="n"/>
      <c r="P297" s="827" t="n"/>
      <c r="Q297" s="830" t="n"/>
      <c r="R297" s="617" t="inlineStr">
        <is>
          <t>수술비</t>
        </is>
      </c>
      <c r="S297" s="480" t="inlineStr">
        <is>
          <t>질병</t>
        </is>
      </c>
      <c r="T297" s="957">
        <f>T234+C297+E297+G297+I297+K297+M297+O297</f>
        <v/>
      </c>
    </row>
    <row r="298" ht="14.1" customHeight="1" s="797">
      <c r="A298" s="832" t="n"/>
      <c r="B298" s="470" t="inlineStr">
        <is>
          <t>상해</t>
        </is>
      </c>
      <c r="C298" s="838" t="n"/>
      <c r="D298" s="902" t="n"/>
      <c r="E298" s="838" t="n"/>
      <c r="F298" s="894" t="n"/>
      <c r="G298" s="838" t="n"/>
      <c r="H298" s="839" t="n"/>
      <c r="I298" s="838" t="n"/>
      <c r="J298" s="839" t="n"/>
      <c r="K298" s="838" t="n"/>
      <c r="L298" s="968" t="n"/>
      <c r="M298" s="838" t="n"/>
      <c r="N298" s="853" t="n"/>
      <c r="O298" s="836" t="n"/>
      <c r="P298" s="837" t="n"/>
      <c r="Q298" s="830" t="n"/>
      <c r="R298" s="832" t="n"/>
      <c r="S298" s="480" t="inlineStr">
        <is>
          <t>상해</t>
        </is>
      </c>
      <c r="T298" s="959">
        <f>T235+C298+E298+G298+I298+K298+M298+O298</f>
        <v/>
      </c>
    </row>
    <row r="299" ht="14.1" customHeight="1" s="797">
      <c r="A299" s="832" t="n"/>
      <c r="B299" s="470" t="inlineStr">
        <is>
          <t>1-5종</t>
        </is>
      </c>
      <c r="C299" s="838" t="n"/>
      <c r="D299" s="902" t="n"/>
      <c r="E299" s="838" t="n"/>
      <c r="F299" s="852" t="n"/>
      <c r="G299" s="838" t="n"/>
      <c r="H299" s="853" t="n"/>
      <c r="I299" s="838" t="n"/>
      <c r="J299" s="853" t="n"/>
      <c r="K299" s="838" t="n"/>
      <c r="L299" s="914" t="n"/>
      <c r="M299" s="838" t="n"/>
      <c r="N299" s="853" t="n"/>
      <c r="O299" s="836" t="n"/>
      <c r="P299" s="837" t="n"/>
      <c r="Q299" s="830" t="n"/>
      <c r="R299" s="832" t="n"/>
      <c r="S299" s="480" t="inlineStr">
        <is>
          <t>1-5종</t>
        </is>
      </c>
      <c r="T299" s="959">
        <f>T236+C299+E299+G299+I299+K299+M299+O299</f>
        <v/>
      </c>
    </row>
    <row r="300" ht="14.1" customHeight="1" s="797" thickBot="1">
      <c r="A300" s="832" t="n"/>
      <c r="B300" s="471" t="inlineStr">
        <is>
          <t>N대질병</t>
        </is>
      </c>
      <c r="C300" s="862" t="n"/>
      <c r="D300" s="899" t="n"/>
      <c r="E300" s="862" t="n"/>
      <c r="F300" s="863" t="n"/>
      <c r="G300" s="862" t="n"/>
      <c r="H300" s="860" t="n"/>
      <c r="I300" s="862" t="n"/>
      <c r="J300" s="860" t="n"/>
      <c r="K300" s="862" t="n"/>
      <c r="L300" s="969" t="n"/>
      <c r="M300" s="862" t="n"/>
      <c r="N300" s="905" t="n"/>
      <c r="O300" s="907" t="n"/>
      <c r="P300" s="887" t="n"/>
      <c r="Q300" s="830" t="n"/>
      <c r="R300" s="832" t="n"/>
      <c r="S300" s="513" t="inlineStr">
        <is>
          <t>N대질병</t>
        </is>
      </c>
      <c r="T300" s="959">
        <f>T237+C300+E300+G300+I300+K300+M300+O300</f>
        <v/>
      </c>
    </row>
    <row r="301" ht="14.1" customHeight="1" s="797">
      <c r="A301" s="603" t="inlineStr">
        <is>
          <t>상해진단</t>
        </is>
      </c>
      <c r="B301" s="472" t="inlineStr">
        <is>
          <t>골절</t>
        </is>
      </c>
      <c r="C301" s="828" t="n"/>
      <c r="D301" s="908" t="n"/>
      <c r="E301" s="828" t="n"/>
      <c r="F301" s="880" t="n"/>
      <c r="G301" s="828" t="n"/>
      <c r="H301" s="829" t="n"/>
      <c r="I301" s="828" t="n"/>
      <c r="J301" s="829" t="n"/>
      <c r="K301" s="828" t="n"/>
      <c r="L301" s="913" t="n"/>
      <c r="M301" s="828" t="n"/>
      <c r="N301" s="829" t="n"/>
      <c r="O301" s="826" t="n"/>
      <c r="P301" s="827" t="n"/>
      <c r="Q301" s="830" t="n"/>
      <c r="R301" s="603" t="inlineStr">
        <is>
          <t>상해진단</t>
        </is>
      </c>
      <c r="S301" s="483" t="inlineStr">
        <is>
          <t>골절</t>
        </is>
      </c>
      <c r="T301" s="957">
        <f>T238+C301+E301+G301+I301+K301+M301+O301</f>
        <v/>
      </c>
    </row>
    <row r="302" ht="14.1" customHeight="1" s="797" thickBot="1">
      <c r="A302" s="832" t="n"/>
      <c r="B302" s="482" t="inlineStr">
        <is>
          <t>화상</t>
        </is>
      </c>
      <c r="C302" s="909" t="n"/>
      <c r="D302" s="970" t="n"/>
      <c r="E302" s="909" t="n"/>
      <c r="F302" s="885" t="n"/>
      <c r="G302" s="909" t="n"/>
      <c r="H302" s="848" t="n"/>
      <c r="I302" s="909" t="n"/>
      <c r="J302" s="848" t="n"/>
      <c r="K302" s="909" t="n"/>
      <c r="L302" s="916" t="n"/>
      <c r="M302" s="909" t="n"/>
      <c r="N302" s="877" t="n"/>
      <c r="O302" s="911" t="n"/>
      <c r="P302" s="846" t="n"/>
      <c r="Q302" s="830" t="n"/>
      <c r="R302" s="832" t="n"/>
      <c r="S302" s="503" t="inlineStr">
        <is>
          <t>화상</t>
        </is>
      </c>
      <c r="T302" s="959">
        <f>T239+C302+E302+G302+I302+K302+M302+O302</f>
        <v/>
      </c>
    </row>
    <row r="303" ht="14.1" customHeight="1" s="797">
      <c r="A303" s="605" t="inlineStr">
        <is>
          <t>입원비</t>
        </is>
      </c>
      <c r="B303" s="484" t="inlineStr">
        <is>
          <t>질병</t>
        </is>
      </c>
      <c r="C303" s="859" t="n"/>
      <c r="D303" s="971" t="n"/>
      <c r="E303" s="859" t="n"/>
      <c r="F303" s="863" t="n"/>
      <c r="G303" s="859" t="n"/>
      <c r="H303" s="860" t="n"/>
      <c r="I303" s="859" t="n"/>
      <c r="J303" s="860" t="n"/>
      <c r="K303" s="859" t="n"/>
      <c r="L303" s="915" t="n"/>
      <c r="M303" s="859" t="n"/>
      <c r="N303" s="860" t="n"/>
      <c r="O303" s="883" t="n"/>
      <c r="P303" s="864" t="n"/>
      <c r="Q303" s="830" t="n"/>
      <c r="R303" s="605" t="inlineStr">
        <is>
          <t>입원비</t>
        </is>
      </c>
      <c r="S303" s="486" t="inlineStr">
        <is>
          <t>질병</t>
        </is>
      </c>
      <c r="T303" s="957">
        <f>T240+C303+E303+G303+I303+K303+M303+O303</f>
        <v/>
      </c>
    </row>
    <row r="304" ht="14.1" customHeight="1" s="797" thickBot="1">
      <c r="A304" s="912" t="n"/>
      <c r="B304" s="485" t="inlineStr">
        <is>
          <t>상해</t>
        </is>
      </c>
      <c r="C304" s="859" t="n"/>
      <c r="D304" s="971" t="n"/>
      <c r="E304" s="859" t="n"/>
      <c r="F304" s="863" t="n"/>
      <c r="G304" s="859" t="n"/>
      <c r="H304" s="860" t="n"/>
      <c r="I304" s="859" t="n"/>
      <c r="J304" s="860" t="n"/>
      <c r="K304" s="859" t="n"/>
      <c r="L304" s="915" t="n"/>
      <c r="M304" s="859" t="n"/>
      <c r="N304" s="860" t="n"/>
      <c r="O304" s="883" t="n"/>
      <c r="P304" s="864" t="n"/>
      <c r="Q304" s="830" t="n"/>
      <c r="R304" s="912" t="n"/>
      <c r="S304" s="559" t="inlineStr">
        <is>
          <t>상해</t>
        </is>
      </c>
      <c r="T304" s="959">
        <f>T241+C304+E304+G304+I304+K304+M304+O304</f>
        <v/>
      </c>
    </row>
    <row r="305" ht="14.1" customHeight="1" s="797">
      <c r="A305" s="609" t="inlineStr">
        <is>
          <t>간병인</t>
        </is>
      </c>
      <c r="B305" s="473" t="inlineStr">
        <is>
          <t>병원사용</t>
        </is>
      </c>
      <c r="C305" s="828" t="n"/>
      <c r="D305" s="966" t="n"/>
      <c r="E305" s="828" t="n"/>
      <c r="F305" s="880" t="n"/>
      <c r="G305" s="828" t="n"/>
      <c r="H305" s="913" t="n"/>
      <c r="I305" s="828" t="n"/>
      <c r="J305" s="829" t="n"/>
      <c r="K305" s="828" t="n"/>
      <c r="L305" s="913" t="n"/>
      <c r="M305" s="828" t="n"/>
      <c r="N305" s="829" t="n"/>
      <c r="O305" s="826" t="n"/>
      <c r="P305" s="827" t="n"/>
      <c r="Q305" s="830" t="n"/>
      <c r="R305" s="973" t="inlineStr">
        <is>
          <t>간병인</t>
        </is>
      </c>
      <c r="S305" s="562" t="inlineStr">
        <is>
          <t>병원사용</t>
        </is>
      </c>
      <c r="T305" s="957">
        <f>T242+C305+E305+G305+I305+K305+M305+O305</f>
        <v/>
      </c>
    </row>
    <row r="306" ht="14.1" customHeight="1" s="797">
      <c r="A306" s="832" t="n"/>
      <c r="B306" s="474" t="inlineStr">
        <is>
          <t>요양병원사용</t>
        </is>
      </c>
      <c r="C306" s="859" t="n"/>
      <c r="D306" s="971" t="n"/>
      <c r="E306" s="859" t="n"/>
      <c r="F306" s="852" t="n"/>
      <c r="G306" s="859" t="n"/>
      <c r="H306" s="914" t="n"/>
      <c r="I306" s="859" t="n"/>
      <c r="J306" s="853" t="n"/>
      <c r="K306" s="859" t="n"/>
      <c r="L306" s="915" t="n"/>
      <c r="M306" s="859" t="n"/>
      <c r="N306" s="860" t="n"/>
      <c r="O306" s="883" t="n"/>
      <c r="P306" s="864" t="n"/>
      <c r="Q306" s="830" t="n"/>
      <c r="R306" s="832" t="n"/>
      <c r="S306" s="504" t="inlineStr">
        <is>
          <t>요양병원사용</t>
        </is>
      </c>
      <c r="T306" s="959">
        <f>T243+C306+E306+G306+I306+K306+M306+O306</f>
        <v/>
      </c>
    </row>
    <row r="307" ht="14.1" customHeight="1" s="797" thickBot="1">
      <c r="A307" s="841" t="n"/>
      <c r="B307" s="475" t="inlineStr">
        <is>
          <t>간호간병통합사용</t>
        </is>
      </c>
      <c r="C307" s="847" t="n"/>
      <c r="D307" s="974" t="n"/>
      <c r="E307" s="847" t="n"/>
      <c r="F307" s="852" t="n"/>
      <c r="G307" s="847" t="n"/>
      <c r="H307" s="914" t="n"/>
      <c r="I307" s="847" t="n"/>
      <c r="J307" s="853" t="n"/>
      <c r="K307" s="847" t="n"/>
      <c r="L307" s="891" t="n"/>
      <c r="M307" s="847" t="n"/>
      <c r="N307" s="848" t="n"/>
      <c r="O307" s="845" t="n"/>
      <c r="P307" s="846" t="n"/>
      <c r="Q307" s="830" t="n"/>
      <c r="R307" s="841" t="n"/>
      <c r="S307" s="505" t="inlineStr">
        <is>
          <t>간호간병통합사용</t>
        </is>
      </c>
      <c r="T307" s="959">
        <f>T244+C307+E307+G307+I307+K307+M307+O307</f>
        <v/>
      </c>
    </row>
    <row r="308" ht="14.1" customHeight="1" s="797">
      <c r="A308" s="917" t="inlineStr">
        <is>
          <t>운전자</t>
        </is>
      </c>
      <c r="B308" s="476" t="inlineStr">
        <is>
          <t>벌금</t>
        </is>
      </c>
      <c r="C308" s="828" t="n"/>
      <c r="D308" s="975" t="n"/>
      <c r="E308" s="826" t="n"/>
      <c r="F308" s="880" t="n"/>
      <c r="G308" s="828" t="n"/>
      <c r="H308" s="913" t="n"/>
      <c r="I308" s="828" t="n"/>
      <c r="J308" s="829" t="n"/>
      <c r="K308" s="828" t="n"/>
      <c r="L308" s="913" t="n"/>
      <c r="M308" s="828" t="n"/>
      <c r="N308" s="829" t="n"/>
      <c r="O308" s="836" t="n"/>
      <c r="P308" s="827" t="n"/>
      <c r="Q308" s="830" t="n"/>
      <c r="R308" s="917" t="inlineStr">
        <is>
          <t>운전자</t>
        </is>
      </c>
      <c r="S308" s="377" t="inlineStr">
        <is>
          <t>벌금</t>
        </is>
      </c>
      <c r="T308" s="957">
        <f>T245+C308+E308+G308+I308+K308+M308+O308</f>
        <v/>
      </c>
    </row>
    <row r="309" ht="14.1" customHeight="1" s="797">
      <c r="A309" s="832" t="n"/>
      <c r="B309" s="476" t="inlineStr">
        <is>
          <t>변호사선임</t>
        </is>
      </c>
      <c r="C309" s="838" t="n"/>
      <c r="D309" s="976" t="n"/>
      <c r="E309" s="836" t="n"/>
      <c r="F309" s="894" t="n"/>
      <c r="G309" s="838" t="n"/>
      <c r="H309" s="968" t="n"/>
      <c r="I309" s="838" t="n"/>
      <c r="J309" s="443" t="n"/>
      <c r="K309" s="838" t="n"/>
      <c r="L309" s="968" t="n"/>
      <c r="M309" s="838" t="n"/>
      <c r="N309" s="839" t="n"/>
      <c r="O309" s="836" t="n"/>
      <c r="P309" s="837" t="n"/>
      <c r="Q309" s="830" t="n"/>
      <c r="R309" s="832" t="n"/>
      <c r="S309" s="377" t="inlineStr">
        <is>
          <t>변호사선임</t>
        </is>
      </c>
      <c r="T309" s="959">
        <f>T246+C309+E309+G309+I309+K309+M309+O309</f>
        <v/>
      </c>
    </row>
    <row r="310" ht="14.1" customHeight="1" s="797" thickBot="1">
      <c r="A310" s="841" t="n"/>
      <c r="B310" s="477" t="inlineStr">
        <is>
          <t>교통사고처리지원</t>
        </is>
      </c>
      <c r="C310" s="856" t="n"/>
      <c r="D310" s="967" t="n"/>
      <c r="E310" s="901" t="n"/>
      <c r="F310" s="852" t="n"/>
      <c r="G310" s="856" t="n"/>
      <c r="H310" s="914" t="n"/>
      <c r="I310" s="856" t="n"/>
      <c r="J310" s="839" t="n"/>
      <c r="K310" s="856" t="n"/>
      <c r="L310" s="914" t="n"/>
      <c r="M310" s="856" t="n"/>
      <c r="N310" s="853" t="n"/>
      <c r="O310" s="836" t="n"/>
      <c r="P310" s="837" t="n"/>
      <c r="Q310" s="830" t="n"/>
      <c r="R310" s="841" t="n"/>
      <c r="S310" s="378" t="inlineStr">
        <is>
          <t>교통사고처리지원</t>
        </is>
      </c>
      <c r="T310" s="959">
        <f>T247+C310+E310+G310+I310+K310+M310+O310</f>
        <v/>
      </c>
    </row>
    <row r="311" ht="14.1" customHeight="1" s="797" thickBot="1">
      <c r="A311" s="585" t="inlineStr">
        <is>
          <t>일상생활배상책임</t>
        </is>
      </c>
      <c r="B311" s="919" t="n"/>
      <c r="C311" s="920" t="n"/>
      <c r="D311" s="977" t="n"/>
      <c r="E311" s="920" t="n"/>
      <c r="F311" s="922" t="n"/>
      <c r="G311" s="920" t="n"/>
      <c r="H311" s="978" t="n"/>
      <c r="I311" s="920" t="n"/>
      <c r="J311" s="923" t="n"/>
      <c r="K311" s="920" t="n"/>
      <c r="L311" s="978" t="n"/>
      <c r="M311" s="920" t="n"/>
      <c r="N311" s="923" t="n"/>
      <c r="O311" s="925" t="n"/>
      <c r="P311" s="926" t="n"/>
      <c r="Q311" s="830" t="n"/>
      <c r="R311" s="585" t="inlineStr">
        <is>
          <t>일상생활배상책임</t>
        </is>
      </c>
      <c r="S311" s="919" t="n"/>
      <c r="T311" s="957">
        <f>T248+C311+E311+G311+I311+K311+M311+O311</f>
        <v/>
      </c>
    </row>
    <row r="312" ht="14.1" customHeight="1" s="797">
      <c r="A312" s="928" t="inlineStr">
        <is>
          <t>기타</t>
        </is>
      </c>
      <c r="B312" s="929" t="n"/>
      <c r="C312" s="930" t="n"/>
      <c r="D312" s="829" t="n"/>
      <c r="E312" s="930" t="n"/>
      <c r="F312" s="839" t="n"/>
      <c r="G312" s="930" t="n"/>
      <c r="H312" s="913" t="n"/>
      <c r="I312" s="930" t="n"/>
      <c r="J312" s="979" t="n"/>
      <c r="K312" s="938" t="n"/>
      <c r="L312" s="913" t="n"/>
      <c r="M312" s="930" t="n"/>
      <c r="N312" s="914" t="n"/>
      <c r="O312" s="930" t="n"/>
      <c r="P312" s="827" t="n"/>
      <c r="Q312" s="830" t="n"/>
      <c r="R312" s="935" t="inlineStr">
        <is>
          <t>기타</t>
        </is>
      </c>
      <c r="S312" s="980" t="n"/>
      <c r="T312" s="937" t="n"/>
    </row>
    <row r="313" ht="14.1" customHeight="1" s="797">
      <c r="A313" s="804" t="n"/>
      <c r="C313" s="938" t="n"/>
      <c r="D313" s="839" t="n"/>
      <c r="E313" s="938" t="n"/>
      <c r="F313" s="853" t="n"/>
      <c r="G313" s="938" t="n"/>
      <c r="H313" s="968" t="n"/>
      <c r="I313" s="938" t="n"/>
      <c r="J313" s="839" t="n"/>
      <c r="K313" s="454" t="n"/>
      <c r="L313" s="968" t="n"/>
      <c r="M313" s="938" t="n"/>
      <c r="N313" s="968" t="n"/>
      <c r="O313" s="938" t="n"/>
      <c r="P313" s="837" t="n"/>
      <c r="Q313" s="830" t="n"/>
      <c r="R313" s="804" t="n"/>
      <c r="S313" s="804" t="n"/>
      <c r="T313" s="805" t="n"/>
    </row>
    <row r="314" ht="14.1" customHeight="1" s="797">
      <c r="A314" s="804" t="n"/>
      <c r="C314" s="938" t="n"/>
      <c r="D314" s="839" t="n"/>
      <c r="E314" s="938" t="n"/>
      <c r="F314" s="853" t="n"/>
      <c r="G314" s="938" t="n"/>
      <c r="H314" s="968" t="n"/>
      <c r="I314" s="938" t="n"/>
      <c r="J314" s="853" t="n"/>
      <c r="K314" s="938" t="n"/>
      <c r="L314" s="839" t="n"/>
      <c r="M314" s="938" t="n"/>
      <c r="N314" s="914" t="n"/>
      <c r="O314" s="938" t="n"/>
      <c r="P314" s="837" t="n"/>
      <c r="Q314" s="830" t="n"/>
      <c r="R314" s="804" t="n"/>
      <c r="S314" s="804" t="n"/>
      <c r="T314" s="805" t="n"/>
    </row>
    <row r="315" ht="14.1" customHeight="1" s="797" thickBot="1">
      <c r="A315" s="942" t="n"/>
      <c r="B315" s="943" t="n"/>
      <c r="C315" s="944" t="n"/>
      <c r="D315" s="848" t="n"/>
      <c r="E315" s="944" t="n"/>
      <c r="F315" s="981" t="n"/>
      <c r="G315" s="944" t="n"/>
      <c r="H315" s="891" t="n"/>
      <c r="I315" s="944" t="n"/>
      <c r="J315" s="885" t="n"/>
      <c r="K315" s="944" t="n"/>
      <c r="L315" s="885" t="n"/>
      <c r="M315" s="944" t="n"/>
      <c r="N315" s="848" t="n"/>
      <c r="O315" s="944" t="n"/>
      <c r="P315" s="846" t="n"/>
      <c r="Q315" s="830" t="n"/>
      <c r="R315" s="942" t="n"/>
      <c r="S315" s="942" t="n"/>
      <c r="T315" s="946" t="n"/>
    </row>
  </sheetData>
  <mergeCells count="565">
    <mergeCell ref="R123:R126"/>
    <mergeCell ref="R116:R118"/>
    <mergeCell ref="A64:B64"/>
    <mergeCell ref="A257:B257"/>
    <mergeCell ref="A191:B191"/>
    <mergeCell ref="C191:D191"/>
    <mergeCell ref="E71:F71"/>
    <mergeCell ref="R60:R63"/>
    <mergeCell ref="G71:H71"/>
    <mergeCell ref="E8:F8"/>
    <mergeCell ref="C73:D73"/>
    <mergeCell ref="M70:N70"/>
    <mergeCell ref="E73:F73"/>
    <mergeCell ref="R196:S196"/>
    <mergeCell ref="M10:N10"/>
    <mergeCell ref="R133:S133"/>
    <mergeCell ref="E137:F137"/>
    <mergeCell ref="G66:H66"/>
    <mergeCell ref="O197:P197"/>
    <mergeCell ref="G137:H137"/>
    <mergeCell ref="I66:J66"/>
    <mergeCell ref="R198:S198"/>
    <mergeCell ref="O259:P259"/>
    <mergeCell ref="M74:N74"/>
    <mergeCell ref="O74:P74"/>
    <mergeCell ref="R135:S135"/>
    <mergeCell ref="O261:P261"/>
    <mergeCell ref="A164:A167"/>
    <mergeCell ref="R262:S262"/>
    <mergeCell ref="R175:R176"/>
    <mergeCell ref="A297:A300"/>
    <mergeCell ref="R92:R100"/>
    <mergeCell ref="A262:B262"/>
    <mergeCell ref="I193:J193"/>
    <mergeCell ref="C262:D262"/>
    <mergeCell ref="C3:D3"/>
    <mergeCell ref="E3:F3"/>
    <mergeCell ref="A59:B59"/>
    <mergeCell ref="E67:F67"/>
    <mergeCell ref="G67:H67"/>
    <mergeCell ref="A128:B128"/>
    <mergeCell ref="A312:B315"/>
    <mergeCell ref="O193:P193"/>
    <mergeCell ref="R182:R184"/>
    <mergeCell ref="G127:H127"/>
    <mergeCell ref="A136:B136"/>
    <mergeCell ref="A192:B192"/>
    <mergeCell ref="I127:J127"/>
    <mergeCell ref="C192:D192"/>
    <mergeCell ref="A249:B252"/>
    <mergeCell ref="M7:N7"/>
    <mergeCell ref="R119:R121"/>
    <mergeCell ref="O134:P134"/>
    <mergeCell ref="A129:B129"/>
    <mergeCell ref="A194:B194"/>
    <mergeCell ref="O71:P71"/>
    <mergeCell ref="A131:B131"/>
    <mergeCell ref="R72:S72"/>
    <mergeCell ref="R199:S199"/>
    <mergeCell ref="A105:A107"/>
    <mergeCell ref="A38:A41"/>
    <mergeCell ref="O73:P73"/>
    <mergeCell ref="A305:A307"/>
    <mergeCell ref="A269:A280"/>
    <mergeCell ref="R136:S136"/>
    <mergeCell ref="G9:H9"/>
    <mergeCell ref="I9:J9"/>
    <mergeCell ref="R1:S1"/>
    <mergeCell ref="I196:J196"/>
    <mergeCell ref="A294:A296"/>
    <mergeCell ref="K196:L196"/>
    <mergeCell ref="G11:H11"/>
    <mergeCell ref="I11:J11"/>
    <mergeCell ref="A231:A233"/>
    <mergeCell ref="I198:J198"/>
    <mergeCell ref="A1:B1"/>
    <mergeCell ref="K198:L198"/>
    <mergeCell ref="C128:D128"/>
    <mergeCell ref="R56:R58"/>
    <mergeCell ref="R49:R50"/>
    <mergeCell ref="M2:N2"/>
    <mergeCell ref="R105:R107"/>
    <mergeCell ref="A65:B65"/>
    <mergeCell ref="K262:L262"/>
    <mergeCell ref="C65:D65"/>
    <mergeCell ref="M262:N262"/>
    <mergeCell ref="E69:F69"/>
    <mergeCell ref="G69:H69"/>
    <mergeCell ref="C129:D129"/>
    <mergeCell ref="S60:T63"/>
    <mergeCell ref="E6:F6"/>
    <mergeCell ref="E133:F133"/>
    <mergeCell ref="G133:H133"/>
    <mergeCell ref="R234:R237"/>
    <mergeCell ref="G64:H64"/>
    <mergeCell ref="G135:H135"/>
    <mergeCell ref="I64:J64"/>
    <mergeCell ref="A4:B4"/>
    <mergeCell ref="A200:B200"/>
    <mergeCell ref="I191:J191"/>
    <mergeCell ref="K191:L191"/>
    <mergeCell ref="A242:A244"/>
    <mergeCell ref="E72:F72"/>
    <mergeCell ref="G1:H1"/>
    <mergeCell ref="I128:J128"/>
    <mergeCell ref="K128:L128"/>
    <mergeCell ref="I255:J255"/>
    <mergeCell ref="A258:B258"/>
    <mergeCell ref="K255:L255"/>
    <mergeCell ref="R9:S9"/>
    <mergeCell ref="C258:D258"/>
    <mergeCell ref="E258:F258"/>
    <mergeCell ref="I65:J65"/>
    <mergeCell ref="I192:J192"/>
    <mergeCell ref="R290:R293"/>
    <mergeCell ref="C195:D195"/>
    <mergeCell ref="S249:T252"/>
    <mergeCell ref="A260:B260"/>
    <mergeCell ref="E195:F195"/>
    <mergeCell ref="C260:D260"/>
    <mergeCell ref="O10:P10"/>
    <mergeCell ref="R11:S11"/>
    <mergeCell ref="A197:B197"/>
    <mergeCell ref="A206:A217"/>
    <mergeCell ref="C259:D259"/>
    <mergeCell ref="C197:D197"/>
    <mergeCell ref="E259:F259"/>
    <mergeCell ref="E253:F253"/>
    <mergeCell ref="G253:H253"/>
    <mergeCell ref="C261:D261"/>
    <mergeCell ref="E190:F190"/>
    <mergeCell ref="A308:A310"/>
    <mergeCell ref="G190:H190"/>
    <mergeCell ref="A301:A302"/>
    <mergeCell ref="G6:H6"/>
    <mergeCell ref="G254:H254"/>
    <mergeCell ref="A303:A304"/>
    <mergeCell ref="M3:N3"/>
    <mergeCell ref="A168:A170"/>
    <mergeCell ref="K70:L70"/>
    <mergeCell ref="I1:J1"/>
    <mergeCell ref="O67:P67"/>
    <mergeCell ref="M134:N134"/>
    <mergeCell ref="G72:H72"/>
    <mergeCell ref="O6:P6"/>
    <mergeCell ref="G136:H136"/>
    <mergeCell ref="I136:J136"/>
    <mergeCell ref="A143:A154"/>
    <mergeCell ref="A70:B70"/>
    <mergeCell ref="K192:L192"/>
    <mergeCell ref="I129:J129"/>
    <mergeCell ref="I200:J200"/>
    <mergeCell ref="A7:B7"/>
    <mergeCell ref="K129:L129"/>
    <mergeCell ref="S186:T189"/>
    <mergeCell ref="C134:D134"/>
    <mergeCell ref="A245:A247"/>
    <mergeCell ref="O1:P1"/>
    <mergeCell ref="R108:R111"/>
    <mergeCell ref="I71:J71"/>
    <mergeCell ref="A74:B74"/>
    <mergeCell ref="R238:R239"/>
    <mergeCell ref="R155:R163"/>
    <mergeCell ref="K258:L258"/>
    <mergeCell ref="M258:N258"/>
    <mergeCell ref="E261:F261"/>
    <mergeCell ref="R248:S248"/>
    <mergeCell ref="K2:L2"/>
    <mergeCell ref="R240:R241"/>
    <mergeCell ref="K195:L195"/>
    <mergeCell ref="M195:N195"/>
    <mergeCell ref="K260:L260"/>
    <mergeCell ref="A311:B311"/>
    <mergeCell ref="E196:F196"/>
    <mergeCell ref="M253:N253"/>
    <mergeCell ref="O11:P11"/>
    <mergeCell ref="E256:F256"/>
    <mergeCell ref="O253:P253"/>
    <mergeCell ref="G256:H256"/>
    <mergeCell ref="A80:A91"/>
    <mergeCell ref="M190:N190"/>
    <mergeCell ref="E193:F193"/>
    <mergeCell ref="G193:H193"/>
    <mergeCell ref="E198:F198"/>
    <mergeCell ref="G198:H198"/>
    <mergeCell ref="A42:A44"/>
    <mergeCell ref="M129:N129"/>
    <mergeCell ref="R59:S59"/>
    <mergeCell ref="A177:A178"/>
    <mergeCell ref="M73:N73"/>
    <mergeCell ref="R227:R230"/>
    <mergeCell ref="R231:R233"/>
    <mergeCell ref="R164:R167"/>
    <mergeCell ref="M137:N137"/>
    <mergeCell ref="O137:P137"/>
    <mergeCell ref="A71:B71"/>
    <mergeCell ref="C71:D71"/>
    <mergeCell ref="I8:J8"/>
    <mergeCell ref="A8:B8"/>
    <mergeCell ref="C8:D8"/>
    <mergeCell ref="I10:J10"/>
    <mergeCell ref="A10:B10"/>
    <mergeCell ref="K10:L10"/>
    <mergeCell ref="K66:L66"/>
    <mergeCell ref="K259:L259"/>
    <mergeCell ref="C66:D66"/>
    <mergeCell ref="M66:N66"/>
    <mergeCell ref="K197:L197"/>
    <mergeCell ref="E66:F66"/>
    <mergeCell ref="M197:N197"/>
    <mergeCell ref="R127:S127"/>
    <mergeCell ref="M259:N259"/>
    <mergeCell ref="R38:R41"/>
    <mergeCell ref="K3:L3"/>
    <mergeCell ref="I74:J74"/>
    <mergeCell ref="K74:L74"/>
    <mergeCell ref="M130:N130"/>
    <mergeCell ref="R64:S64"/>
    <mergeCell ref="O130:P130"/>
    <mergeCell ref="E130:F130"/>
    <mergeCell ref="O190:P190"/>
    <mergeCell ref="G130:H130"/>
    <mergeCell ref="M261:N261"/>
    <mergeCell ref="M67:N67"/>
    <mergeCell ref="M132:N132"/>
    <mergeCell ref="E135:F135"/>
    <mergeCell ref="E132:F132"/>
    <mergeCell ref="O132:P132"/>
    <mergeCell ref="O254:P254"/>
    <mergeCell ref="G132:H132"/>
    <mergeCell ref="R114:R115"/>
    <mergeCell ref="M69:N69"/>
    <mergeCell ref="G199:H199"/>
    <mergeCell ref="O256:P256"/>
    <mergeCell ref="R51:R52"/>
    <mergeCell ref="A255:B255"/>
    <mergeCell ref="C255:D255"/>
    <mergeCell ref="A3:B3"/>
    <mergeCell ref="O127:P127"/>
    <mergeCell ref="G263:H263"/>
    <mergeCell ref="A101:A104"/>
    <mergeCell ref="I263:J263"/>
    <mergeCell ref="K8:L8"/>
    <mergeCell ref="A5:B5"/>
    <mergeCell ref="R303:R304"/>
    <mergeCell ref="A12:A16"/>
    <mergeCell ref="C74:D74"/>
    <mergeCell ref="C9:D9"/>
    <mergeCell ref="S123:T126"/>
    <mergeCell ref="E9:F9"/>
    <mergeCell ref="O69:P69"/>
    <mergeCell ref="R263:S263"/>
    <mergeCell ref="G196:H196"/>
    <mergeCell ref="R308:R310"/>
    <mergeCell ref="M6:N6"/>
    <mergeCell ref="C11:D11"/>
    <mergeCell ref="M133:N133"/>
    <mergeCell ref="E11:F11"/>
    <mergeCell ref="O133:P133"/>
    <mergeCell ref="O198:P198"/>
    <mergeCell ref="A263:B263"/>
    <mergeCell ref="M135:N135"/>
    <mergeCell ref="O64:P64"/>
    <mergeCell ref="G4:H4"/>
    <mergeCell ref="O135:P135"/>
    <mergeCell ref="G200:H200"/>
    <mergeCell ref="I4:J4"/>
    <mergeCell ref="O262:P262"/>
    <mergeCell ref="A134:B134"/>
    <mergeCell ref="R305:R307"/>
    <mergeCell ref="I262:J262"/>
    <mergeCell ref="M72:N72"/>
    <mergeCell ref="O72:P72"/>
    <mergeCell ref="O199:P199"/>
    <mergeCell ref="R128:T132"/>
    <mergeCell ref="R260:S260"/>
    <mergeCell ref="R269:R280"/>
    <mergeCell ref="S312:T315"/>
    <mergeCell ref="R201:R205"/>
    <mergeCell ref="C6:D6"/>
    <mergeCell ref="R206:R217"/>
    <mergeCell ref="A73:B73"/>
    <mergeCell ref="I260:J260"/>
    <mergeCell ref="C64:D64"/>
    <mergeCell ref="I197:J197"/>
    <mergeCell ref="E64:F64"/>
    <mergeCell ref="C1:D1"/>
    <mergeCell ref="E1:F1"/>
    <mergeCell ref="E128:F128"/>
    <mergeCell ref="K261:L261"/>
    <mergeCell ref="G128:H128"/>
    <mergeCell ref="A29:A37"/>
    <mergeCell ref="A201:A205"/>
    <mergeCell ref="E65:F65"/>
    <mergeCell ref="A138:A142"/>
    <mergeCell ref="A195:B195"/>
    <mergeCell ref="A171:A174"/>
    <mergeCell ref="A259:B259"/>
    <mergeCell ref="A123:B126"/>
    <mergeCell ref="A253:B253"/>
    <mergeCell ref="R200:S200"/>
    <mergeCell ref="C253:D253"/>
    <mergeCell ref="R249:R252"/>
    <mergeCell ref="R242:R244"/>
    <mergeCell ref="A60:B63"/>
    <mergeCell ref="A68:B68"/>
    <mergeCell ref="A190:B190"/>
    <mergeCell ref="C190:D190"/>
    <mergeCell ref="R186:R189"/>
    <mergeCell ref="R8:S8"/>
    <mergeCell ref="C254:D254"/>
    <mergeCell ref="R73:S73"/>
    <mergeCell ref="I199:J199"/>
    <mergeCell ref="A264:A268"/>
    <mergeCell ref="R10:S10"/>
    <mergeCell ref="O136:P136"/>
    <mergeCell ref="R65:T69"/>
    <mergeCell ref="R137:S137"/>
    <mergeCell ref="M1:N1"/>
    <mergeCell ref="G70:H70"/>
    <mergeCell ref="R197:S197"/>
    <mergeCell ref="O263:P263"/>
    <mergeCell ref="I70:J70"/>
    <mergeCell ref="O200:P200"/>
    <mergeCell ref="G7:H7"/>
    <mergeCell ref="I7:J7"/>
    <mergeCell ref="O65:P65"/>
    <mergeCell ref="I134:J134"/>
    <mergeCell ref="A137:B137"/>
    <mergeCell ref="R301:R302"/>
    <mergeCell ref="K134:L134"/>
    <mergeCell ref="C137:D137"/>
    <mergeCell ref="R245:R247"/>
    <mergeCell ref="R179:R181"/>
    <mergeCell ref="R2:T6"/>
    <mergeCell ref="G65:H65"/>
    <mergeCell ref="C132:D132"/>
    <mergeCell ref="G192:H192"/>
    <mergeCell ref="R168:R170"/>
    <mergeCell ref="R80:R91"/>
    <mergeCell ref="R297:R300"/>
    <mergeCell ref="G129:H129"/>
    <mergeCell ref="A179:A181"/>
    <mergeCell ref="A49:A50"/>
    <mergeCell ref="A281:A289"/>
    <mergeCell ref="A261:B261"/>
    <mergeCell ref="A116:A118"/>
    <mergeCell ref="G2:H2"/>
    <mergeCell ref="A218:A226"/>
    <mergeCell ref="I2:J2"/>
    <mergeCell ref="K9:L9"/>
    <mergeCell ref="M9:N9"/>
    <mergeCell ref="E254:F254"/>
    <mergeCell ref="O9:P9"/>
    <mergeCell ref="R143:R154"/>
    <mergeCell ref="A69:B69"/>
    <mergeCell ref="A256:B256"/>
    <mergeCell ref="K11:L11"/>
    <mergeCell ref="K253:L253"/>
    <mergeCell ref="R7:S7"/>
    <mergeCell ref="M11:N11"/>
    <mergeCell ref="C256:D256"/>
    <mergeCell ref="R294:R296"/>
    <mergeCell ref="A133:B133"/>
    <mergeCell ref="A193:B193"/>
    <mergeCell ref="C133:D133"/>
    <mergeCell ref="C193:D193"/>
    <mergeCell ref="R74:S74"/>
    <mergeCell ref="C127:D127"/>
    <mergeCell ref="O4:P4"/>
    <mergeCell ref="A175:A176"/>
    <mergeCell ref="E191:F191"/>
    <mergeCell ref="A92:A100"/>
    <mergeCell ref="K71:L71"/>
    <mergeCell ref="A112:A113"/>
    <mergeCell ref="R311:S311"/>
    <mergeCell ref="O70:P70"/>
    <mergeCell ref="G73:H73"/>
    <mergeCell ref="I73:J73"/>
    <mergeCell ref="K73:L73"/>
    <mergeCell ref="I137:J137"/>
    <mergeCell ref="K137:L137"/>
    <mergeCell ref="A67:B67"/>
    <mergeCell ref="R42:R44"/>
    <mergeCell ref="R218:R226"/>
    <mergeCell ref="R312:R315"/>
    <mergeCell ref="R53:R55"/>
    <mergeCell ref="G8:H8"/>
    <mergeCell ref="R177:R178"/>
    <mergeCell ref="A6:B6"/>
    <mergeCell ref="I195:J195"/>
    <mergeCell ref="A53:A55"/>
    <mergeCell ref="E262:F262"/>
    <mergeCell ref="G262:H262"/>
    <mergeCell ref="C10:D10"/>
    <mergeCell ref="E10:F10"/>
    <mergeCell ref="G10:H10"/>
    <mergeCell ref="A66:B66"/>
    <mergeCell ref="A182:A184"/>
    <mergeCell ref="E74:F74"/>
    <mergeCell ref="G3:H3"/>
    <mergeCell ref="G74:H74"/>
    <mergeCell ref="I3:J3"/>
    <mergeCell ref="I130:J130"/>
    <mergeCell ref="I190:J190"/>
    <mergeCell ref="K130:L130"/>
    <mergeCell ref="K190:L190"/>
    <mergeCell ref="A119:A121"/>
    <mergeCell ref="C130:D130"/>
    <mergeCell ref="I67:J67"/>
    <mergeCell ref="R112:R113"/>
    <mergeCell ref="I132:J132"/>
    <mergeCell ref="A135:B135"/>
    <mergeCell ref="R29:R37"/>
    <mergeCell ref="C135:D135"/>
    <mergeCell ref="K132:L132"/>
    <mergeCell ref="K254:L254"/>
    <mergeCell ref="A122:B122"/>
    <mergeCell ref="M254:N254"/>
    <mergeCell ref="A72:B72"/>
    <mergeCell ref="C72:D72"/>
    <mergeCell ref="A199:B199"/>
    <mergeCell ref="C199:D199"/>
    <mergeCell ref="E199:F199"/>
    <mergeCell ref="E255:F255"/>
    <mergeCell ref="M256:N256"/>
    <mergeCell ref="G255:H255"/>
    <mergeCell ref="C136:D136"/>
    <mergeCell ref="A75:A79"/>
    <mergeCell ref="K193:L193"/>
    <mergeCell ref="K127:L127"/>
    <mergeCell ref="R191:T195"/>
    <mergeCell ref="A114:A115"/>
    <mergeCell ref="M127:N127"/>
    <mergeCell ref="O7:P7"/>
    <mergeCell ref="E192:F192"/>
    <mergeCell ref="C263:D263"/>
    <mergeCell ref="E263:F263"/>
    <mergeCell ref="E129:F129"/>
    <mergeCell ref="A51:A52"/>
    <mergeCell ref="A45:A48"/>
    <mergeCell ref="R101:R104"/>
    <mergeCell ref="K67:L67"/>
    <mergeCell ref="R70:S70"/>
    <mergeCell ref="M196:N196"/>
    <mergeCell ref="O196:P196"/>
    <mergeCell ref="A186:B189"/>
    <mergeCell ref="R134:S134"/>
    <mergeCell ref="M198:N198"/>
    <mergeCell ref="A234:A237"/>
    <mergeCell ref="M8:N8"/>
    <mergeCell ref="O8:P8"/>
    <mergeCell ref="O2:P2"/>
    <mergeCell ref="C67:D67"/>
    <mergeCell ref="E136:F136"/>
    <mergeCell ref="O66:P66"/>
    <mergeCell ref="I69:J69"/>
    <mergeCell ref="A9:B9"/>
    <mergeCell ref="K69:L69"/>
    <mergeCell ref="C69:D69"/>
    <mergeCell ref="R12:R16"/>
    <mergeCell ref="O3:P3"/>
    <mergeCell ref="I6:J6"/>
    <mergeCell ref="I133:J133"/>
    <mergeCell ref="A11:B11"/>
    <mergeCell ref="K133:L133"/>
    <mergeCell ref="M193:N193"/>
    <mergeCell ref="E127:F127"/>
    <mergeCell ref="I135:J135"/>
    <mergeCell ref="K64:L64"/>
    <mergeCell ref="C4:D4"/>
    <mergeCell ref="K135:L135"/>
    <mergeCell ref="M64:N64"/>
    <mergeCell ref="E4:F4"/>
    <mergeCell ref="C200:D200"/>
    <mergeCell ref="M191:N191"/>
    <mergeCell ref="E200:F200"/>
    <mergeCell ref="R264:R268"/>
    <mergeCell ref="O191:P191"/>
    <mergeCell ref="G191:H191"/>
    <mergeCell ref="I72:J72"/>
    <mergeCell ref="K1:L1"/>
    <mergeCell ref="K72:L72"/>
    <mergeCell ref="M128:N128"/>
    <mergeCell ref="O128:P128"/>
    <mergeCell ref="M255:N255"/>
    <mergeCell ref="O255:P255"/>
    <mergeCell ref="G258:H258"/>
    <mergeCell ref="I258:J258"/>
    <mergeCell ref="M65:N65"/>
    <mergeCell ref="M192:N192"/>
    <mergeCell ref="O192:P192"/>
    <mergeCell ref="G195:H195"/>
    <mergeCell ref="R253:S253"/>
    <mergeCell ref="E260:F260"/>
    <mergeCell ref="G260:H260"/>
    <mergeCell ref="E197:F197"/>
    <mergeCell ref="G259:H259"/>
    <mergeCell ref="G197:H197"/>
    <mergeCell ref="I259:J259"/>
    <mergeCell ref="I253:J253"/>
    <mergeCell ref="R171:R174"/>
    <mergeCell ref="G261:H261"/>
    <mergeCell ref="R71:S71"/>
    <mergeCell ref="K6:L6"/>
    <mergeCell ref="I256:J256"/>
    <mergeCell ref="A108:A111"/>
    <mergeCell ref="A238:A239"/>
    <mergeCell ref="A155:A163"/>
    <mergeCell ref="K199:L199"/>
    <mergeCell ref="R138:R142"/>
    <mergeCell ref="A248:B248"/>
    <mergeCell ref="M199:N199"/>
    <mergeCell ref="A240:A241"/>
    <mergeCell ref="K136:L136"/>
    <mergeCell ref="A185:B185"/>
    <mergeCell ref="M136:N136"/>
    <mergeCell ref="C70:D70"/>
    <mergeCell ref="K263:L263"/>
    <mergeCell ref="R259:S259"/>
    <mergeCell ref="E70:F70"/>
    <mergeCell ref="M263:N263"/>
    <mergeCell ref="K7:L7"/>
    <mergeCell ref="K200:L200"/>
    <mergeCell ref="C7:D7"/>
    <mergeCell ref="M200:N200"/>
    <mergeCell ref="E7:F7"/>
    <mergeCell ref="O129:P129"/>
    <mergeCell ref="K65:L65"/>
    <mergeCell ref="E134:F134"/>
    <mergeCell ref="R190:S190"/>
    <mergeCell ref="R261:S261"/>
    <mergeCell ref="G134:H134"/>
    <mergeCell ref="A290:A293"/>
    <mergeCell ref="M71:N71"/>
    <mergeCell ref="A56:A58"/>
    <mergeCell ref="O258:P258"/>
    <mergeCell ref="A130:B130"/>
    <mergeCell ref="I261:J261"/>
    <mergeCell ref="A17:A28"/>
    <mergeCell ref="O195:P195"/>
    <mergeCell ref="M260:N260"/>
    <mergeCell ref="O260:P260"/>
    <mergeCell ref="A132:B132"/>
    <mergeCell ref="R75:R79"/>
    <mergeCell ref="A227:A230"/>
    <mergeCell ref="A196:B196"/>
    <mergeCell ref="K256:L256"/>
    <mergeCell ref="C196:D196"/>
    <mergeCell ref="I254:J254"/>
    <mergeCell ref="R45:R48"/>
    <mergeCell ref="A198:B198"/>
    <mergeCell ref="C198:D198"/>
    <mergeCell ref="A2:B2"/>
    <mergeCell ref="C2:D2"/>
    <mergeCell ref="E2:F2"/>
    <mergeCell ref="R185:S185"/>
    <mergeCell ref="A254:B254"/>
    <mergeCell ref="R122:S122"/>
    <mergeCell ref="R254:T258"/>
    <mergeCell ref="A127:B127"/>
    <mergeCell ref="K4:L4"/>
    <mergeCell ref="R281:R289"/>
    <mergeCell ref="M4:N4"/>
    <mergeCell ref="R17:R28"/>
  </mergeCells>
  <printOptions horizontalCentered="1" verticalCentered="1"/>
  <pageMargins left="0" right="0" top="0" bottom="0" header="0" footer="0"/>
  <pageSetup orientation="landscape" paperSize="9" scale="63"/>
  <rowBreaks count="4" manualBreakCount="4">
    <brk id="63" min="0" max="19" man="1"/>
    <brk id="126" min="0" max="19" man="1"/>
    <brk id="189" min="0" max="19" man="1"/>
    <brk id="252" min="0" max="19" man="1"/>
  </rowBreaks>
</worksheet>
</file>

<file path=xl/worksheets/sheet3.xml><?xml version="1.0" encoding="utf-8"?>
<worksheet xmlns="http://schemas.openxmlformats.org/spreadsheetml/2006/main">
  <sheetPr>
    <tabColor rgb="FF17375E"/>
    <outlinePr summaryBelow="1" summaryRight="1"/>
    <pageSetUpPr/>
  </sheetPr>
  <dimension ref="A1:U315"/>
  <sheetViews>
    <sheetView view="pageBreakPreview" zoomScaleNormal="100" zoomScaleSheetLayoutView="100" workbookViewId="0">
      <pane ySplit="11" topLeftCell="A12" activePane="bottomLeft" state="frozen"/>
      <selection pane="bottomLeft" activeCell="E52" sqref="E52"/>
    </sheetView>
  </sheetViews>
  <sheetFormatPr baseColWidth="8" defaultColWidth="8.625" defaultRowHeight="14.1" customHeight="1"/>
  <cols>
    <col width="7.625" customWidth="1" style="5" min="1" max="1"/>
    <col width="12.25" customWidth="1" style="3" min="2" max="2"/>
    <col width="14.625" customWidth="1" style="3" min="3" max="3"/>
    <col width="5.25" customWidth="1" style="16" min="4" max="4"/>
    <col width="14.625" customWidth="1" style="3" min="5" max="5"/>
    <col width="5.25" customWidth="1" style="16" min="6" max="6"/>
    <col width="14.625" customWidth="1" style="3" min="7" max="7"/>
    <col width="5.25" customWidth="1" style="16" min="8" max="8"/>
    <col width="14.625" customWidth="1" style="4" min="9" max="9"/>
    <col width="5.25" customWidth="1" style="16" min="10" max="10"/>
    <col width="14.625" customWidth="1" style="185" min="11" max="11"/>
    <col width="5.25" customWidth="1" style="16" min="12" max="12"/>
    <col width="14.625" customWidth="1" style="16" min="13" max="13"/>
    <col width="5.25" customWidth="1" style="16" min="14" max="14"/>
    <col width="14.625" customWidth="1" style="4" min="15" max="15"/>
    <col width="5.25" customWidth="1" style="78" min="16" max="16"/>
    <col width="3.625" customWidth="1" style="4" min="17" max="17"/>
    <col width="8.5" customWidth="1" style="5" min="18" max="18"/>
    <col width="12.5" customWidth="1" style="3" min="19" max="19"/>
    <col width="11.625" customWidth="1" style="17" min="20" max="20"/>
  </cols>
  <sheetData>
    <row r="1" ht="19.5" customFormat="1" customHeight="1" s="1">
      <c r="A1" s="652" t="inlineStr">
        <is>
          <t>ㅇㅇㅇ님 보장분석(전)</t>
        </is>
      </c>
      <c r="B1" s="793" t="n"/>
      <c r="C1" s="649" t="n"/>
      <c r="D1" s="794" t="n"/>
      <c r="E1" s="649" t="n"/>
      <c r="F1" s="794" t="n"/>
      <c r="G1" s="649" t="n"/>
      <c r="H1" s="794" t="n"/>
      <c r="I1" s="649" t="n"/>
      <c r="J1" s="794" t="n"/>
      <c r="K1" s="649" t="n"/>
      <c r="L1" s="794" t="n"/>
      <c r="M1" s="649" t="n"/>
      <c r="N1" s="794" t="n"/>
      <c r="O1" s="649" t="n"/>
      <c r="P1" s="794" t="n"/>
      <c r="Q1" s="136" t="n"/>
      <c r="R1" s="795" t="inlineStr">
        <is>
          <t>평가 기준일</t>
        </is>
      </c>
      <c r="S1" s="796" t="n"/>
      <c r="T1" s="137">
        <f>TODAY()</f>
        <v/>
      </c>
    </row>
    <row r="2" ht="14.1" customHeight="1" s="797">
      <c r="A2" s="647" t="inlineStr">
        <is>
          <t>상품명</t>
        </is>
      </c>
      <c r="B2" s="798" t="n"/>
      <c r="C2" s="645" t="n"/>
      <c r="D2" s="799" t="n"/>
      <c r="E2" s="645" t="n"/>
      <c r="F2" s="799" t="n"/>
      <c r="G2" s="645" t="n"/>
      <c r="H2" s="799" t="n"/>
      <c r="I2" s="645" t="n"/>
      <c r="J2" s="799" t="n"/>
      <c r="K2" s="645" t="n"/>
      <c r="L2" s="799" t="n"/>
      <c r="M2" s="645" t="n"/>
      <c r="N2" s="799" t="n"/>
      <c r="O2" s="645" t="n"/>
      <c r="P2" s="799" t="n"/>
      <c r="Q2" s="25" t="n"/>
      <c r="R2" s="800" t="n"/>
      <c r="S2" s="801" t="n"/>
      <c r="T2" s="802" t="n"/>
    </row>
    <row r="3" ht="14.1" customHeight="1" s="797">
      <c r="A3" s="637" t="inlineStr">
        <is>
          <t>계약자 / 피보험자</t>
        </is>
      </c>
      <c r="B3" s="803" t="n"/>
      <c r="C3" s="645" t="n"/>
      <c r="D3" s="799" t="n"/>
      <c r="E3" s="645" t="n"/>
      <c r="F3" s="799" t="n"/>
      <c r="G3" s="645" t="n"/>
      <c r="H3" s="799" t="n"/>
      <c r="I3" s="645" t="n"/>
      <c r="J3" s="799" t="n"/>
      <c r="K3" s="645" t="n"/>
      <c r="L3" s="799" t="n"/>
      <c r="M3" s="645" t="n"/>
      <c r="N3" s="799" t="n"/>
      <c r="O3" s="645" t="n"/>
      <c r="P3" s="799" t="n"/>
      <c r="Q3" s="25" t="n"/>
      <c r="R3" s="804" t="n"/>
      <c r="T3" s="805" t="n"/>
    </row>
    <row r="4" ht="14.1" customHeight="1" s="797">
      <c r="A4" s="647" t="inlineStr">
        <is>
          <t>계약일자</t>
        </is>
      </c>
      <c r="B4" s="798" t="n"/>
      <c r="C4" s="646" t="n"/>
      <c r="D4" s="799" t="n"/>
      <c r="E4" s="646" t="n"/>
      <c r="F4" s="799" t="n"/>
      <c r="G4" s="646" t="n"/>
      <c r="H4" s="799" t="n"/>
      <c r="I4" s="646" t="n"/>
      <c r="J4" s="799" t="n"/>
      <c r="K4" s="646" t="n"/>
      <c r="L4" s="799" t="n"/>
      <c r="M4" s="646" t="n"/>
      <c r="N4" s="799" t="n"/>
      <c r="O4" s="646" t="n"/>
      <c r="P4" s="799" t="n"/>
      <c r="Q4" s="25" t="n"/>
      <c r="R4" s="804" t="n"/>
      <c r="T4" s="805" t="n"/>
    </row>
    <row r="5" ht="14.1" customHeight="1" s="797">
      <c r="A5" s="647" t="inlineStr">
        <is>
          <t>납입기간 / 기납입기간</t>
        </is>
      </c>
      <c r="B5" s="798" t="n"/>
      <c r="C5" s="806" t="n"/>
      <c r="D5" s="807">
        <f>IF(DATEDIF(C4,$T$1,"m")&lt;C5*12,DATEDIF(C4,$T$1,"m"),C5*12)</f>
        <v/>
      </c>
      <c r="E5" s="806" t="n"/>
      <c r="F5" s="807">
        <f>IF(DATEDIF(E4,$T$1,"m")&lt;E5*12,DATEDIF(E4,$T$1,"m"),E5*12)</f>
        <v/>
      </c>
      <c r="G5" s="806" t="n"/>
      <c r="H5" s="807">
        <f>IF(DATEDIF(G4,$T$1,"m")&lt;G5*12,DATEDIF(G4,$T$1,"m"),G5*12)</f>
        <v/>
      </c>
      <c r="I5" s="806" t="n"/>
      <c r="J5" s="807">
        <f>IF(DATEDIF(I4,$T$1,"m")&lt;I5*12,DATEDIF(I4,$T$1,"m"),I5*12)</f>
        <v/>
      </c>
      <c r="K5" s="806" t="n"/>
      <c r="L5" s="807">
        <f>IF(DATEDIF(K4,$T$1,"m")&lt;K5*12,DATEDIF(K4,$T$1,"m"),K5*12)</f>
        <v/>
      </c>
      <c r="M5" s="806" t="n"/>
      <c r="N5" s="807">
        <f>IF(DATEDIF(M4,$T$1,"m")&lt;M5*12,DATEDIF(M4,$T$1,"m"),M5*12)</f>
        <v/>
      </c>
      <c r="O5" s="806" t="n"/>
      <c r="P5" s="807">
        <f>IF(DATEDIF(O4,$T$1,"m")&lt;O5*12,DATEDIF(O4,$T$1,"m"),O5*12)</f>
        <v/>
      </c>
      <c r="Q5" s="25" t="n"/>
      <c r="R5" s="804" t="n"/>
      <c r="T5" s="805" t="n"/>
    </row>
    <row r="6" ht="14.1" customHeight="1" s="797">
      <c r="A6" s="647" t="inlineStr">
        <is>
          <t>보장기간</t>
        </is>
      </c>
      <c r="B6" s="798" t="n"/>
      <c r="C6" s="645" t="n"/>
      <c r="D6" s="799" t="n"/>
      <c r="E6" s="645" t="n"/>
      <c r="F6" s="799" t="n"/>
      <c r="G6" s="645" t="n"/>
      <c r="H6" s="799" t="n"/>
      <c r="I6" s="645" t="n"/>
      <c r="J6" s="799" t="n"/>
      <c r="K6" s="645" t="n"/>
      <c r="L6" s="799" t="n"/>
      <c r="M6" s="645" t="n"/>
      <c r="N6" s="799" t="n"/>
      <c r="O6" s="645" t="n"/>
      <c r="P6" s="799" t="n"/>
      <c r="Q6" s="25" t="n"/>
      <c r="R6" s="808" t="n"/>
      <c r="S6" s="809" t="n"/>
      <c r="T6" s="810" t="n"/>
    </row>
    <row r="7" ht="14.1" customHeight="1" s="797">
      <c r="A7" s="632" t="inlineStr">
        <is>
          <t>비고 / 갱신종류</t>
        </is>
      </c>
      <c r="B7" s="811" t="n"/>
      <c r="C7" s="642" t="n"/>
      <c r="D7" s="799" t="n"/>
      <c r="E7" s="642" t="n"/>
      <c r="F7" s="799" t="n"/>
      <c r="G7" s="642" t="n"/>
      <c r="H7" s="799" t="n"/>
      <c r="I7" s="642" t="n"/>
      <c r="J7" s="799" t="n"/>
      <c r="K7" s="642" t="n"/>
      <c r="L7" s="799" t="n"/>
      <c r="M7" s="642" t="n"/>
      <c r="N7" s="799" t="n"/>
      <c r="O7" s="642" t="n"/>
      <c r="P7" s="799" t="n"/>
      <c r="Q7" s="25" t="n"/>
      <c r="R7" s="812" t="n"/>
      <c r="S7" s="799" t="n"/>
      <c r="T7" s="478" t="inlineStr">
        <is>
          <t>총 보장 (원)</t>
        </is>
      </c>
    </row>
    <row r="8" ht="14.1" customHeight="1" s="797">
      <c r="A8" s="639" t="inlineStr">
        <is>
          <t>월 보험료</t>
        </is>
      </c>
      <c r="B8" s="798" t="n"/>
      <c r="C8" s="813" t="n"/>
      <c r="D8" s="799" t="n"/>
      <c r="E8" s="813" t="n"/>
      <c r="F8" s="799" t="n"/>
      <c r="G8" s="813" t="n"/>
      <c r="H8" s="799" t="n"/>
      <c r="I8" s="813" t="n"/>
      <c r="J8" s="799" t="n"/>
      <c r="K8" s="813" t="n"/>
      <c r="L8" s="799" t="n"/>
      <c r="M8" s="813" t="n"/>
      <c r="N8" s="799" t="n"/>
      <c r="O8" s="813" t="n"/>
      <c r="P8" s="799" t="n"/>
      <c r="Q8" s="814" t="n"/>
      <c r="R8" s="815" t="inlineStr">
        <is>
          <t>합산 월 보험료</t>
        </is>
      </c>
      <c r="S8" s="799" t="n"/>
      <c r="T8" s="816">
        <f>SUM(B8:P8)</f>
        <v/>
      </c>
    </row>
    <row r="9" ht="14.1" customHeight="1" s="797">
      <c r="A9" s="637" t="inlineStr">
        <is>
          <t>보험료 총액</t>
        </is>
      </c>
      <c r="B9" s="803" t="n"/>
      <c r="C9" s="817">
        <f>C8*C5*12</f>
        <v/>
      </c>
      <c r="D9" s="799" t="n"/>
      <c r="E9" s="817">
        <f>E8*E5*12</f>
        <v/>
      </c>
      <c r="F9" s="799" t="n"/>
      <c r="G9" s="817">
        <f>G8*G5*12</f>
        <v/>
      </c>
      <c r="H9" s="799" t="n"/>
      <c r="I9" s="817">
        <f>I8*I5*12</f>
        <v/>
      </c>
      <c r="J9" s="799" t="n"/>
      <c r="K9" s="817">
        <f>K8*K5*12</f>
        <v/>
      </c>
      <c r="L9" s="799" t="n"/>
      <c r="M9" s="817">
        <f>M8*M5*12</f>
        <v/>
      </c>
      <c r="N9" s="799" t="n"/>
      <c r="O9" s="817">
        <f>O8*O5*12</f>
        <v/>
      </c>
      <c r="P9" s="799" t="n"/>
      <c r="Q9" s="814" t="n"/>
      <c r="R9" s="815" t="inlineStr">
        <is>
          <t>합산 보험료 총액</t>
        </is>
      </c>
      <c r="S9" s="799" t="n"/>
      <c r="T9" s="818">
        <f>SUM(B9:P9)</f>
        <v/>
      </c>
    </row>
    <row r="10" ht="14.1" customHeight="1" s="797">
      <c r="A10" s="637" t="inlineStr">
        <is>
          <t>기 납입금</t>
        </is>
      </c>
      <c r="B10" s="803" t="n"/>
      <c r="C10" s="817">
        <f>C8*D5</f>
        <v/>
      </c>
      <c r="D10" s="799" t="n"/>
      <c r="E10" s="817">
        <f>E8*F5</f>
        <v/>
      </c>
      <c r="F10" s="799" t="n"/>
      <c r="G10" s="817">
        <f>G8*H5</f>
        <v/>
      </c>
      <c r="H10" s="799" t="n"/>
      <c r="I10" s="817">
        <f>I8*J5</f>
        <v/>
      </c>
      <c r="J10" s="799" t="n"/>
      <c r="K10" s="817">
        <f>K8*L5</f>
        <v/>
      </c>
      <c r="L10" s="799" t="n"/>
      <c r="M10" s="817">
        <f>M8*N5</f>
        <v/>
      </c>
      <c r="N10" s="799" t="n"/>
      <c r="O10" s="817">
        <f>O8*P5</f>
        <v/>
      </c>
      <c r="P10" s="799" t="n"/>
      <c r="Q10" s="814" t="n"/>
      <c r="R10" s="815" t="inlineStr">
        <is>
          <t>합산 기 납입금</t>
        </is>
      </c>
      <c r="S10" s="799" t="n"/>
      <c r="T10" s="818">
        <f>SUM(B10:P10)</f>
        <v/>
      </c>
    </row>
    <row r="11" ht="14.1" customHeight="1" s="797" thickBot="1">
      <c r="A11" s="632" t="inlineStr">
        <is>
          <t>미 납입금</t>
        </is>
      </c>
      <c r="B11" s="811" t="n"/>
      <c r="C11" s="817">
        <f>C9-C10</f>
        <v/>
      </c>
      <c r="D11" s="799" t="n"/>
      <c r="E11" s="817">
        <f>E9-E10</f>
        <v/>
      </c>
      <c r="F11" s="799" t="n"/>
      <c r="G11" s="817">
        <f>G9-G10</f>
        <v/>
      </c>
      <c r="H11" s="799" t="n"/>
      <c r="I11" s="817">
        <f>I9-I10</f>
        <v/>
      </c>
      <c r="J11" s="799" t="n"/>
      <c r="K11" s="817">
        <f>K9-K10</f>
        <v/>
      </c>
      <c r="L11" s="799" t="n"/>
      <c r="M11" s="817">
        <f>M9-M10</f>
        <v/>
      </c>
      <c r="N11" s="799" t="n"/>
      <c r="O11" s="817">
        <f>O9-O10</f>
        <v/>
      </c>
      <c r="P11" s="799" t="n"/>
      <c r="Q11" s="814" t="n"/>
      <c r="R11" s="819" t="inlineStr">
        <is>
          <t>합산 미 납입금</t>
        </is>
      </c>
      <c r="S11" s="820" t="n"/>
      <c r="T11" s="818">
        <f>SUM(B11:P11)</f>
        <v/>
      </c>
    </row>
    <row r="12" ht="14.1" customHeight="1" s="797">
      <c r="A12" s="821" t="inlineStr">
        <is>
          <t>실비
(갱신)</t>
        </is>
      </c>
      <c r="B12" s="457" t="inlineStr">
        <is>
          <t>질병입원의료비</t>
        </is>
      </c>
      <c r="C12" s="822" t="n"/>
      <c r="D12" s="823" t="n"/>
      <c r="E12" s="822" t="n"/>
      <c r="F12" s="823" t="n"/>
      <c r="G12" s="822" t="n"/>
      <c r="H12" s="825" t="n"/>
      <c r="I12" s="826" t="n"/>
      <c r="J12" s="827" t="n"/>
      <c r="K12" s="828" t="n"/>
      <c r="L12" s="829" t="n"/>
      <c r="M12" s="828" t="n"/>
      <c r="N12" s="827" t="n"/>
      <c r="O12" s="826" t="n"/>
      <c r="P12" s="827" t="n"/>
      <c r="Q12" s="830" t="n"/>
      <c r="R12" s="821" t="inlineStr">
        <is>
          <t>실비
(갱신)</t>
        </is>
      </c>
      <c r="S12" s="457" t="inlineStr">
        <is>
          <t>질병입원의료비</t>
        </is>
      </c>
      <c r="T12" s="831">
        <f>C12+E12+G12+I12+K12+M12+O12</f>
        <v/>
      </c>
    </row>
    <row r="13" ht="14.1" customHeight="1" s="797">
      <c r="A13" s="832" t="n"/>
      <c r="B13" s="458" t="inlineStr">
        <is>
          <t>질병통원의료비</t>
        </is>
      </c>
      <c r="C13" s="833" t="n"/>
      <c r="D13" s="984" t="n"/>
      <c r="E13" s="833" t="n"/>
      <c r="F13" s="984" t="n"/>
      <c r="G13" s="833" t="n"/>
      <c r="H13" s="835" t="n"/>
      <c r="I13" s="836" t="n"/>
      <c r="J13" s="837" t="n"/>
      <c r="K13" s="838" t="n"/>
      <c r="L13" s="839" t="n"/>
      <c r="M13" s="838" t="n"/>
      <c r="N13" s="837" t="n"/>
      <c r="O13" s="836" t="n"/>
      <c r="P13" s="837" t="n"/>
      <c r="Q13" s="830" t="n"/>
      <c r="R13" s="832" t="n"/>
      <c r="S13" s="458" t="inlineStr">
        <is>
          <t>질병통원의료비</t>
        </is>
      </c>
      <c r="T13" s="840">
        <f>C13+E13+G13+I13+K13+M13+O13</f>
        <v/>
      </c>
    </row>
    <row r="14" ht="14.1" customHeight="1" s="797">
      <c r="A14" s="832" t="n"/>
      <c r="B14" s="458" t="inlineStr">
        <is>
          <t>상해입원의료비</t>
        </is>
      </c>
      <c r="C14" s="833" t="n"/>
      <c r="D14" s="984" t="n"/>
      <c r="E14" s="833" t="n"/>
      <c r="F14" s="834" t="n"/>
      <c r="G14" s="833" t="n"/>
      <c r="H14" s="835" t="n"/>
      <c r="I14" s="836" t="n"/>
      <c r="J14" s="837" t="n"/>
      <c r="K14" s="838" t="n"/>
      <c r="L14" s="839" t="n"/>
      <c r="M14" s="838" t="n"/>
      <c r="N14" s="837" t="n"/>
      <c r="O14" s="836" t="n"/>
      <c r="P14" s="837" t="n"/>
      <c r="Q14" s="830" t="n"/>
      <c r="R14" s="832" t="n"/>
      <c r="S14" s="458" t="inlineStr">
        <is>
          <t>상해입통원급여의료비</t>
        </is>
      </c>
      <c r="T14" s="840">
        <f>C14+E14+G14+I14+K14+M14+O14</f>
        <v/>
      </c>
    </row>
    <row r="15" ht="14.1" customHeight="1" s="797">
      <c r="A15" s="832" t="n"/>
      <c r="B15" s="458" t="inlineStr">
        <is>
          <t>상해통원의료비</t>
        </is>
      </c>
      <c r="C15" s="833" t="n"/>
      <c r="D15" s="984" t="n"/>
      <c r="E15" s="833" t="n"/>
      <c r="F15" s="834" t="n"/>
      <c r="G15" s="833" t="n"/>
      <c r="H15" s="835" t="n"/>
      <c r="I15" s="836" t="n"/>
      <c r="J15" s="837" t="n"/>
      <c r="K15" s="838" t="n"/>
      <c r="L15" s="839" t="n"/>
      <c r="M15" s="838" t="n"/>
      <c r="N15" s="837" t="n"/>
      <c r="O15" s="836" t="n"/>
      <c r="P15" s="837" t="n"/>
      <c r="Q15" s="830" t="n"/>
      <c r="R15" s="832" t="n"/>
      <c r="S15" s="458" t="inlineStr">
        <is>
          <t>상해입통원비급여의료비</t>
        </is>
      </c>
      <c r="T15" s="840">
        <f>C15+E15+G15+I15+K15+M15+O15</f>
        <v/>
      </c>
    </row>
    <row r="16" ht="14.1" customHeight="1" s="797" thickBot="1">
      <c r="A16" s="841" t="n"/>
      <c r="B16" s="459" t="inlineStr">
        <is>
          <t>3대비급여 의료비</t>
        </is>
      </c>
      <c r="C16" s="842" t="n"/>
      <c r="D16" s="985" t="n"/>
      <c r="E16" s="842" t="n"/>
      <c r="F16" s="843" t="n"/>
      <c r="G16" s="842" t="n"/>
      <c r="H16" s="844" t="n"/>
      <c r="I16" s="845" t="n"/>
      <c r="J16" s="846" t="n"/>
      <c r="K16" s="847" t="n"/>
      <c r="L16" s="848" t="n"/>
      <c r="M16" s="847" t="n"/>
      <c r="N16" s="846" t="n"/>
      <c r="O16" s="845" t="n"/>
      <c r="P16" s="846" t="n"/>
      <c r="Q16" s="830" t="n"/>
      <c r="R16" s="841" t="n"/>
      <c r="S16" s="459" t="inlineStr">
        <is>
          <t>3대비급여 의료비</t>
        </is>
      </c>
      <c r="T16" s="849">
        <f>C16+E16+G16+I16+K16+M16+O16</f>
        <v/>
      </c>
    </row>
    <row r="17" ht="14.1" customHeight="1" s="797">
      <c r="A17" s="624" t="inlineStr">
        <is>
          <t>암</t>
        </is>
      </c>
      <c r="B17" s="460" t="inlineStr">
        <is>
          <t>암진단</t>
        </is>
      </c>
      <c r="C17" s="828" t="n"/>
      <c r="D17" s="850" t="n"/>
      <c r="E17" s="822" t="n"/>
      <c r="F17" s="851" t="n"/>
      <c r="G17" s="838" t="n"/>
      <c r="H17" s="871" t="n"/>
      <c r="I17" s="838" t="n"/>
      <c r="J17" s="852" t="n"/>
      <c r="K17" s="838" t="n"/>
      <c r="L17" s="850" t="n"/>
      <c r="M17" s="828" t="n"/>
      <c r="N17" s="853" t="n"/>
      <c r="O17" s="828" t="n"/>
      <c r="P17" s="827" t="n"/>
      <c r="Q17" s="830" t="n"/>
      <c r="R17" s="624" t="inlineStr">
        <is>
          <t>암</t>
        </is>
      </c>
      <c r="S17" s="490" t="inlineStr">
        <is>
          <t>암진단</t>
        </is>
      </c>
      <c r="T17" s="854">
        <f>C17+E17+G17+I17+K17+M17+O17</f>
        <v/>
      </c>
    </row>
    <row r="18" ht="14.1" customHeight="1" s="797">
      <c r="A18" s="832" t="n"/>
      <c r="B18" s="481" t="inlineStr">
        <is>
          <t>유사암진단</t>
        </is>
      </c>
      <c r="C18" s="838" t="n"/>
      <c r="D18" s="855" t="n"/>
      <c r="E18" s="838" t="n"/>
      <c r="F18" s="855" t="n"/>
      <c r="G18" s="838" t="n"/>
      <c r="H18" s="871" t="n"/>
      <c r="I18" s="838" t="n"/>
      <c r="J18" s="852" t="n"/>
      <c r="K18" s="838" t="n"/>
      <c r="L18" s="855" t="n"/>
      <c r="M18" s="856" t="n"/>
      <c r="N18" s="853" t="n"/>
      <c r="O18" s="856" t="n"/>
      <c r="P18" s="857" t="n"/>
      <c r="Q18" s="830" t="n"/>
      <c r="R18" s="832" t="n"/>
      <c r="S18" s="491" t="inlineStr">
        <is>
          <t>유사암진단</t>
        </is>
      </c>
      <c r="T18" s="858">
        <f>C18+E18+G18+I18+K18+M18+O18</f>
        <v/>
      </c>
    </row>
    <row r="19" ht="14.1" customHeight="1" s="797" thickBot="1">
      <c r="A19" s="832" t="n"/>
      <c r="B19" s="553" t="inlineStr">
        <is>
          <t>전이암진단</t>
        </is>
      </c>
      <c r="C19" s="859" t="n"/>
      <c r="D19" s="860" t="n"/>
      <c r="E19" s="859" t="n"/>
      <c r="F19" s="861" t="n"/>
      <c r="G19" s="862" t="n"/>
      <c r="H19" s="882" t="n"/>
      <c r="I19" s="859" t="n"/>
      <c r="J19" s="863" t="n"/>
      <c r="K19" s="862" t="n"/>
      <c r="L19" s="861" t="n"/>
      <c r="M19" s="859" t="n"/>
      <c r="N19" s="860" t="n"/>
      <c r="O19" s="859" t="n"/>
      <c r="P19" s="864" t="n"/>
      <c r="Q19" s="830" t="n"/>
      <c r="R19" s="832" t="n"/>
      <c r="S19" s="552" t="inlineStr">
        <is>
          <t>전이암진단</t>
        </is>
      </c>
      <c r="T19" s="865">
        <f>C19+E19+G19+I19+K19+M19+O19</f>
        <v/>
      </c>
    </row>
    <row r="20" ht="14.1" customHeight="1" s="797">
      <c r="A20" s="832" t="n"/>
      <c r="B20" s="554" t="inlineStr">
        <is>
          <t>암수술</t>
        </is>
      </c>
      <c r="C20" s="822" t="n"/>
      <c r="D20" s="824" t="n"/>
      <c r="E20" s="822" t="n"/>
      <c r="F20" s="851" t="n"/>
      <c r="G20" s="822" t="n"/>
      <c r="H20" s="987" t="n"/>
      <c r="I20" s="828" t="n"/>
      <c r="J20" s="866" t="n"/>
      <c r="K20" s="828" t="n"/>
      <c r="L20" s="850" t="n"/>
      <c r="M20" s="828" t="n"/>
      <c r="N20" s="850" t="n"/>
      <c r="O20" s="828" t="n"/>
      <c r="P20" s="827" t="n"/>
      <c r="Q20" s="830" t="n"/>
      <c r="R20" s="832" t="n"/>
      <c r="S20" s="554" t="inlineStr">
        <is>
          <t>암수술</t>
        </is>
      </c>
      <c r="T20" s="854">
        <f>C20+E20+G20+I20+K20+M20+O20</f>
        <v/>
      </c>
    </row>
    <row r="21" ht="14.1" customHeight="1" s="797">
      <c r="A21" s="832" t="n"/>
      <c r="B21" s="555" t="inlineStr">
        <is>
          <t>다빈치로봇수술</t>
        </is>
      </c>
      <c r="C21" s="867" t="n"/>
      <c r="D21" s="868" t="n"/>
      <c r="E21" s="867" t="n"/>
      <c r="F21" s="869" t="n"/>
      <c r="G21" s="867" t="n"/>
      <c r="H21" s="870" t="n"/>
      <c r="I21" s="856" t="n"/>
      <c r="J21" s="871" t="n"/>
      <c r="K21" s="838" t="n"/>
      <c r="L21" s="871" t="n"/>
      <c r="M21" s="838" t="n"/>
      <c r="N21" s="872" t="n"/>
      <c r="O21" s="856" t="n"/>
      <c r="P21" s="857" t="n"/>
      <c r="Q21" s="830" t="n"/>
      <c r="R21" s="832" t="n"/>
      <c r="S21" s="555" t="inlineStr">
        <is>
          <t>다빈치로봇수술</t>
        </is>
      </c>
      <c r="T21" s="858">
        <f>C21+E21+G21+I21+K21+M21+O21</f>
        <v/>
      </c>
    </row>
    <row r="22" ht="14.1" customHeight="1" s="797">
      <c r="A22" s="832" t="n"/>
      <c r="B22" s="556" t="inlineStr">
        <is>
          <t>항암방사선</t>
        </is>
      </c>
      <c r="C22" s="838" t="n"/>
      <c r="D22" s="873" t="n"/>
      <c r="E22" s="856" t="n"/>
      <c r="F22" s="855" t="n"/>
      <c r="G22" s="856" t="n"/>
      <c r="H22" s="871" t="n"/>
      <c r="I22" s="856" t="n"/>
      <c r="J22" s="871" t="n"/>
      <c r="K22" s="838" t="n"/>
      <c r="L22" s="855" t="n"/>
      <c r="M22" s="838" t="n"/>
      <c r="N22" s="855" t="n"/>
      <c r="O22" s="856" t="n"/>
      <c r="P22" s="857" t="n"/>
      <c r="Q22" s="830" t="n"/>
      <c r="R22" s="832" t="n"/>
      <c r="S22" s="556" t="inlineStr">
        <is>
          <t>항암방사선</t>
        </is>
      </c>
      <c r="T22" s="858">
        <f>C22+E22+G22+I22+K22+M22+O22</f>
        <v/>
      </c>
    </row>
    <row r="23" ht="14.1" customHeight="1" s="797">
      <c r="A23" s="832" t="n"/>
      <c r="B23" s="555" t="inlineStr">
        <is>
          <t>중입자방사선</t>
        </is>
      </c>
      <c r="C23" s="838" t="n"/>
      <c r="D23" s="873" t="n"/>
      <c r="E23" s="856" t="n"/>
      <c r="F23" s="855" t="n"/>
      <c r="G23" s="856" t="n"/>
      <c r="H23" s="871" t="n"/>
      <c r="I23" s="856" t="n"/>
      <c r="J23" s="874" t="n"/>
      <c r="K23" s="838" t="n"/>
      <c r="L23" s="855" t="n"/>
      <c r="M23" s="838" t="n"/>
      <c r="N23" s="855" t="n"/>
      <c r="O23" s="856" t="n"/>
      <c r="P23" s="857" t="n"/>
      <c r="Q23" s="830" t="n"/>
      <c r="R23" s="832" t="n"/>
      <c r="S23" s="555" t="inlineStr">
        <is>
          <t>중입자방사선</t>
        </is>
      </c>
      <c r="T23" s="858">
        <f>C23+E23+G23+I23+K23+M23+O23</f>
        <v/>
      </c>
    </row>
    <row r="24" ht="14.1" customHeight="1" s="797">
      <c r="A24" s="832" t="n"/>
      <c r="B24" s="555" t="inlineStr">
        <is>
          <t>양성자방사선</t>
        </is>
      </c>
      <c r="C24" s="838" t="n"/>
      <c r="D24" s="873" t="n"/>
      <c r="E24" s="856" t="n"/>
      <c r="F24" s="855" t="n"/>
      <c r="G24" s="856" t="n"/>
      <c r="H24" s="871" t="n"/>
      <c r="I24" s="856" t="n"/>
      <c r="J24" s="871" t="n"/>
      <c r="K24" s="838" t="n"/>
      <c r="L24" s="855" t="n"/>
      <c r="M24" s="838" t="n"/>
      <c r="N24" s="855" t="n"/>
      <c r="O24" s="856" t="n"/>
      <c r="P24" s="857" t="n"/>
      <c r="Q24" s="830" t="n"/>
      <c r="R24" s="832" t="n"/>
      <c r="S24" s="555" t="inlineStr">
        <is>
          <t>양성자방사선</t>
        </is>
      </c>
      <c r="T24" s="858">
        <f>C24+E24+G24+I24+K24+M24+O24</f>
        <v/>
      </c>
    </row>
    <row r="25" ht="14.1" customHeight="1" s="797">
      <c r="A25" s="832" t="n"/>
      <c r="B25" s="555" t="inlineStr">
        <is>
          <t>세기조절방사선</t>
        </is>
      </c>
      <c r="C25" s="838" t="n"/>
      <c r="D25" s="873" t="n"/>
      <c r="E25" s="856" t="n"/>
      <c r="F25" s="855" t="n"/>
      <c r="G25" s="856" t="n"/>
      <c r="H25" s="871" t="n"/>
      <c r="I25" s="856" t="n"/>
      <c r="J25" s="871" t="n"/>
      <c r="K25" s="838" t="n"/>
      <c r="L25" s="855" t="n"/>
      <c r="M25" s="838" t="n"/>
      <c r="N25" s="855" t="n"/>
      <c r="O25" s="856" t="n"/>
      <c r="P25" s="857" t="n"/>
      <c r="Q25" s="830" t="n"/>
      <c r="R25" s="832" t="n"/>
      <c r="S25" s="555" t="inlineStr">
        <is>
          <t>세기조절방사선</t>
        </is>
      </c>
      <c r="T25" s="858">
        <f>C25+E25+G25+I25+K25+M25+O25</f>
        <v/>
      </c>
    </row>
    <row r="26" ht="14.1" customHeight="1" s="797">
      <c r="A26" s="832" t="n"/>
      <c r="B26" s="556" t="inlineStr">
        <is>
          <t>항암약물</t>
        </is>
      </c>
      <c r="C26" s="838" t="n"/>
      <c r="D26" s="873" t="n"/>
      <c r="E26" s="859" t="n"/>
      <c r="F26" s="855" t="n"/>
      <c r="G26" s="859" t="n"/>
      <c r="H26" s="871" t="n"/>
      <c r="I26" s="859" t="n"/>
      <c r="J26" s="871" t="n"/>
      <c r="K26" s="862" t="n"/>
      <c r="L26" s="875" t="n"/>
      <c r="M26" s="862" t="n"/>
      <c r="N26" s="875" t="n"/>
      <c r="O26" s="856" t="n"/>
      <c r="P26" s="857" t="n"/>
      <c r="Q26" s="830" t="n"/>
      <c r="R26" s="832" t="n"/>
      <c r="S26" s="556" t="inlineStr">
        <is>
          <t>항암약물</t>
        </is>
      </c>
      <c r="T26" s="858">
        <f>C26+E26+G26+I26+K26+M26+O26</f>
        <v/>
      </c>
    </row>
    <row r="27" ht="14.1" customHeight="1" s="797">
      <c r="A27" s="832" t="n"/>
      <c r="B27" s="555" t="inlineStr">
        <is>
          <t>표적항암약물</t>
        </is>
      </c>
      <c r="C27" s="862" t="n"/>
      <c r="D27" s="876" t="n"/>
      <c r="E27" s="859" t="n"/>
      <c r="F27" s="855" t="n"/>
      <c r="G27" s="859" t="n"/>
      <c r="H27" s="871" t="n"/>
      <c r="I27" s="859" t="n"/>
      <c r="J27" s="871" t="n"/>
      <c r="K27" s="862" t="n"/>
      <c r="L27" s="871" t="n"/>
      <c r="M27" s="862" t="n"/>
      <c r="N27" s="871" t="n"/>
      <c r="O27" s="859" t="n"/>
      <c r="P27" s="864" t="n"/>
      <c r="Q27" s="830" t="n"/>
      <c r="R27" s="832" t="n"/>
      <c r="S27" s="555" t="inlineStr">
        <is>
          <t>표적항암약물</t>
        </is>
      </c>
      <c r="T27" s="858">
        <f>C27+E27+G27+I27+K27+M27+O27</f>
        <v/>
      </c>
    </row>
    <row r="28" ht="14.1" customHeight="1" s="797" thickBot="1">
      <c r="A28" s="832" t="n"/>
      <c r="B28" s="557" t="inlineStr">
        <is>
          <t>카티항암약물</t>
        </is>
      </c>
      <c r="C28" s="847" t="n"/>
      <c r="D28" s="848" t="n"/>
      <c r="E28" s="847" t="n"/>
      <c r="F28" s="877" t="n"/>
      <c r="G28" s="847" t="n"/>
      <c r="H28" s="878" t="n"/>
      <c r="I28" s="847" t="n"/>
      <c r="J28" s="878" t="n"/>
      <c r="K28" s="847" t="n"/>
      <c r="L28" s="879" t="n"/>
      <c r="M28" s="847" t="n"/>
      <c r="N28" s="879" t="n"/>
      <c r="O28" s="845" t="n"/>
      <c r="P28" s="846" t="n"/>
      <c r="Q28" s="830" t="n"/>
      <c r="R28" s="832" t="n"/>
      <c r="S28" s="557" t="inlineStr">
        <is>
          <t>카티항암약물</t>
        </is>
      </c>
      <c r="T28" s="865">
        <f>C28+E28+G28+I28+K28+M28+O28</f>
        <v/>
      </c>
    </row>
    <row r="29" ht="14.1" customHeight="1" s="797">
      <c r="A29" s="628" t="inlineStr">
        <is>
          <t>2대
질병</t>
        </is>
      </c>
      <c r="B29" s="461" t="inlineStr">
        <is>
          <t>뇌혈관진단</t>
        </is>
      </c>
      <c r="C29" s="838" t="n"/>
      <c r="D29" s="829" t="n"/>
      <c r="E29" s="838" t="n"/>
      <c r="F29" s="880" t="n"/>
      <c r="G29" s="838" t="n"/>
      <c r="H29" s="866" t="n"/>
      <c r="I29" s="838" t="n"/>
      <c r="J29" s="866" t="n"/>
      <c r="K29" s="838" t="n"/>
      <c r="L29" s="850" t="n"/>
      <c r="M29" s="828" t="n"/>
      <c r="N29" s="829" t="n"/>
      <c r="O29" s="836" t="n"/>
      <c r="P29" s="827" t="n"/>
      <c r="Q29" s="830" t="n"/>
      <c r="R29" s="630" t="inlineStr">
        <is>
          <t>2대
질병</t>
        </is>
      </c>
      <c r="S29" s="492" t="inlineStr">
        <is>
          <t>뇌혈관진단</t>
        </is>
      </c>
      <c r="T29" s="881">
        <f>C29+E29+G29+I29+K29+M29+O29</f>
        <v/>
      </c>
    </row>
    <row r="30" ht="14.1" customHeight="1" s="797">
      <c r="A30" s="832" t="n"/>
      <c r="B30" s="462" t="inlineStr">
        <is>
          <t>뇌졸증진단</t>
        </is>
      </c>
      <c r="C30" s="838" t="n"/>
      <c r="D30" s="855" t="n"/>
      <c r="E30" s="856" t="n"/>
      <c r="F30" s="852" t="n"/>
      <c r="G30" s="838" t="n"/>
      <c r="H30" s="871" t="n"/>
      <c r="I30" s="838" t="n"/>
      <c r="J30" s="871" t="n"/>
      <c r="K30" s="838" t="n"/>
      <c r="L30" s="855" t="n"/>
      <c r="M30" s="856" t="n"/>
      <c r="N30" s="853" t="n"/>
      <c r="O30" s="836" t="n"/>
      <c r="P30" s="857" t="n"/>
      <c r="Q30" s="830" t="n"/>
      <c r="R30" s="832" t="n"/>
      <c r="S30" s="493" t="inlineStr">
        <is>
          <t>뇌졸증진단</t>
        </is>
      </c>
      <c r="T30" s="840">
        <f>C30+E30+G30+I30+K30+M30+O30</f>
        <v/>
      </c>
    </row>
    <row r="31" ht="14.1" customHeight="1" s="797" thickBot="1">
      <c r="A31" s="832" t="n"/>
      <c r="B31" s="463" t="inlineStr">
        <is>
          <t>뇌출혈진단</t>
        </is>
      </c>
      <c r="C31" s="859" t="n"/>
      <c r="D31" s="861" t="n"/>
      <c r="E31" s="859" t="n"/>
      <c r="F31" s="863" t="n"/>
      <c r="G31" s="859" t="n"/>
      <c r="H31" s="882" t="n"/>
      <c r="I31" s="859" t="n"/>
      <c r="J31" s="882" t="n"/>
      <c r="K31" s="859" t="n"/>
      <c r="L31" s="861" t="n"/>
      <c r="M31" s="859" t="n"/>
      <c r="N31" s="860" t="n"/>
      <c r="O31" s="883" t="n"/>
      <c r="P31" s="864" t="n"/>
      <c r="Q31" s="830" t="n"/>
      <c r="R31" s="832" t="n"/>
      <c r="S31" s="494" t="inlineStr">
        <is>
          <t>뇌출혈진단</t>
        </is>
      </c>
      <c r="T31" s="849">
        <f>C31+E31+G31+I31+K31+M31+O31</f>
        <v/>
      </c>
    </row>
    <row r="32" ht="14.1" customHeight="1" s="797">
      <c r="A32" s="832" t="n"/>
      <c r="B32" s="461" t="inlineStr">
        <is>
          <t>심장질환진단</t>
        </is>
      </c>
      <c r="C32" s="828" t="n"/>
      <c r="D32" s="850" t="n"/>
      <c r="E32" s="828" t="n"/>
      <c r="F32" s="880" t="n"/>
      <c r="G32" s="828" t="n"/>
      <c r="H32" s="866" t="n"/>
      <c r="I32" s="828" t="n"/>
      <c r="J32" s="866" t="n"/>
      <c r="K32" s="828" t="n"/>
      <c r="L32" s="850" t="n"/>
      <c r="M32" s="828" t="n"/>
      <c r="N32" s="829" t="n"/>
      <c r="O32" s="826" t="n"/>
      <c r="P32" s="827" t="n"/>
      <c r="Q32" s="830" t="n"/>
      <c r="R32" s="832" t="n"/>
      <c r="S32" s="492" t="inlineStr">
        <is>
          <t>심장질환진단</t>
        </is>
      </c>
      <c r="T32" s="854">
        <f>C32+E32+G32+I32+K32+M32+O32</f>
        <v/>
      </c>
    </row>
    <row r="33" ht="14.1" customHeight="1" s="797">
      <c r="A33" s="832" t="n"/>
      <c r="B33" s="488" t="inlineStr">
        <is>
          <t>허혈성심장진단</t>
        </is>
      </c>
      <c r="C33" s="838" t="n"/>
      <c r="D33" s="855" t="n"/>
      <c r="E33" s="838" t="n"/>
      <c r="F33" s="852" t="n"/>
      <c r="G33" s="838" t="n"/>
      <c r="H33" s="871" t="n"/>
      <c r="I33" s="838" t="n"/>
      <c r="J33" s="871" t="n"/>
      <c r="K33" s="838" t="n"/>
      <c r="L33" s="855" t="n"/>
      <c r="M33" s="838" t="n"/>
      <c r="N33" s="853" t="n"/>
      <c r="O33" s="836" t="n"/>
      <c r="P33" s="857" t="n"/>
      <c r="Q33" s="830" t="n"/>
      <c r="R33" s="832" t="n"/>
      <c r="S33" s="495" t="inlineStr">
        <is>
          <t>허혈성심장진단</t>
        </is>
      </c>
      <c r="T33" s="858">
        <f>C33+E33+G33+I33+K33+M33+O33</f>
        <v/>
      </c>
    </row>
    <row r="34" ht="14.1" customHeight="1" s="797" thickBot="1">
      <c r="A34" s="832" t="n"/>
      <c r="B34" s="489" t="inlineStr">
        <is>
          <t>급성심근경색진단</t>
        </is>
      </c>
      <c r="C34" s="847" t="n"/>
      <c r="D34" s="884" t="n"/>
      <c r="E34" s="847" t="n"/>
      <c r="F34" s="885" t="n"/>
      <c r="G34" s="847" t="n"/>
      <c r="H34" s="886" t="n"/>
      <c r="I34" s="847" t="n"/>
      <c r="J34" s="886" t="n"/>
      <c r="K34" s="847" t="n"/>
      <c r="L34" s="884" t="n"/>
      <c r="M34" s="847" t="n"/>
      <c r="N34" s="848" t="n"/>
      <c r="O34" s="845" t="n"/>
      <c r="P34" s="887" t="n"/>
      <c r="Q34" s="830" t="n"/>
      <c r="R34" s="832" t="n"/>
      <c r="S34" s="496" t="inlineStr">
        <is>
          <t>급성심근경색진단</t>
        </is>
      </c>
      <c r="T34" s="865">
        <f>C34+E34+G34+I34+K34+M34+O34</f>
        <v/>
      </c>
    </row>
    <row r="35" ht="14.1" customHeight="1" s="797">
      <c r="A35" s="832" t="n"/>
      <c r="B35" s="461" t="inlineStr">
        <is>
          <t>수술/시술비</t>
        </is>
      </c>
      <c r="C35" s="828" t="n"/>
      <c r="D35" s="850" t="n"/>
      <c r="E35" s="888" t="n"/>
      <c r="F35" s="889" t="n"/>
      <c r="G35" s="828" t="n"/>
      <c r="H35" s="866" t="n"/>
      <c r="I35" s="828" t="n"/>
      <c r="J35" s="866" t="n"/>
      <c r="K35" s="828" t="n"/>
      <c r="L35" s="850" t="n"/>
      <c r="M35" s="828" t="n"/>
      <c r="N35" s="829" t="n"/>
      <c r="O35" s="826" t="n"/>
      <c r="P35" s="827" t="n"/>
      <c r="Q35" s="830" t="n"/>
      <c r="R35" s="832" t="n"/>
      <c r="S35" s="461" t="inlineStr">
        <is>
          <t>수술/시술비</t>
        </is>
      </c>
      <c r="T35" s="881">
        <f>C35+E35+G35+I35+K35+M35+O35</f>
        <v/>
      </c>
    </row>
    <row r="36" ht="14.1" customHeight="1" s="797">
      <c r="A36" s="832" t="n"/>
      <c r="B36" s="488" t="inlineStr">
        <is>
          <t>혈전용해치료</t>
        </is>
      </c>
      <c r="C36" s="838" t="n"/>
      <c r="D36" s="855" t="n"/>
      <c r="E36" s="838" t="n"/>
      <c r="F36" s="890" t="n"/>
      <c r="G36" s="838" t="n"/>
      <c r="H36" s="871" t="n"/>
      <c r="I36" s="838" t="n"/>
      <c r="J36" s="871" t="n"/>
      <c r="K36" s="838" t="n"/>
      <c r="L36" s="855" t="n"/>
      <c r="M36" s="838" t="n"/>
      <c r="N36" s="853" t="n"/>
      <c r="O36" s="836" t="n"/>
      <c r="P36" s="857" t="n"/>
      <c r="Q36" s="830" t="n"/>
      <c r="R36" s="832" t="n"/>
      <c r="S36" s="488" t="inlineStr">
        <is>
          <t>혈전용해치료</t>
        </is>
      </c>
      <c r="T36" s="840">
        <f>C36+E36+G36+I36+K36+M36+O36</f>
        <v/>
      </c>
    </row>
    <row r="37" ht="14.1" customHeight="1" s="797" thickBot="1">
      <c r="A37" s="832" t="n"/>
      <c r="B37" s="489" t="inlineStr">
        <is>
          <t>중환자실치료</t>
        </is>
      </c>
      <c r="C37" s="847" t="n"/>
      <c r="D37" s="884" t="n"/>
      <c r="E37" s="847" t="n"/>
      <c r="F37" s="891" t="n"/>
      <c r="G37" s="847" t="n"/>
      <c r="H37" s="886" t="n"/>
      <c r="I37" s="847" t="n"/>
      <c r="J37" s="886" t="n"/>
      <c r="K37" s="847" t="n"/>
      <c r="L37" s="884" t="n"/>
      <c r="M37" s="847" t="n"/>
      <c r="N37" s="848" t="n"/>
      <c r="O37" s="845" t="n"/>
      <c r="P37" s="887" t="n"/>
      <c r="Q37" s="830" t="n"/>
      <c r="R37" s="832" t="n"/>
      <c r="S37" s="489" t="inlineStr">
        <is>
          <t>중환자실치료</t>
        </is>
      </c>
      <c r="T37" s="849">
        <f>C37+E37+G37+I37+K37+M37+O37</f>
        <v/>
      </c>
    </row>
    <row r="38" ht="14.1" customHeight="1" s="797">
      <c r="A38" s="892" t="inlineStr">
        <is>
          <t>후유장해</t>
        </is>
      </c>
      <c r="B38" s="464" t="inlineStr">
        <is>
          <t>질병 80% 이상</t>
        </is>
      </c>
      <c r="C38" s="828" t="n"/>
      <c r="D38" s="850" t="n"/>
      <c r="E38" s="828" t="n"/>
      <c r="F38" s="880" t="n"/>
      <c r="G38" s="828" t="n"/>
      <c r="H38" s="866" t="n"/>
      <c r="I38" s="828" t="n"/>
      <c r="J38" s="893" t="n"/>
      <c r="K38" s="828" t="n"/>
      <c r="L38" s="850" t="n"/>
      <c r="M38" s="828" t="n"/>
      <c r="N38" s="829" t="n"/>
      <c r="O38" s="826" t="n"/>
      <c r="P38" s="827" t="n"/>
      <c r="Q38" s="830" t="n"/>
      <c r="R38" s="892" t="inlineStr">
        <is>
          <t>후유장해</t>
        </is>
      </c>
      <c r="S38" s="497" t="inlineStr">
        <is>
          <t>질병 80% 이상</t>
        </is>
      </c>
      <c r="T38" s="854">
        <f>C38+E38+G38+I38+K38+M38+O38</f>
        <v/>
      </c>
    </row>
    <row r="39" ht="14.1" customHeight="1" s="797">
      <c r="A39" s="832" t="n"/>
      <c r="B39" s="465" t="inlineStr">
        <is>
          <t>질병 3% ~80%</t>
        </is>
      </c>
      <c r="C39" s="838" t="n"/>
      <c r="D39" s="855" t="n"/>
      <c r="E39" s="838" t="n"/>
      <c r="F39" s="894" t="n"/>
      <c r="G39" s="838" t="n"/>
      <c r="H39" s="896" t="n"/>
      <c r="I39" s="838" t="n"/>
      <c r="J39" s="895" t="n"/>
      <c r="K39" s="838" t="n"/>
      <c r="L39" s="890" t="n"/>
      <c r="M39" s="838" t="n"/>
      <c r="N39" s="839" t="n"/>
      <c r="O39" s="836" t="n"/>
      <c r="P39" s="837" t="n"/>
      <c r="Q39" s="830" t="n"/>
      <c r="R39" s="832" t="n"/>
      <c r="S39" s="498" t="inlineStr">
        <is>
          <t>질병 3% ~80%</t>
        </is>
      </c>
      <c r="T39" s="858">
        <f>C39+E39+G39+I39+K39+M39+O39</f>
        <v/>
      </c>
    </row>
    <row r="40" ht="14.1" customHeight="1" s="797">
      <c r="A40" s="832" t="n"/>
      <c r="B40" s="465" t="inlineStr">
        <is>
          <t>상해 80% 이상</t>
        </is>
      </c>
      <c r="C40" s="838" t="n"/>
      <c r="D40" s="890" t="n"/>
      <c r="E40" s="838" t="n"/>
      <c r="F40" s="894" t="n"/>
      <c r="G40" s="838" t="n"/>
      <c r="H40" s="896" t="n"/>
      <c r="I40" s="838" t="n"/>
      <c r="J40" s="896" t="n"/>
      <c r="K40" s="838" t="n"/>
      <c r="L40" s="890" t="n"/>
      <c r="M40" s="838" t="n"/>
      <c r="N40" s="839" t="n"/>
      <c r="O40" s="836" t="n"/>
      <c r="P40" s="837" t="n"/>
      <c r="Q40" s="830" t="n"/>
      <c r="R40" s="832" t="n"/>
      <c r="S40" s="498" t="inlineStr">
        <is>
          <t>상해 80% 이상</t>
        </is>
      </c>
      <c r="T40" s="858">
        <f>C40+E40+G40+I40+K40+M40+O40</f>
        <v/>
      </c>
    </row>
    <row r="41" ht="14.1" customHeight="1" s="797" thickBot="1">
      <c r="A41" s="841" t="n"/>
      <c r="B41" s="466" t="inlineStr">
        <is>
          <t>상해 3% ~ 80%</t>
        </is>
      </c>
      <c r="C41" s="847" t="n"/>
      <c r="D41" s="884" t="n"/>
      <c r="E41" s="847" t="n"/>
      <c r="F41" s="885" t="n"/>
      <c r="G41" s="838" t="n"/>
      <c r="H41" s="886" t="n"/>
      <c r="I41" s="838" t="n"/>
      <c r="J41" s="886" t="n"/>
      <c r="K41" s="838" t="n"/>
      <c r="L41" s="884" t="n"/>
      <c r="M41" s="847" t="n"/>
      <c r="N41" s="848" t="n"/>
      <c r="O41" s="845" t="n"/>
      <c r="P41" s="846" t="n"/>
      <c r="Q41" s="830" t="n"/>
      <c r="R41" s="841" t="n"/>
      <c r="S41" s="499" t="inlineStr">
        <is>
          <t>상해 3% ~ 80%</t>
        </is>
      </c>
      <c r="T41" s="865">
        <f>C41+E41+G41+I41+K41+M41+O41</f>
        <v/>
      </c>
    </row>
    <row r="42" ht="14.1" customHeight="1" s="797">
      <c r="A42" s="897" t="inlineStr">
        <is>
          <t>사망</t>
        </is>
      </c>
      <c r="B42" s="467" t="inlineStr">
        <is>
          <t>일반</t>
        </is>
      </c>
      <c r="C42" s="856" t="n"/>
      <c r="D42" s="855" t="n"/>
      <c r="E42" s="828" t="n"/>
      <c r="F42" s="880" t="n"/>
      <c r="G42" s="828" t="n"/>
      <c r="H42" s="866" t="n"/>
      <c r="I42" s="828" t="n"/>
      <c r="J42" s="898" t="n"/>
      <c r="K42" s="828" t="n"/>
      <c r="L42" s="829" t="n"/>
      <c r="M42" s="828" t="n"/>
      <c r="N42" s="829" t="n"/>
      <c r="O42" s="826" t="n"/>
      <c r="P42" s="827" t="n"/>
      <c r="Q42" s="830" t="n"/>
      <c r="R42" s="897" t="inlineStr">
        <is>
          <t>사망</t>
        </is>
      </c>
      <c r="S42" s="500" t="inlineStr">
        <is>
          <t>일반</t>
        </is>
      </c>
      <c r="T42" s="881">
        <f>C42+E42+G42+I42+K42+M42+O42</f>
        <v/>
      </c>
    </row>
    <row r="43" ht="14.1" customHeight="1" s="797">
      <c r="A43" s="832" t="n"/>
      <c r="B43" s="468" t="inlineStr">
        <is>
          <t>질병</t>
        </is>
      </c>
      <c r="C43" s="838" t="n"/>
      <c r="D43" s="890" t="n"/>
      <c r="E43" s="838" t="n"/>
      <c r="F43" s="894" t="n"/>
      <c r="G43" s="838" t="n"/>
      <c r="H43" s="896" t="n"/>
      <c r="I43" s="838" t="n"/>
      <c r="J43" s="896" t="n"/>
      <c r="K43" s="838" t="n"/>
      <c r="L43" s="839" t="n"/>
      <c r="M43" s="838" t="n"/>
      <c r="N43" s="839" t="n"/>
      <c r="O43" s="836" t="n"/>
      <c r="P43" s="837" t="n"/>
      <c r="Q43" s="830" t="n"/>
      <c r="R43" s="832" t="n"/>
      <c r="S43" s="501" t="inlineStr">
        <is>
          <t>질병</t>
        </is>
      </c>
      <c r="T43" s="840">
        <f>C43+E43+G43+I43+K43+M43+O43</f>
        <v/>
      </c>
    </row>
    <row r="44" ht="14.1" customHeight="1" s="797" thickBot="1">
      <c r="A44" s="841" t="n"/>
      <c r="B44" s="469" t="inlineStr">
        <is>
          <t>상해</t>
        </is>
      </c>
      <c r="C44" s="847" t="n"/>
      <c r="D44" s="884" t="n"/>
      <c r="E44" s="847" t="n"/>
      <c r="F44" s="885" t="n"/>
      <c r="G44" s="847" t="n"/>
      <c r="H44" s="886" t="n"/>
      <c r="I44" s="847" t="n"/>
      <c r="J44" s="886" t="n"/>
      <c r="K44" s="847" t="n"/>
      <c r="L44" s="900" t="n"/>
      <c r="M44" s="847" t="n"/>
      <c r="N44" s="848" t="n"/>
      <c r="O44" s="901" t="n"/>
      <c r="P44" s="857" t="n"/>
      <c r="Q44" s="830" t="n"/>
      <c r="R44" s="841" t="n"/>
      <c r="S44" s="502" t="inlineStr">
        <is>
          <t>상해</t>
        </is>
      </c>
      <c r="T44" s="849">
        <f>C44+E44+G44+I44+K44+M44+O44</f>
        <v/>
      </c>
      <c r="U44" s="2" t="n"/>
    </row>
    <row r="45" ht="14.1" customHeight="1" s="797">
      <c r="A45" s="617" t="inlineStr">
        <is>
          <t>수술비</t>
        </is>
      </c>
      <c r="B45" s="470" t="inlineStr">
        <is>
          <t>질병</t>
        </is>
      </c>
      <c r="C45" s="828" t="n"/>
      <c r="D45" s="850" t="n"/>
      <c r="E45" s="828" t="n"/>
      <c r="F45" s="852" t="n"/>
      <c r="G45" s="828" t="n"/>
      <c r="H45" s="853" t="n"/>
      <c r="I45" s="828" t="n"/>
      <c r="J45" s="871" t="n"/>
      <c r="K45" s="828" t="n"/>
      <c r="L45" s="829" t="n"/>
      <c r="M45" s="856" t="n"/>
      <c r="N45" s="853" t="n"/>
      <c r="O45" s="826" t="n"/>
      <c r="P45" s="827" t="n"/>
      <c r="Q45" s="830" t="n"/>
      <c r="R45" s="617" t="inlineStr">
        <is>
          <t>수술비</t>
        </is>
      </c>
      <c r="S45" s="480" t="inlineStr">
        <is>
          <t>질병</t>
        </is>
      </c>
      <c r="T45" s="854">
        <f>C45+E45+G45+I45+K45+M45+O45</f>
        <v/>
      </c>
    </row>
    <row r="46" ht="14.1" customHeight="1" s="797">
      <c r="A46" s="832" t="n"/>
      <c r="B46" s="470" t="inlineStr">
        <is>
          <t>상해</t>
        </is>
      </c>
      <c r="C46" s="838" t="n"/>
      <c r="D46" s="890" t="n"/>
      <c r="E46" s="838" t="n"/>
      <c r="F46" s="894" t="n"/>
      <c r="G46" s="838" t="n"/>
      <c r="H46" s="839" t="n"/>
      <c r="I46" s="838" t="n"/>
      <c r="J46" s="896" t="n"/>
      <c r="K46" s="838" t="n"/>
      <c r="L46" s="839" t="n"/>
      <c r="M46" s="838" t="n"/>
      <c r="N46" s="903" t="n"/>
      <c r="O46" s="836" t="n"/>
      <c r="P46" s="837" t="n"/>
      <c r="Q46" s="830" t="n"/>
      <c r="R46" s="832" t="n"/>
      <c r="S46" s="480" t="inlineStr">
        <is>
          <t>상해</t>
        </is>
      </c>
      <c r="T46" s="858">
        <f>C46+E46+G46+I46+K46+M46+O46</f>
        <v/>
      </c>
    </row>
    <row r="47" ht="14.1" customHeight="1" s="797">
      <c r="A47" s="832" t="n"/>
      <c r="B47" s="470" t="inlineStr">
        <is>
          <t>1-5종</t>
        </is>
      </c>
      <c r="C47" s="838" t="n"/>
      <c r="D47" s="890" t="n"/>
      <c r="E47" s="838" t="n"/>
      <c r="F47" s="852" t="n"/>
      <c r="G47" s="838" t="n"/>
      <c r="H47" s="853" t="n"/>
      <c r="I47" s="838" t="n"/>
      <c r="J47" s="871" t="n"/>
      <c r="K47" s="838" t="n"/>
      <c r="L47" s="853" t="n"/>
      <c r="M47" s="838" t="n"/>
      <c r="N47" s="904" t="n"/>
      <c r="O47" s="836" t="n"/>
      <c r="P47" s="837" t="n"/>
      <c r="Q47" s="830" t="n"/>
      <c r="R47" s="832" t="n"/>
      <c r="S47" s="480" t="inlineStr">
        <is>
          <t>1-5종</t>
        </is>
      </c>
      <c r="T47" s="858">
        <f>C47+E47+G47+I47+K47+M47+O47</f>
        <v/>
      </c>
    </row>
    <row r="48" ht="14.1" customHeight="1" s="797" thickBot="1">
      <c r="A48" s="832" t="n"/>
      <c r="B48" s="471" t="inlineStr">
        <is>
          <t>111대질병</t>
        </is>
      </c>
      <c r="C48" s="862" t="n"/>
      <c r="D48" s="884" t="n"/>
      <c r="E48" s="862" t="n"/>
      <c r="F48" s="863" t="n"/>
      <c r="G48" s="862" t="n"/>
      <c r="H48" s="860" t="n"/>
      <c r="I48" s="862" t="n"/>
      <c r="J48" s="882" t="n"/>
      <c r="K48" s="862" t="n"/>
      <c r="L48" s="905" t="n"/>
      <c r="M48" s="862" t="n"/>
      <c r="N48" s="906" t="n"/>
      <c r="O48" s="907" t="n"/>
      <c r="P48" s="887" t="n"/>
      <c r="Q48" s="830" t="n"/>
      <c r="R48" s="832" t="n"/>
      <c r="S48" s="513" t="inlineStr">
        <is>
          <t>N대질병</t>
        </is>
      </c>
      <c r="T48" s="865">
        <f>C48+E48+G48+I48+K48+M48+O48</f>
        <v/>
      </c>
    </row>
    <row r="49" ht="14.1" customHeight="1" s="797">
      <c r="A49" s="603" t="inlineStr">
        <is>
          <t>상해진단</t>
        </is>
      </c>
      <c r="B49" s="472" t="inlineStr">
        <is>
          <t>골절</t>
        </is>
      </c>
      <c r="C49" s="828" t="n"/>
      <c r="D49" s="850" t="n"/>
      <c r="E49" s="828" t="n"/>
      <c r="F49" s="880" t="n"/>
      <c r="G49" s="828" t="n"/>
      <c r="H49" s="829" t="n"/>
      <c r="I49" s="828" t="n"/>
      <c r="J49" s="866" t="n"/>
      <c r="K49" s="828" t="n"/>
      <c r="L49" s="880" t="n"/>
      <c r="M49" s="828" t="n"/>
      <c r="N49" s="850" t="n"/>
      <c r="O49" s="826" t="n"/>
      <c r="P49" s="827" t="n"/>
      <c r="Q49" s="830" t="n"/>
      <c r="R49" s="603" t="inlineStr">
        <is>
          <t>상해진단</t>
        </is>
      </c>
      <c r="S49" s="483" t="inlineStr">
        <is>
          <t>골절</t>
        </is>
      </c>
      <c r="T49" s="881">
        <f>C49+E49+G49+I49+K49+M49+O49</f>
        <v/>
      </c>
    </row>
    <row r="50" ht="14.1" customHeight="1" s="797" thickBot="1">
      <c r="A50" s="832" t="n"/>
      <c r="B50" s="482" t="inlineStr">
        <is>
          <t>화상</t>
        </is>
      </c>
      <c r="C50" s="909" t="n"/>
      <c r="D50" s="879" t="n"/>
      <c r="E50" s="909" t="n"/>
      <c r="F50" s="885" t="n"/>
      <c r="G50" s="909" t="n"/>
      <c r="H50" s="848" t="n"/>
      <c r="I50" s="909" t="n"/>
      <c r="J50" s="886" t="n"/>
      <c r="K50" s="909" t="n"/>
      <c r="L50" s="910" t="n"/>
      <c r="M50" s="909" t="n"/>
      <c r="N50" s="879" t="n"/>
      <c r="O50" s="911" t="n"/>
      <c r="P50" s="846" t="n"/>
      <c r="Q50" s="830" t="n"/>
      <c r="R50" s="832" t="n"/>
      <c r="S50" s="503" t="inlineStr">
        <is>
          <t>화상</t>
        </is>
      </c>
      <c r="T50" s="849">
        <f>C50+E50+G50+I50+K50+M50+O50</f>
        <v/>
      </c>
    </row>
    <row r="51" ht="14.1" customHeight="1" s="797">
      <c r="A51" s="605" t="inlineStr">
        <is>
          <t>입원비</t>
        </is>
      </c>
      <c r="B51" s="484" t="inlineStr">
        <is>
          <t>질병</t>
        </is>
      </c>
      <c r="C51" s="856" t="n"/>
      <c r="D51" s="855" t="n"/>
      <c r="E51" s="856" t="n"/>
      <c r="F51" s="852" t="n"/>
      <c r="G51" s="856" t="n"/>
      <c r="H51" s="853" t="n"/>
      <c r="I51" s="856" t="n"/>
      <c r="J51" s="871" t="n"/>
      <c r="K51" s="856" t="n"/>
      <c r="L51" s="852" t="n"/>
      <c r="M51" s="856" t="n"/>
      <c r="N51" s="855" t="n"/>
      <c r="O51" s="883" t="n"/>
      <c r="P51" s="864" t="n"/>
      <c r="Q51" s="830" t="n"/>
      <c r="R51" s="605" t="inlineStr">
        <is>
          <t>입원비</t>
        </is>
      </c>
      <c r="S51" s="486" t="inlineStr">
        <is>
          <t>질병</t>
        </is>
      </c>
      <c r="T51" s="854">
        <f>C51+E51+G51+I51+K51+M51+O51</f>
        <v/>
      </c>
    </row>
    <row r="52" ht="14.1" customHeight="1" s="797" thickBot="1">
      <c r="A52" s="912" t="n"/>
      <c r="B52" s="485" t="inlineStr">
        <is>
          <t>상해</t>
        </is>
      </c>
      <c r="C52" s="847" t="n"/>
      <c r="D52" s="884" t="n"/>
      <c r="E52" s="847" t="n"/>
      <c r="F52" s="852" t="n"/>
      <c r="G52" s="847" t="n"/>
      <c r="H52" s="853" t="n"/>
      <c r="I52" s="847" t="n"/>
      <c r="J52" s="871" t="n"/>
      <c r="K52" s="847" t="n"/>
      <c r="L52" s="885" t="n"/>
      <c r="M52" s="847" t="n"/>
      <c r="N52" s="884" t="n"/>
      <c r="O52" s="883" t="n"/>
      <c r="P52" s="864" t="n"/>
      <c r="Q52" s="830" t="n"/>
      <c r="R52" s="912" t="n"/>
      <c r="S52" s="487" t="inlineStr">
        <is>
          <t>상해</t>
        </is>
      </c>
      <c r="T52" s="865">
        <f>C52+E52+G52+I52+K52+M52+O52</f>
        <v/>
      </c>
    </row>
    <row r="53" ht="14.1" customHeight="1" s="797">
      <c r="A53" s="609" t="inlineStr">
        <is>
          <t>간병인</t>
        </is>
      </c>
      <c r="B53" s="473" t="inlineStr">
        <is>
          <t>병원사용</t>
        </is>
      </c>
      <c r="C53" s="828" t="n"/>
      <c r="D53" s="850" t="n"/>
      <c r="E53" s="828" t="n"/>
      <c r="F53" s="913" t="n"/>
      <c r="G53" s="828" t="n"/>
      <c r="H53" s="913" t="n"/>
      <c r="I53" s="828" t="n"/>
      <c r="J53" s="988" t="n"/>
      <c r="K53" s="828" t="n"/>
      <c r="L53" s="913" t="n"/>
      <c r="M53" s="828" t="n"/>
      <c r="N53" s="850" t="n"/>
      <c r="O53" s="826" t="n"/>
      <c r="P53" s="827" t="n"/>
      <c r="Q53" s="830" t="n"/>
      <c r="R53" s="609" t="inlineStr">
        <is>
          <t>간병인</t>
        </is>
      </c>
      <c r="S53" s="504" t="inlineStr">
        <is>
          <t>병원사용</t>
        </is>
      </c>
      <c r="T53" s="881">
        <f>C53+E53+G53+I53+K53+M53+O53</f>
        <v/>
      </c>
    </row>
    <row r="54" ht="14.1" customHeight="1" s="797">
      <c r="A54" s="832" t="n"/>
      <c r="B54" s="474" t="inlineStr">
        <is>
          <t>요양병원사용</t>
        </is>
      </c>
      <c r="C54" s="859" t="n"/>
      <c r="D54" s="861" t="n"/>
      <c r="E54" s="859" t="n"/>
      <c r="F54" s="914" t="n"/>
      <c r="G54" s="859" t="n"/>
      <c r="H54" s="853" t="n"/>
      <c r="I54" s="859" t="n"/>
      <c r="J54" s="989" t="n"/>
      <c r="K54" s="859" t="n"/>
      <c r="L54" s="915" t="n"/>
      <c r="M54" s="859" t="n"/>
      <c r="N54" s="861" t="n"/>
      <c r="O54" s="883" t="n"/>
      <c r="P54" s="864" t="n"/>
      <c r="Q54" s="830" t="n"/>
      <c r="R54" s="832" t="n"/>
      <c r="S54" s="504" t="inlineStr">
        <is>
          <t>요양병원사용</t>
        </is>
      </c>
      <c r="T54" s="840">
        <f>C54+E54+G54+I54+K54+M54+O54</f>
        <v/>
      </c>
    </row>
    <row r="55" ht="14.1" customHeight="1" s="797" thickBot="1">
      <c r="A55" s="841" t="n"/>
      <c r="B55" s="475" t="inlineStr">
        <is>
          <t>간호간병통합사용</t>
        </is>
      </c>
      <c r="C55" s="847" t="n"/>
      <c r="D55" s="884" t="n"/>
      <c r="E55" s="847" t="n"/>
      <c r="F55" s="916" t="n"/>
      <c r="G55" s="847" t="n"/>
      <c r="H55" s="877" t="n"/>
      <c r="I55" s="847" t="n"/>
      <c r="J55" s="990" t="n"/>
      <c r="K55" s="847" t="n"/>
      <c r="L55" s="891" t="n"/>
      <c r="M55" s="847" t="n"/>
      <c r="N55" s="884" t="n"/>
      <c r="O55" s="845" t="n"/>
      <c r="P55" s="846" t="n"/>
      <c r="Q55" s="830" t="n"/>
      <c r="R55" s="841" t="n"/>
      <c r="S55" s="505" t="inlineStr">
        <is>
          <t>간호간병통합사용</t>
        </is>
      </c>
      <c r="T55" s="849">
        <f>C55+E55+G55+I55+K55+M55+O55</f>
        <v/>
      </c>
    </row>
    <row r="56" ht="14.1" customHeight="1" s="797">
      <c r="A56" s="917" t="inlineStr">
        <is>
          <t>운전자</t>
        </is>
      </c>
      <c r="B56" s="476" t="inlineStr">
        <is>
          <t>벌금</t>
        </is>
      </c>
      <c r="C56" s="918" t="n"/>
      <c r="D56" s="850" t="n"/>
      <c r="E56" s="826" t="n"/>
      <c r="F56" s="880" t="n"/>
      <c r="G56" s="828" t="n"/>
      <c r="H56" s="829" t="n"/>
      <c r="I56" s="828" t="n"/>
      <c r="J56" s="866" t="n"/>
      <c r="K56" s="828" t="n"/>
      <c r="L56" s="880" t="n"/>
      <c r="M56" s="828" t="n"/>
      <c r="N56" s="850" t="n"/>
      <c r="O56" s="836" t="n"/>
      <c r="P56" s="827" t="n"/>
      <c r="Q56" s="830" t="n"/>
      <c r="R56" s="917" t="inlineStr">
        <is>
          <t>운전자</t>
        </is>
      </c>
      <c r="S56" s="506" t="inlineStr">
        <is>
          <t>벌금</t>
        </is>
      </c>
      <c r="T56" s="854">
        <f>C56+E56+G56+I56+K56+M56+O56</f>
        <v/>
      </c>
    </row>
    <row r="57" ht="14.1" customHeight="1" s="797">
      <c r="A57" s="832" t="n"/>
      <c r="B57" s="476" t="inlineStr">
        <is>
          <t>변호사선임</t>
        </is>
      </c>
      <c r="C57" s="838" t="n"/>
      <c r="D57" s="890" t="n"/>
      <c r="E57" s="836" t="n"/>
      <c r="F57" s="894" t="n"/>
      <c r="G57" s="838" t="n"/>
      <c r="H57" s="839" t="n"/>
      <c r="I57" s="838" t="n"/>
      <c r="J57" s="896" t="n"/>
      <c r="K57" s="838" t="n"/>
      <c r="L57" s="894" t="n"/>
      <c r="M57" s="838" t="n"/>
      <c r="N57" s="890" t="n"/>
      <c r="O57" s="836" t="n"/>
      <c r="P57" s="837" t="n"/>
      <c r="Q57" s="830" t="n"/>
      <c r="R57" s="832" t="n"/>
      <c r="S57" s="506" t="inlineStr">
        <is>
          <t>변호사선임</t>
        </is>
      </c>
      <c r="T57" s="858">
        <f>C57+E57+G57+I57+K57+M57+O57</f>
        <v/>
      </c>
    </row>
    <row r="58" ht="14.1" customHeight="1" s="797" thickBot="1">
      <c r="A58" s="841" t="n"/>
      <c r="B58" s="477" t="inlineStr">
        <is>
          <t>교통사고처리지원</t>
        </is>
      </c>
      <c r="C58" s="856" t="n"/>
      <c r="D58" s="855" t="n"/>
      <c r="E58" s="901" t="n"/>
      <c r="F58" s="852" t="n"/>
      <c r="G58" s="856" t="n"/>
      <c r="H58" s="853" t="n"/>
      <c r="I58" s="856" t="n"/>
      <c r="J58" s="871" t="n"/>
      <c r="K58" s="856" t="n"/>
      <c r="L58" s="852" t="n"/>
      <c r="M58" s="856" t="n"/>
      <c r="N58" s="855" t="n"/>
      <c r="O58" s="836" t="n"/>
      <c r="P58" s="837" t="n"/>
      <c r="Q58" s="830" t="n"/>
      <c r="R58" s="841" t="n"/>
      <c r="S58" s="507" t="inlineStr">
        <is>
          <t>교통사고처리지원</t>
        </is>
      </c>
      <c r="T58" s="865">
        <f>C58+E58+G58+I58+K58+M58+O58</f>
        <v/>
      </c>
    </row>
    <row r="59" ht="14.1" customHeight="1" s="797" thickBot="1">
      <c r="A59" s="585" t="inlineStr">
        <is>
          <t>일상생활배상책임</t>
        </is>
      </c>
      <c r="B59" s="919" t="n"/>
      <c r="C59" s="920" t="n"/>
      <c r="D59" s="921" t="n"/>
      <c r="E59" s="920" t="n"/>
      <c r="F59" s="922" t="n"/>
      <c r="G59" s="920" t="n"/>
      <c r="H59" s="923" t="n"/>
      <c r="I59" s="920" t="n"/>
      <c r="J59" s="991" t="n"/>
      <c r="K59" s="920" t="n"/>
      <c r="L59" s="922" t="n"/>
      <c r="M59" s="920" t="n"/>
      <c r="N59" s="921" t="n"/>
      <c r="O59" s="925" t="n"/>
      <c r="P59" s="926" t="n"/>
      <c r="Q59" s="830" t="n"/>
      <c r="R59" s="585" t="inlineStr">
        <is>
          <t>일상생활배상책임</t>
        </is>
      </c>
      <c r="S59" s="919" t="n"/>
      <c r="T59" s="927">
        <f>C59+E59+G59+I59+K59+M59+O59</f>
        <v/>
      </c>
    </row>
    <row r="60" ht="14.1" customHeight="1" s="797">
      <c r="A60" s="928" t="inlineStr">
        <is>
          <t>주요치료비</t>
        </is>
      </c>
      <c r="C60" s="930" t="n"/>
      <c r="D60" s="850" t="n"/>
      <c r="E60" s="930" t="n"/>
      <c r="F60" s="931" t="n"/>
      <c r="G60" s="930" t="n"/>
      <c r="H60" s="932" t="n"/>
      <c r="I60" s="930" t="n"/>
      <c r="J60" s="992" t="n"/>
      <c r="K60" s="930" t="n"/>
      <c r="L60" s="932" t="n"/>
      <c r="M60" s="930" t="n"/>
      <c r="N60" s="934" t="n"/>
      <c r="O60" s="930" t="n"/>
      <c r="P60" s="827" t="n"/>
      <c r="Q60" s="830" t="n"/>
      <c r="R60" s="935" t="inlineStr">
        <is>
          <t>기타</t>
        </is>
      </c>
      <c r="S60" s="936" t="n"/>
    </row>
    <row r="61" ht="14.1" customHeight="1" s="797">
      <c r="B61" s="0" t="inlineStr">
        <is>
          <t>암주요치료비(급여)</t>
        </is>
      </c>
      <c r="C61" s="938" t="n"/>
      <c r="D61" s="890" t="n"/>
      <c r="E61" s="938" t="n"/>
      <c r="F61" s="939" t="n"/>
      <c r="G61" s="938" t="n"/>
      <c r="H61" s="931" t="n"/>
      <c r="I61" s="938" t="n"/>
      <c r="J61" s="993" t="n"/>
      <c r="K61" s="938" t="n"/>
      <c r="L61" s="931" t="n"/>
      <c r="M61" s="938" t="n"/>
      <c r="N61" s="941" t="n"/>
      <c r="O61" s="938" t="n"/>
      <c r="P61" s="837" t="n"/>
      <c r="Q61" s="830" t="n"/>
    </row>
    <row r="62" ht="14.1" customHeight="1" s="797">
      <c r="B62" s="0" t="inlineStr">
        <is>
          <t>암주요치료비(비급여)</t>
        </is>
      </c>
      <c r="C62" s="938" t="n"/>
      <c r="D62" s="890" t="n"/>
      <c r="E62" s="938" t="n"/>
      <c r="F62" s="939" t="n"/>
      <c r="G62" s="938" t="n"/>
      <c r="H62" s="839" t="n"/>
      <c r="I62" s="938" t="n"/>
      <c r="J62" s="853" t="n"/>
      <c r="K62" s="938" t="n"/>
      <c r="L62" s="931" t="n"/>
      <c r="M62" s="938" t="n"/>
      <c r="N62" s="904" t="n"/>
      <c r="O62" s="938" t="n"/>
      <c r="P62" s="837" t="n"/>
      <c r="Q62" s="830" t="n"/>
    </row>
    <row r="63" ht="14.1" customHeight="1" s="797" thickBot="1">
      <c r="B63" s="0" t="inlineStr">
        <is>
          <t>뇌심(순환계)주요치료비</t>
        </is>
      </c>
      <c r="C63" s="944" t="n"/>
      <c r="D63" s="884" t="n"/>
      <c r="E63" s="944" t="n"/>
      <c r="F63" s="945" t="n"/>
      <c r="G63" s="944" t="n"/>
      <c r="H63" s="885" t="n"/>
      <c r="I63" s="944" t="n"/>
      <c r="J63" s="885" t="n"/>
      <c r="K63" s="944" t="n"/>
      <c r="L63" s="900" t="n"/>
      <c r="M63" s="944" t="n"/>
      <c r="N63" s="848" t="n"/>
      <c r="O63" s="944" t="n"/>
      <c r="P63" s="846" t="n"/>
      <c r="Q63" s="830" t="n"/>
    </row>
    <row r="64" ht="19.5" customHeight="1" s="797">
      <c r="A64" s="947">
        <f>A1</f>
        <v/>
      </c>
      <c r="B64" s="796" t="n"/>
      <c r="C64" s="649" t="n"/>
      <c r="D64" s="794" t="n"/>
      <c r="E64" s="649" t="n"/>
      <c r="F64" s="794" t="n"/>
      <c r="G64" s="649" t="n"/>
      <c r="H64" s="794" t="n"/>
      <c r="I64" s="649" t="n"/>
      <c r="J64" s="794" t="n"/>
      <c r="K64" s="649" t="n"/>
      <c r="L64" s="794" t="n"/>
      <c r="M64" s="649" t="n"/>
      <c r="N64" s="794" t="n"/>
      <c r="O64" s="649" t="n"/>
      <c r="P64" s="794" t="n"/>
      <c r="Q64" s="138" t="n"/>
      <c r="R64" s="795" t="inlineStr">
        <is>
          <t>평가 기준일</t>
        </is>
      </c>
      <c r="S64" s="796" t="n"/>
      <c r="T64" s="137">
        <f>T1</f>
        <v/>
      </c>
    </row>
    <row r="65" ht="14.1" customHeight="1" s="797">
      <c r="A65" s="647" t="inlineStr">
        <is>
          <t>상품명</t>
        </is>
      </c>
      <c r="B65" s="798" t="n"/>
      <c r="C65" s="645" t="n"/>
      <c r="D65" s="799" t="n"/>
      <c r="E65" s="645" t="n"/>
      <c r="F65" s="799" t="n"/>
      <c r="G65" s="645" t="n"/>
      <c r="H65" s="799" t="n"/>
      <c r="I65" s="645" t="n"/>
      <c r="J65" s="799" t="n"/>
      <c r="K65" s="645" t="n"/>
      <c r="L65" s="799" t="n"/>
      <c r="M65" s="645" t="n"/>
      <c r="N65" s="799" t="n"/>
      <c r="O65" s="645" t="n"/>
      <c r="P65" s="799" t="n"/>
      <c r="Q65" s="25" t="n"/>
      <c r="R65" s="948" t="n"/>
      <c r="S65" s="801" t="n"/>
      <c r="T65" s="802" t="n"/>
    </row>
    <row r="66" ht="14.1" customHeight="1" s="797">
      <c r="A66" s="647" t="inlineStr">
        <is>
          <t>계약자 / 피보험자</t>
        </is>
      </c>
      <c r="B66" s="798" t="n"/>
      <c r="C66" s="645" t="n"/>
      <c r="D66" s="799" t="n"/>
      <c r="E66" s="645" t="n"/>
      <c r="F66" s="799" t="n"/>
      <c r="G66" s="645" t="n"/>
      <c r="H66" s="799" t="n"/>
      <c r="I66" s="645" t="n"/>
      <c r="J66" s="799" t="n"/>
      <c r="K66" s="645" t="n"/>
      <c r="L66" s="799" t="n"/>
      <c r="M66" s="645" t="n"/>
      <c r="N66" s="799" t="n"/>
      <c r="O66" s="646" t="n"/>
      <c r="P66" s="799" t="n"/>
      <c r="Q66" s="25" t="n"/>
      <c r="R66" s="804" t="n"/>
      <c r="T66" s="805" t="n"/>
    </row>
    <row r="67" ht="14.1" customHeight="1" s="797">
      <c r="A67" s="647" t="inlineStr">
        <is>
          <t>계약일자</t>
        </is>
      </c>
      <c r="B67" s="798" t="n"/>
      <c r="C67" s="646" t="n"/>
      <c r="D67" s="799" t="n"/>
      <c r="E67" s="646" t="n"/>
      <c r="F67" s="799" t="n"/>
      <c r="G67" s="646" t="n"/>
      <c r="H67" s="799" t="n"/>
      <c r="I67" s="646" t="n"/>
      <c r="J67" s="799" t="n"/>
      <c r="K67" s="646" t="n"/>
      <c r="L67" s="799" t="n"/>
      <c r="M67" s="646" t="n"/>
      <c r="N67" s="799" t="n"/>
      <c r="O67" s="646" t="n"/>
      <c r="P67" s="799" t="n"/>
      <c r="Q67" s="25" t="n"/>
      <c r="R67" s="804" t="n"/>
      <c r="T67" s="805" t="n"/>
    </row>
    <row r="68" ht="14.1" customHeight="1" s="797">
      <c r="A68" s="647" t="inlineStr">
        <is>
          <t>납입기간 / 기납입기간</t>
        </is>
      </c>
      <c r="B68" s="798" t="n"/>
      <c r="C68" s="806" t="n"/>
      <c r="D68" s="807">
        <f>IF(DATEDIF(C67,$T$1,"m")&lt;C68*12,DATEDIF(C67,$T$1,"m"),C68*12)</f>
        <v/>
      </c>
      <c r="E68" s="806" t="n"/>
      <c r="F68" s="807">
        <f>IF(DATEDIF(E67,$T$1,"m")&lt;E68*12,DATEDIF(E67,$T$1,"m"),E68*12)</f>
        <v/>
      </c>
      <c r="G68" s="806" t="n"/>
      <c r="H68" s="807">
        <f>IF(DATEDIF(G67,$T$1,"m")&lt;G68*12,DATEDIF(G67,$T$1,"m"),G68*12)</f>
        <v/>
      </c>
      <c r="I68" s="806" t="n"/>
      <c r="J68" s="807">
        <f>IF(DATEDIF(I67,$T$1,"m")&lt;I68*12,DATEDIF(I67,$T$1,"m"),I68*12)</f>
        <v/>
      </c>
      <c r="K68" s="806" t="n"/>
      <c r="L68" s="807">
        <f>IF(DATEDIF(K67,$T$1,"m")&lt;K68*12,DATEDIF(K67,$T$1,"m"),K68*12)</f>
        <v/>
      </c>
      <c r="M68" s="806" t="n"/>
      <c r="N68" s="949">
        <f>IF(DATEDIF(M67,$T$1,"m")&lt;M68*12,DATEDIF(M67,$T$1,"m"),M68*12)</f>
        <v/>
      </c>
      <c r="O68" s="806" t="n"/>
      <c r="P68" s="807">
        <f>IF(DATEDIF(O67,$T$1,"m")&lt;O68*12,DATEDIF(O67,$T$1,"m"),O68*12)</f>
        <v/>
      </c>
      <c r="Q68" s="25" t="n"/>
      <c r="R68" s="804" t="n"/>
      <c r="T68" s="805" t="n"/>
    </row>
    <row r="69" ht="14.1" customHeight="1" s="797">
      <c r="A69" s="647" t="inlineStr">
        <is>
          <t>보장기간</t>
        </is>
      </c>
      <c r="B69" s="798" t="n"/>
      <c r="C69" s="645" t="n"/>
      <c r="D69" s="799" t="n"/>
      <c r="E69" s="645" t="n"/>
      <c r="F69" s="799" t="n"/>
      <c r="G69" s="645" t="n"/>
      <c r="H69" s="799" t="n"/>
      <c r="I69" s="645" t="n"/>
      <c r="J69" s="799" t="n"/>
      <c r="K69" s="645" t="n"/>
      <c r="L69" s="799" t="n"/>
      <c r="M69" s="645" t="n"/>
      <c r="N69" s="799" t="n"/>
      <c r="O69" s="645" t="n"/>
      <c r="P69" s="799" t="n"/>
      <c r="Q69" s="25" t="n"/>
      <c r="R69" s="808" t="n"/>
      <c r="S69" s="809" t="n"/>
      <c r="T69" s="810" t="n"/>
    </row>
    <row r="70" ht="14.1" customHeight="1" s="797">
      <c r="A70" s="632" t="inlineStr">
        <is>
          <t>비고 / 갱신종류</t>
        </is>
      </c>
      <c r="B70" s="811" t="n"/>
      <c r="C70" s="642" t="n"/>
      <c r="D70" s="799" t="n"/>
      <c r="E70" s="642" t="n"/>
      <c r="F70" s="799" t="n"/>
      <c r="G70" s="642" t="n"/>
      <c r="H70" s="799" t="n"/>
      <c r="I70" s="642" t="n"/>
      <c r="J70" s="799" t="n"/>
      <c r="K70" s="642" t="n"/>
      <c r="L70" s="799" t="n"/>
      <c r="M70" s="642" t="n"/>
      <c r="N70" s="799" t="n"/>
      <c r="O70" s="642" t="n"/>
      <c r="P70" s="799" t="n"/>
      <c r="Q70" s="25" t="n"/>
      <c r="R70" s="950" t="n"/>
      <c r="S70" s="798" t="n"/>
      <c r="T70" s="27" t="inlineStr">
        <is>
          <t>총 보장 (원)</t>
        </is>
      </c>
    </row>
    <row r="71" ht="14.1" customHeight="1" s="797">
      <c r="A71" s="639" t="inlineStr">
        <is>
          <t>월 보험료</t>
        </is>
      </c>
      <c r="B71" s="798" t="n"/>
      <c r="C71" s="813" t="n"/>
      <c r="D71" s="799" t="n"/>
      <c r="E71" s="813" t="n"/>
      <c r="F71" s="799" t="n"/>
      <c r="G71" s="813" t="n"/>
      <c r="H71" s="799" t="n"/>
      <c r="I71" s="813" t="n"/>
      <c r="J71" s="799" t="n"/>
      <c r="K71" s="813" t="n"/>
      <c r="L71" s="799" t="n"/>
      <c r="M71" s="813" t="n"/>
      <c r="N71" s="799" t="n"/>
      <c r="O71" s="813" t="n"/>
      <c r="P71" s="799" t="n"/>
      <c r="Q71" s="814" t="n"/>
      <c r="R71" s="647" t="inlineStr">
        <is>
          <t>합산 월 보험료</t>
        </is>
      </c>
      <c r="S71" s="798" t="n"/>
      <c r="T71" s="951">
        <f>T8+C71+E71+G71+I71+K71+O71</f>
        <v/>
      </c>
    </row>
    <row r="72" ht="14.1" customHeight="1" s="797">
      <c r="A72" s="647" t="inlineStr">
        <is>
          <t>보험료 총액</t>
        </is>
      </c>
      <c r="B72" s="798" t="n"/>
      <c r="C72" s="817">
        <f>C71*C68*12</f>
        <v/>
      </c>
      <c r="D72" s="799" t="n"/>
      <c r="E72" s="817">
        <f>E71*E68*12</f>
        <v/>
      </c>
      <c r="F72" s="799" t="n"/>
      <c r="G72" s="817">
        <f>G71*G68*12</f>
        <v/>
      </c>
      <c r="H72" s="799" t="n"/>
      <c r="I72" s="817">
        <f>I71*I68*12</f>
        <v/>
      </c>
      <c r="J72" s="799" t="n"/>
      <c r="K72" s="817">
        <f>K71*K68*12</f>
        <v/>
      </c>
      <c r="L72" s="799" t="n"/>
      <c r="M72" s="817">
        <f>M71*M68*12</f>
        <v/>
      </c>
      <c r="N72" s="799" t="n"/>
      <c r="O72" s="817">
        <f>O71*O68*12</f>
        <v/>
      </c>
      <c r="P72" s="799" t="n"/>
      <c r="Q72" s="814" t="n"/>
      <c r="R72" s="647" t="inlineStr">
        <is>
          <t>합산 보험료 총액</t>
        </is>
      </c>
      <c r="S72" s="798" t="n"/>
      <c r="T72" s="952">
        <f>T9+C72+E72+G72+I72+K72+O72</f>
        <v/>
      </c>
    </row>
    <row r="73" ht="14.1" customHeight="1" s="797">
      <c r="A73" s="647" t="inlineStr">
        <is>
          <t>기 납입금</t>
        </is>
      </c>
      <c r="B73" s="798" t="n"/>
      <c r="C73" s="817">
        <f>C71*D68</f>
        <v/>
      </c>
      <c r="D73" s="799" t="n"/>
      <c r="E73" s="817">
        <f>E71*F68</f>
        <v/>
      </c>
      <c r="F73" s="799" t="n"/>
      <c r="G73" s="817">
        <f>G71*H68</f>
        <v/>
      </c>
      <c r="H73" s="799" t="n"/>
      <c r="I73" s="817">
        <f>I71*J68</f>
        <v/>
      </c>
      <c r="J73" s="799" t="n"/>
      <c r="K73" s="817">
        <f>K71*L68</f>
        <v/>
      </c>
      <c r="L73" s="799" t="n"/>
      <c r="M73" s="817">
        <f>M71*N68</f>
        <v/>
      </c>
      <c r="N73" s="799" t="n"/>
      <c r="O73" s="817">
        <f>O71*P68</f>
        <v/>
      </c>
      <c r="P73" s="799" t="n"/>
      <c r="Q73" s="814" t="n"/>
      <c r="R73" s="647" t="inlineStr">
        <is>
          <t>합산 기 납입금</t>
        </is>
      </c>
      <c r="S73" s="798" t="n"/>
      <c r="T73" s="952">
        <f>T10+C73+E73+G73+I73+K73+O73</f>
        <v/>
      </c>
    </row>
    <row r="74" ht="14.1" customHeight="1" s="797" thickBot="1">
      <c r="A74" s="632" t="inlineStr">
        <is>
          <t>미 납입금</t>
        </is>
      </c>
      <c r="B74" s="811" t="n"/>
      <c r="C74" s="817">
        <f>C72-C73</f>
        <v/>
      </c>
      <c r="D74" s="799" t="n"/>
      <c r="E74" s="817">
        <f>E72-E73</f>
        <v/>
      </c>
      <c r="F74" s="799" t="n"/>
      <c r="G74" s="817">
        <f>G72-G73</f>
        <v/>
      </c>
      <c r="H74" s="799" t="n"/>
      <c r="I74" s="817">
        <f>I72-I73</f>
        <v/>
      </c>
      <c r="J74" s="799" t="n"/>
      <c r="K74" s="817">
        <f>K72-K73</f>
        <v/>
      </c>
      <c r="L74" s="799" t="n"/>
      <c r="M74" s="817">
        <f>M72-M73</f>
        <v/>
      </c>
      <c r="N74" s="799" t="n"/>
      <c r="O74" s="817">
        <f>O72-O73</f>
        <v/>
      </c>
      <c r="P74" s="799" t="n"/>
      <c r="Q74" s="814" t="n"/>
      <c r="R74" s="953" t="inlineStr">
        <is>
          <t>합산 미 납입금</t>
        </is>
      </c>
      <c r="S74" s="954" t="n"/>
      <c r="T74" s="955">
        <f>T11+C74+E74+G74+I74+K74+O74</f>
        <v/>
      </c>
    </row>
    <row r="75" ht="14.1" customHeight="1" s="797">
      <c r="A75" s="821" t="inlineStr">
        <is>
          <t>실비
(갱신)</t>
        </is>
      </c>
      <c r="B75" s="457" t="inlineStr">
        <is>
          <t>질병입원의료비</t>
        </is>
      </c>
      <c r="C75" s="828" t="n"/>
      <c r="D75" s="829" t="n"/>
      <c r="E75" s="828" t="n"/>
      <c r="F75" s="956" t="n"/>
      <c r="G75" s="828" t="n"/>
      <c r="H75" s="880" t="n"/>
      <c r="I75" s="828" t="n"/>
      <c r="J75" s="880" t="n"/>
      <c r="K75" s="828" t="n"/>
      <c r="L75" s="829" t="n"/>
      <c r="M75" s="828" t="n"/>
      <c r="N75" s="827" t="n"/>
      <c r="O75" s="826" t="n"/>
      <c r="P75" s="827" t="n"/>
      <c r="Q75" s="830" t="n"/>
      <c r="R75" s="821" t="inlineStr">
        <is>
          <t>실비
(갱신)</t>
        </is>
      </c>
      <c r="S75" s="352" t="inlineStr">
        <is>
          <t>질병입원의료비</t>
        </is>
      </c>
      <c r="T75" s="957">
        <f>T12+C75+E75+G75+I75+K75+M75+O75</f>
        <v/>
      </c>
    </row>
    <row r="76" ht="14.1" customHeight="1" s="797">
      <c r="A76" s="832" t="n"/>
      <c r="B76" s="458" t="inlineStr">
        <is>
          <t>질병통원의료비</t>
        </is>
      </c>
      <c r="C76" s="838" t="n"/>
      <c r="D76" s="839" t="n"/>
      <c r="E76" s="838" t="n"/>
      <c r="F76" s="958" t="n"/>
      <c r="G76" s="838" t="n"/>
      <c r="H76" s="894" t="n"/>
      <c r="I76" s="838" t="n"/>
      <c r="J76" s="894" t="n"/>
      <c r="K76" s="838" t="n"/>
      <c r="L76" s="839" t="n"/>
      <c r="M76" s="838" t="n"/>
      <c r="N76" s="837" t="n"/>
      <c r="O76" s="836" t="n"/>
      <c r="P76" s="837" t="n"/>
      <c r="Q76" s="830" t="n"/>
      <c r="R76" s="832" t="n"/>
      <c r="S76" s="353" t="inlineStr">
        <is>
          <t>질병통원의료비</t>
        </is>
      </c>
      <c r="T76" s="959">
        <f>T13+C76+E76+G76+I76+K76+M76+O76</f>
        <v/>
      </c>
    </row>
    <row r="77" ht="14.1" customHeight="1" s="797">
      <c r="A77" s="832" t="n"/>
      <c r="B77" s="458" t="inlineStr">
        <is>
          <t>상해입원의료비</t>
        </is>
      </c>
      <c r="C77" s="838" t="n"/>
      <c r="D77" s="839" t="n"/>
      <c r="E77" s="838" t="n"/>
      <c r="F77" s="958" t="n"/>
      <c r="G77" s="838" t="n"/>
      <c r="H77" s="894" t="n"/>
      <c r="I77" s="838" t="n"/>
      <c r="J77" s="894" t="n"/>
      <c r="K77" s="838" t="n"/>
      <c r="L77" s="839" t="n"/>
      <c r="M77" s="838" t="n"/>
      <c r="N77" s="837" t="n"/>
      <c r="O77" s="836" t="n"/>
      <c r="P77" s="837" t="n"/>
      <c r="Q77" s="830" t="n"/>
      <c r="R77" s="832" t="n"/>
      <c r="S77" s="353" t="inlineStr">
        <is>
          <t>상해입원의료비</t>
        </is>
      </c>
      <c r="T77" s="959">
        <f>T14+C77+E77+G77+I77+K77+M77+O77</f>
        <v/>
      </c>
    </row>
    <row r="78" ht="14.1" customHeight="1" s="797">
      <c r="A78" s="832" t="n"/>
      <c r="B78" s="458" t="inlineStr">
        <is>
          <t>상해통원의료비</t>
        </is>
      </c>
      <c r="C78" s="838" t="n"/>
      <c r="D78" s="839" t="n"/>
      <c r="E78" s="838" t="n"/>
      <c r="F78" s="958" t="n"/>
      <c r="G78" s="838" t="n"/>
      <c r="H78" s="894" t="n"/>
      <c r="I78" s="838" t="n"/>
      <c r="J78" s="894" t="n"/>
      <c r="K78" s="838" t="n"/>
      <c r="L78" s="839" t="n"/>
      <c r="M78" s="838" t="n"/>
      <c r="N78" s="837" t="n"/>
      <c r="O78" s="836" t="n"/>
      <c r="P78" s="837" t="n"/>
      <c r="Q78" s="830" t="n"/>
      <c r="R78" s="832" t="n"/>
      <c r="S78" s="353" t="inlineStr">
        <is>
          <t>상해통원의료비</t>
        </is>
      </c>
      <c r="T78" s="959">
        <f>T15+C78+E78+G78+I78+K78+M78+O78</f>
        <v/>
      </c>
    </row>
    <row r="79" ht="14.1" customHeight="1" s="797" thickBot="1">
      <c r="A79" s="841" t="n"/>
      <c r="B79" s="459" t="inlineStr">
        <is>
          <t>3대비급여 의료비</t>
        </is>
      </c>
      <c r="C79" s="847" t="n"/>
      <c r="D79" s="848" t="n"/>
      <c r="E79" s="847" t="n"/>
      <c r="F79" s="960" t="n"/>
      <c r="G79" s="847" t="n"/>
      <c r="H79" s="885" t="n"/>
      <c r="I79" s="847" t="n"/>
      <c r="J79" s="885" t="n"/>
      <c r="K79" s="847" t="n"/>
      <c r="L79" s="848" t="n"/>
      <c r="M79" s="847" t="n"/>
      <c r="N79" s="846" t="n"/>
      <c r="O79" s="845" t="n"/>
      <c r="P79" s="846" t="n"/>
      <c r="Q79" s="830" t="n"/>
      <c r="R79" s="841" t="n"/>
      <c r="S79" s="354" t="inlineStr">
        <is>
          <t>3대비급여 의료비</t>
        </is>
      </c>
      <c r="T79" s="959">
        <f>T16+C79+E79+G79+I79+K79+M79+O79</f>
        <v/>
      </c>
    </row>
    <row r="80" ht="14.1" customHeight="1" s="797">
      <c r="A80" s="624" t="inlineStr">
        <is>
          <t>암</t>
        </is>
      </c>
      <c r="B80" s="460" t="inlineStr">
        <is>
          <t>암진단</t>
        </is>
      </c>
      <c r="C80" s="828" t="n"/>
      <c r="D80" s="908" t="n"/>
      <c r="E80" s="828" t="n"/>
      <c r="F80" s="880" t="n"/>
      <c r="G80" s="828" t="n"/>
      <c r="H80" s="880" t="n"/>
      <c r="I80" s="828" t="n"/>
      <c r="J80" s="880" t="n"/>
      <c r="K80" s="828" t="n"/>
      <c r="L80" s="913" t="n"/>
      <c r="M80" s="828" t="n"/>
      <c r="N80" s="829" t="n"/>
      <c r="O80" s="828" t="n"/>
      <c r="P80" s="827" t="n"/>
      <c r="Q80" s="830" t="n"/>
      <c r="R80" s="626" t="inlineStr">
        <is>
          <t>암</t>
        </is>
      </c>
      <c r="S80" s="490" t="inlineStr">
        <is>
          <t>암진단비</t>
        </is>
      </c>
      <c r="T80" s="957">
        <f>T17+C80+E80+G80+I80+K80+M80+O80</f>
        <v/>
      </c>
    </row>
    <row r="81" ht="14.1" customHeight="1" s="797">
      <c r="A81" s="832" t="n"/>
      <c r="B81" s="481" t="inlineStr">
        <is>
          <t>유사암진단</t>
        </is>
      </c>
      <c r="C81" s="838" t="n"/>
      <c r="D81" s="873" t="n"/>
      <c r="E81" s="838" t="n"/>
      <c r="F81" s="852" t="n"/>
      <c r="G81" s="838" t="n"/>
      <c r="H81" s="852" t="n"/>
      <c r="I81" s="838" t="n"/>
      <c r="J81" s="852" t="n"/>
      <c r="K81" s="838" t="n"/>
      <c r="L81" s="914" t="n"/>
      <c r="M81" s="838" t="n"/>
      <c r="N81" s="853" t="n"/>
      <c r="O81" s="856" t="n"/>
      <c r="P81" s="857" t="n"/>
      <c r="Q81" s="830" t="n"/>
      <c r="R81" s="832" t="n"/>
      <c r="S81" s="491" t="inlineStr">
        <is>
          <t>유사암진단</t>
        </is>
      </c>
      <c r="T81" s="959">
        <f>T18+C81+E81+G81+I81+K81+M81+O81</f>
        <v/>
      </c>
    </row>
    <row r="82" ht="14.1" customHeight="1" s="797" thickBot="1">
      <c r="A82" s="832" t="n"/>
      <c r="B82" s="553" t="inlineStr">
        <is>
          <t>전이암진단</t>
        </is>
      </c>
      <c r="C82" s="847" t="n"/>
      <c r="D82" s="961" t="n"/>
      <c r="E82" s="847" t="n"/>
      <c r="F82" s="910" t="n"/>
      <c r="G82" s="847" t="n"/>
      <c r="H82" s="910" t="n"/>
      <c r="I82" s="847" t="n"/>
      <c r="J82" s="910" t="n"/>
      <c r="K82" s="847" t="n"/>
      <c r="L82" s="916" t="n"/>
      <c r="M82" s="909" t="n"/>
      <c r="N82" s="877" t="n"/>
      <c r="O82" s="909" t="n"/>
      <c r="P82" s="962" t="n"/>
      <c r="Q82" s="830" t="n"/>
      <c r="R82" s="832" t="n"/>
      <c r="S82" s="566" t="inlineStr">
        <is>
          <t>전이암진단</t>
        </is>
      </c>
      <c r="T82" s="963">
        <f>T19+C82+E82+G82+I82+K82+M82+O82</f>
        <v/>
      </c>
    </row>
    <row r="83" ht="14.1" customHeight="1" s="797">
      <c r="A83" s="832" t="n"/>
      <c r="B83" s="554" t="inlineStr">
        <is>
          <t>암수술</t>
        </is>
      </c>
      <c r="C83" s="856" t="n"/>
      <c r="D83" s="873" t="n"/>
      <c r="E83" s="856" t="n"/>
      <c r="F83" s="852" t="n"/>
      <c r="G83" s="856" t="n"/>
      <c r="H83" s="852" t="n"/>
      <c r="I83" s="856" t="n"/>
      <c r="J83" s="852" t="n"/>
      <c r="K83" s="856" t="n"/>
      <c r="L83" s="914" t="n"/>
      <c r="M83" s="856" t="n"/>
      <c r="N83" s="853" t="n"/>
      <c r="O83" s="856" t="n"/>
      <c r="P83" s="857" t="n"/>
      <c r="Q83" s="830" t="n"/>
      <c r="R83" s="832" t="n"/>
      <c r="S83" s="343" t="inlineStr">
        <is>
          <t>암수술</t>
        </is>
      </c>
      <c r="T83" s="964">
        <f>T20+C83+E83+G83+I83+K83+M83+O83</f>
        <v/>
      </c>
    </row>
    <row r="84" ht="14.1" customHeight="1" s="797">
      <c r="A84" s="832" t="n"/>
      <c r="B84" s="555" t="inlineStr">
        <is>
          <t>다빈치로봇수술</t>
        </is>
      </c>
      <c r="C84" s="838" t="n"/>
      <c r="D84" s="873" t="n"/>
      <c r="E84" s="838" t="n"/>
      <c r="F84" s="852" t="n"/>
      <c r="G84" s="838" t="n"/>
      <c r="H84" s="852" t="n"/>
      <c r="I84" s="838" t="n"/>
      <c r="J84" s="852" t="n"/>
      <c r="K84" s="838" t="n"/>
      <c r="L84" s="914" t="n"/>
      <c r="M84" s="856" t="n"/>
      <c r="N84" s="853" t="n"/>
      <c r="O84" s="856" t="n"/>
      <c r="P84" s="857" t="n"/>
      <c r="Q84" s="830" t="n"/>
      <c r="R84" s="832" t="n"/>
      <c r="S84" s="326" t="inlineStr">
        <is>
          <t>다빈치로봇수술</t>
        </is>
      </c>
      <c r="T84" s="959">
        <f>T21+C84+E84+G84+I84+K84+M84+O84</f>
        <v/>
      </c>
    </row>
    <row r="85" ht="14.1" customHeight="1" s="797">
      <c r="A85" s="832" t="n"/>
      <c r="B85" s="556" t="inlineStr">
        <is>
          <t>항암방사선</t>
        </is>
      </c>
      <c r="C85" s="838" t="n"/>
      <c r="D85" s="873" t="n"/>
      <c r="E85" s="838" t="n"/>
      <c r="F85" s="852" t="n"/>
      <c r="G85" s="838" t="n"/>
      <c r="H85" s="852" t="n"/>
      <c r="I85" s="838" t="n"/>
      <c r="J85" s="852" t="n"/>
      <c r="K85" s="838" t="n"/>
      <c r="L85" s="914" t="n"/>
      <c r="M85" s="856" t="n"/>
      <c r="N85" s="853" t="n"/>
      <c r="O85" s="856" t="n"/>
      <c r="P85" s="857" t="n"/>
      <c r="Q85" s="830" t="n"/>
      <c r="R85" s="832" t="n"/>
      <c r="S85" s="343" t="inlineStr">
        <is>
          <t>항암방사선</t>
        </is>
      </c>
      <c r="T85" s="959">
        <f>T22+C85+E85+G85+I85+K85+M85+O85</f>
        <v/>
      </c>
    </row>
    <row r="86" ht="14.1" customHeight="1" s="797">
      <c r="A86" s="832" t="n"/>
      <c r="B86" s="555" t="inlineStr">
        <is>
          <t>중입자방사선</t>
        </is>
      </c>
      <c r="C86" s="838" t="n"/>
      <c r="D86" s="873" t="n"/>
      <c r="E86" s="838" t="n"/>
      <c r="F86" s="852" t="n"/>
      <c r="G86" s="838" t="n"/>
      <c r="H86" s="852" t="n"/>
      <c r="I86" s="838" t="n"/>
      <c r="J86" s="852" t="n"/>
      <c r="K86" s="838" t="n"/>
      <c r="L86" s="914" t="n"/>
      <c r="M86" s="856" t="n"/>
      <c r="N86" s="853" t="n"/>
      <c r="O86" s="856" t="n"/>
      <c r="P86" s="857" t="n"/>
      <c r="Q86" s="830" t="n"/>
      <c r="R86" s="832" t="n"/>
      <c r="S86" s="326" t="inlineStr">
        <is>
          <t>중입자방사선</t>
        </is>
      </c>
      <c r="T86" s="959">
        <f>T23+C86+E86+G86+I86+K86+M86+O86</f>
        <v/>
      </c>
    </row>
    <row r="87" ht="14.1" customHeight="1" s="797">
      <c r="A87" s="832" t="n"/>
      <c r="B87" s="555" t="inlineStr">
        <is>
          <t>양성자방사선</t>
        </is>
      </c>
      <c r="C87" s="838" t="n"/>
      <c r="D87" s="873" t="n"/>
      <c r="E87" s="838" t="n"/>
      <c r="F87" s="852" t="n"/>
      <c r="G87" s="838" t="n"/>
      <c r="H87" s="852" t="n"/>
      <c r="I87" s="838" t="n"/>
      <c r="J87" s="852" t="n"/>
      <c r="K87" s="838" t="n"/>
      <c r="L87" s="914" t="n"/>
      <c r="M87" s="856" t="n"/>
      <c r="N87" s="853" t="n"/>
      <c r="O87" s="856" t="n"/>
      <c r="P87" s="857" t="n"/>
      <c r="Q87" s="830" t="n"/>
      <c r="R87" s="832" t="n"/>
      <c r="S87" s="326" t="inlineStr">
        <is>
          <t>양성자방사선</t>
        </is>
      </c>
      <c r="T87" s="959">
        <f>T24+C87+E87+G87+I87+K87+M87+O87</f>
        <v/>
      </c>
    </row>
    <row r="88" ht="14.1" customHeight="1" s="797">
      <c r="A88" s="832" t="n"/>
      <c r="B88" s="555" t="inlineStr">
        <is>
          <t>세기조절방사선</t>
        </is>
      </c>
      <c r="C88" s="838" t="n"/>
      <c r="D88" s="873" t="n"/>
      <c r="E88" s="838" t="n"/>
      <c r="F88" s="852" t="n"/>
      <c r="G88" s="838" t="n"/>
      <c r="H88" s="852" t="n"/>
      <c r="I88" s="838" t="n"/>
      <c r="J88" s="852" t="n"/>
      <c r="K88" s="838" t="n"/>
      <c r="L88" s="914" t="n"/>
      <c r="M88" s="856" t="n"/>
      <c r="N88" s="853" t="n"/>
      <c r="O88" s="856" t="n"/>
      <c r="P88" s="857" t="n"/>
      <c r="Q88" s="830" t="n"/>
      <c r="R88" s="832" t="n"/>
      <c r="S88" s="326" t="inlineStr">
        <is>
          <t>세기조절방사선</t>
        </is>
      </c>
      <c r="T88" s="959">
        <f>T25+C88+E88+G88+I88+K88+M88+O88</f>
        <v/>
      </c>
    </row>
    <row r="89" ht="14.1" customHeight="1" s="797">
      <c r="A89" s="832" t="n"/>
      <c r="B89" s="556" t="inlineStr">
        <is>
          <t>항암약물</t>
        </is>
      </c>
      <c r="C89" s="838" t="n"/>
      <c r="D89" s="873" t="n"/>
      <c r="E89" s="862" t="n"/>
      <c r="F89" s="853" t="n"/>
      <c r="G89" s="862" t="n"/>
      <c r="H89" s="852" t="n"/>
      <c r="I89" s="862" t="n"/>
      <c r="J89" s="852" t="n"/>
      <c r="K89" s="862" t="n"/>
      <c r="L89" s="914" t="n"/>
      <c r="M89" s="859" t="n"/>
      <c r="N89" s="853" t="n"/>
      <c r="O89" s="856" t="n"/>
      <c r="P89" s="857" t="n"/>
      <c r="Q89" s="830" t="n"/>
      <c r="R89" s="832" t="n"/>
      <c r="S89" s="343" t="inlineStr">
        <is>
          <t>항암약물</t>
        </is>
      </c>
      <c r="T89" s="959">
        <f>T26+C89+E89+G89+I89+K89+M89+O89</f>
        <v/>
      </c>
    </row>
    <row r="90" ht="14.1" customHeight="1" s="797">
      <c r="A90" s="832" t="n"/>
      <c r="B90" s="555" t="inlineStr">
        <is>
          <t>표적항암약물</t>
        </is>
      </c>
      <c r="C90" s="862" t="n"/>
      <c r="D90" s="882" t="n"/>
      <c r="E90" s="862" t="n"/>
      <c r="F90" s="853" t="n"/>
      <c r="G90" s="862" t="n"/>
      <c r="H90" s="852" t="n"/>
      <c r="I90" s="862" t="n"/>
      <c r="J90" s="852" t="n"/>
      <c r="K90" s="862" t="n"/>
      <c r="L90" s="914" t="n"/>
      <c r="M90" s="859" t="n"/>
      <c r="N90" s="853" t="n"/>
      <c r="O90" s="859" t="n"/>
      <c r="P90" s="864" t="n"/>
      <c r="Q90" s="830" t="n"/>
      <c r="R90" s="832" t="n"/>
      <c r="S90" s="326" t="inlineStr">
        <is>
          <t>표적항암약물</t>
        </is>
      </c>
      <c r="T90" s="959">
        <f>T27+C90+E90+G90+I90+K90+M90+O90</f>
        <v/>
      </c>
    </row>
    <row r="91" ht="14.1" customHeight="1" s="797" thickBot="1">
      <c r="A91" s="832" t="n"/>
      <c r="B91" s="557" t="inlineStr">
        <is>
          <t>면역항암약물</t>
        </is>
      </c>
      <c r="C91" s="847" t="n"/>
      <c r="D91" s="848" t="n"/>
      <c r="E91" s="847" t="n"/>
      <c r="F91" s="871" t="n"/>
      <c r="G91" s="847" t="n"/>
      <c r="H91" s="852" t="n"/>
      <c r="I91" s="847" t="n"/>
      <c r="J91" s="852" t="n"/>
      <c r="K91" s="847" t="n"/>
      <c r="L91" s="914" t="n"/>
      <c r="M91" s="847" t="n"/>
      <c r="N91" s="853" t="n"/>
      <c r="O91" s="845" t="n"/>
      <c r="P91" s="846" t="n"/>
      <c r="Q91" s="830" t="n"/>
      <c r="R91" s="832" t="n"/>
      <c r="S91" s="327" t="inlineStr">
        <is>
          <t>면역항암약물</t>
        </is>
      </c>
      <c r="T91" s="965">
        <f>T28+C91+E91+G91+I91+K91+M91+O91</f>
        <v/>
      </c>
    </row>
    <row r="92" ht="14.1" customHeight="1" s="797">
      <c r="A92" s="628" t="inlineStr">
        <is>
          <t>2대
질병</t>
        </is>
      </c>
      <c r="B92" s="461" t="inlineStr">
        <is>
          <t>뇌혈관진단</t>
        </is>
      </c>
      <c r="C92" s="838" t="n"/>
      <c r="D92" s="829" t="n"/>
      <c r="E92" s="838" t="n"/>
      <c r="F92" s="880" t="n"/>
      <c r="G92" s="838" t="n"/>
      <c r="H92" s="880" t="n"/>
      <c r="I92" s="838" t="n"/>
      <c r="J92" s="880" t="n"/>
      <c r="K92" s="838" t="n"/>
      <c r="L92" s="913" t="n"/>
      <c r="M92" s="828" t="n"/>
      <c r="N92" s="829" t="n"/>
      <c r="O92" s="836" t="n"/>
      <c r="P92" s="827" t="n"/>
      <c r="Q92" s="830" t="n"/>
      <c r="R92" s="630" t="inlineStr">
        <is>
          <t>2대
질병</t>
        </is>
      </c>
      <c r="S92" s="379" t="inlineStr">
        <is>
          <t>뇌혈관</t>
        </is>
      </c>
      <c r="T92" s="957">
        <f>T29+C92+E92+G92+I92+K92+M92+O92</f>
        <v/>
      </c>
    </row>
    <row r="93" ht="14.1" customHeight="1" s="797">
      <c r="A93" s="832" t="n"/>
      <c r="B93" s="462" t="inlineStr">
        <is>
          <t>뇌졸증진단</t>
        </is>
      </c>
      <c r="C93" s="838" t="n"/>
      <c r="D93" s="853" t="n"/>
      <c r="E93" s="856" t="n"/>
      <c r="F93" s="852" t="n"/>
      <c r="G93" s="838" t="n"/>
      <c r="H93" s="852" t="n"/>
      <c r="I93" s="838" t="n"/>
      <c r="J93" s="852" t="n"/>
      <c r="K93" s="838" t="n"/>
      <c r="L93" s="914" t="n"/>
      <c r="M93" s="856" t="n"/>
      <c r="N93" s="853" t="n"/>
      <c r="O93" s="836" t="n"/>
      <c r="P93" s="857" t="n"/>
      <c r="Q93" s="830" t="n"/>
      <c r="R93" s="832" t="n"/>
      <c r="S93" s="380" t="inlineStr">
        <is>
          <t>뇌졸증</t>
        </is>
      </c>
      <c r="T93" s="959">
        <f>T30+C93+E93+G93+I93+K93+M93+O93</f>
        <v/>
      </c>
    </row>
    <row r="94" ht="14.1" customHeight="1" s="797" thickBot="1">
      <c r="A94" s="832" t="n"/>
      <c r="B94" s="463" t="inlineStr">
        <is>
          <t>뇌출혈진단</t>
        </is>
      </c>
      <c r="C94" s="859" t="n"/>
      <c r="D94" s="860" t="n"/>
      <c r="E94" s="859" t="n"/>
      <c r="F94" s="863" t="n"/>
      <c r="G94" s="859" t="n"/>
      <c r="H94" s="863" t="n"/>
      <c r="I94" s="859" t="n"/>
      <c r="J94" s="863" t="n"/>
      <c r="K94" s="859" t="n"/>
      <c r="L94" s="915" t="n"/>
      <c r="M94" s="859" t="n"/>
      <c r="N94" s="860" t="n"/>
      <c r="O94" s="883" t="n"/>
      <c r="P94" s="864" t="n"/>
      <c r="Q94" s="830" t="n"/>
      <c r="R94" s="832" t="n"/>
      <c r="S94" s="381" t="inlineStr">
        <is>
          <t>뇌출혈</t>
        </is>
      </c>
      <c r="T94" s="963">
        <f>T31+C94+E94+G94+I94+K94+M94+O94</f>
        <v/>
      </c>
    </row>
    <row r="95" ht="14.1" customHeight="1" s="797">
      <c r="A95" s="832" t="n"/>
      <c r="B95" s="461" t="inlineStr">
        <is>
          <t>심장질환진단</t>
        </is>
      </c>
      <c r="C95" s="828" t="n"/>
      <c r="D95" s="829" t="n"/>
      <c r="E95" s="828" t="n"/>
      <c r="F95" s="880" t="n"/>
      <c r="G95" s="828" t="n"/>
      <c r="H95" s="880" t="n"/>
      <c r="I95" s="828" t="n"/>
      <c r="J95" s="880" t="n"/>
      <c r="K95" s="828" t="n"/>
      <c r="L95" s="913" t="n"/>
      <c r="M95" s="828" t="n"/>
      <c r="N95" s="829" t="n"/>
      <c r="O95" s="826" t="n"/>
      <c r="P95" s="827" t="n"/>
      <c r="Q95" s="830" t="n"/>
      <c r="R95" s="832" t="n"/>
      <c r="S95" s="358" t="inlineStr">
        <is>
          <t>심장질환</t>
        </is>
      </c>
      <c r="T95" s="964">
        <f>T32+C95+E95+G95+I95+K95+M95+O95</f>
        <v/>
      </c>
    </row>
    <row r="96" ht="14.1" customHeight="1" s="797">
      <c r="A96" s="832" t="n"/>
      <c r="B96" s="488" t="inlineStr">
        <is>
          <t>허혈성심장진단</t>
        </is>
      </c>
      <c r="C96" s="838" t="n"/>
      <c r="D96" s="853" t="n"/>
      <c r="E96" s="838" t="n"/>
      <c r="F96" s="852" t="n"/>
      <c r="G96" s="838" t="n"/>
      <c r="H96" s="852" t="n"/>
      <c r="I96" s="838" t="n"/>
      <c r="J96" s="852" t="n"/>
      <c r="K96" s="838" t="n"/>
      <c r="L96" s="914" t="n"/>
      <c r="M96" s="838" t="n"/>
      <c r="N96" s="853" t="n"/>
      <c r="O96" s="836" t="n"/>
      <c r="P96" s="857" t="n"/>
      <c r="Q96" s="830" t="n"/>
      <c r="R96" s="832" t="n"/>
      <c r="S96" s="359" t="inlineStr">
        <is>
          <t>허혈성심장</t>
        </is>
      </c>
      <c r="T96" s="959">
        <f>T33+C96+E96+G96+I96+K96+M96+O96</f>
        <v/>
      </c>
    </row>
    <row r="97" ht="14.1" customHeight="1" s="797" thickBot="1">
      <c r="A97" s="832" t="n"/>
      <c r="B97" s="489" t="inlineStr">
        <is>
          <t>급성심근경색진단</t>
        </is>
      </c>
      <c r="C97" s="847" t="n"/>
      <c r="D97" s="848" t="n"/>
      <c r="E97" s="847" t="n"/>
      <c r="F97" s="885" t="n"/>
      <c r="G97" s="847" t="n"/>
      <c r="H97" s="885" t="n"/>
      <c r="I97" s="847" t="n"/>
      <c r="J97" s="885" t="n"/>
      <c r="K97" s="847" t="n"/>
      <c r="L97" s="891" t="n"/>
      <c r="M97" s="847" t="n"/>
      <c r="N97" s="848" t="n"/>
      <c r="O97" s="845" t="n"/>
      <c r="P97" s="887" t="n"/>
      <c r="Q97" s="830" t="n"/>
      <c r="R97" s="832" t="n"/>
      <c r="S97" s="360" t="inlineStr">
        <is>
          <t>급성심근경색</t>
        </is>
      </c>
      <c r="T97" s="965">
        <f>T34+C97+E97+G97+I97+K97+M97+O97</f>
        <v/>
      </c>
    </row>
    <row r="98" ht="14.1" customHeight="1" s="797">
      <c r="A98" s="832" t="n"/>
      <c r="B98" s="461" t="inlineStr">
        <is>
          <t>수술/시술비</t>
        </is>
      </c>
      <c r="C98" s="828" t="n"/>
      <c r="D98" s="829" t="n"/>
      <c r="E98" s="828" t="n"/>
      <c r="F98" s="880" t="n"/>
      <c r="G98" s="828" t="n"/>
      <c r="H98" s="880" t="n"/>
      <c r="I98" s="828" t="n"/>
      <c r="J98" s="880" t="n"/>
      <c r="K98" s="828" t="n"/>
      <c r="L98" s="913" t="n"/>
      <c r="M98" s="828" t="n"/>
      <c r="N98" s="829" t="n"/>
      <c r="O98" s="826" t="n"/>
      <c r="P98" s="827" t="n"/>
      <c r="Q98" s="830" t="n"/>
      <c r="R98" s="832" t="n"/>
      <c r="S98" s="361" t="inlineStr">
        <is>
          <t>수술비</t>
        </is>
      </c>
      <c r="T98" s="957">
        <f>T35+C98+E98+G98+I98+K98+M98+O98</f>
        <v/>
      </c>
    </row>
    <row r="99" ht="14.1" customHeight="1" s="797">
      <c r="A99" s="832" t="n"/>
      <c r="B99" s="488" t="inlineStr">
        <is>
          <t>혈전용해치료</t>
        </is>
      </c>
      <c r="C99" s="838" t="n"/>
      <c r="D99" s="853" t="n"/>
      <c r="E99" s="838" t="n"/>
      <c r="F99" s="852" t="n"/>
      <c r="G99" s="838" t="n"/>
      <c r="H99" s="852" t="n"/>
      <c r="I99" s="838" t="n"/>
      <c r="J99" s="852" t="n"/>
      <c r="K99" s="838" t="n"/>
      <c r="L99" s="914" t="n"/>
      <c r="M99" s="838" t="n"/>
      <c r="N99" s="853" t="n"/>
      <c r="O99" s="836" t="n"/>
      <c r="P99" s="857" t="n"/>
      <c r="Q99" s="830" t="n"/>
      <c r="R99" s="832" t="n"/>
      <c r="S99" s="362" t="inlineStr">
        <is>
          <t>혈전용해치료</t>
        </is>
      </c>
      <c r="T99" s="959">
        <f>T36+C99+E99+G99+I99+K99+M99+O99</f>
        <v/>
      </c>
    </row>
    <row r="100" ht="14.1" customHeight="1" s="797" thickBot="1">
      <c r="A100" s="832" t="n"/>
      <c r="B100" s="489" t="inlineStr">
        <is>
          <t>혈전제거치료</t>
        </is>
      </c>
      <c r="C100" s="847" t="n"/>
      <c r="D100" s="848" t="n"/>
      <c r="E100" s="847" t="n"/>
      <c r="F100" s="885" t="n"/>
      <c r="G100" s="847" t="n"/>
      <c r="H100" s="885" t="n"/>
      <c r="I100" s="847" t="n"/>
      <c r="J100" s="885" t="n"/>
      <c r="K100" s="847" t="n"/>
      <c r="L100" s="891" t="n"/>
      <c r="M100" s="847" t="n"/>
      <c r="N100" s="848" t="n"/>
      <c r="O100" s="845" t="n"/>
      <c r="P100" s="887" t="n"/>
      <c r="Q100" s="830" t="n"/>
      <c r="R100" s="832" t="n"/>
      <c r="S100" s="363" t="inlineStr">
        <is>
          <t>중환자실치료</t>
        </is>
      </c>
      <c r="T100" s="963">
        <f>T37+C100+E100+G100+I100+K100+M100+O100</f>
        <v/>
      </c>
    </row>
    <row r="101" ht="14.1" customHeight="1" s="797">
      <c r="A101" s="892" t="inlineStr">
        <is>
          <t>후유장해</t>
        </is>
      </c>
      <c r="B101" s="464" t="inlineStr">
        <is>
          <t>질병 80% 이상</t>
        </is>
      </c>
      <c r="C101" s="828" t="n"/>
      <c r="D101" s="966" t="n"/>
      <c r="E101" s="828" t="n"/>
      <c r="F101" s="880" t="n"/>
      <c r="G101" s="828" t="n"/>
      <c r="H101" s="880" t="n"/>
      <c r="I101" s="828" t="n"/>
      <c r="J101" s="880" t="n"/>
      <c r="K101" s="828" t="n"/>
      <c r="L101" s="913" t="n"/>
      <c r="M101" s="828" t="n"/>
      <c r="N101" s="829" t="n"/>
      <c r="O101" s="826" t="n"/>
      <c r="P101" s="827" t="n"/>
      <c r="Q101" s="830" t="n"/>
      <c r="R101" s="892" t="inlineStr">
        <is>
          <t>후유장해</t>
        </is>
      </c>
      <c r="S101" s="364" t="inlineStr">
        <is>
          <t>질병 80% 이상</t>
        </is>
      </c>
      <c r="T101" s="964">
        <f>T38+C101+E101+G101+I101+K101+M101+O101</f>
        <v/>
      </c>
    </row>
    <row r="102" ht="14.1" customHeight="1" s="797">
      <c r="A102" s="832" t="n"/>
      <c r="B102" s="465" t="inlineStr">
        <is>
          <t>질병 3% ~80%</t>
        </is>
      </c>
      <c r="C102" s="838" t="n"/>
      <c r="D102" s="967" t="n"/>
      <c r="E102" s="838" t="n"/>
      <c r="F102" s="931" t="n"/>
      <c r="G102" s="838" t="n"/>
      <c r="H102" s="894" t="n"/>
      <c r="I102" s="838" t="n"/>
      <c r="J102" s="894" t="n"/>
      <c r="K102" s="838" t="n"/>
      <c r="L102" s="968" t="n"/>
      <c r="M102" s="838" t="n"/>
      <c r="N102" s="839" t="n"/>
      <c r="O102" s="836" t="n"/>
      <c r="P102" s="837" t="n"/>
      <c r="Q102" s="830" t="n"/>
      <c r="R102" s="832" t="n"/>
      <c r="S102" s="365" t="inlineStr">
        <is>
          <t>질병 3% ~80%</t>
        </is>
      </c>
      <c r="T102" s="959">
        <f>T39+C102+E102+G102+I102+K102+M102+O102</f>
        <v/>
      </c>
    </row>
    <row r="103" ht="14.1" customHeight="1" s="797">
      <c r="A103" s="832" t="n"/>
      <c r="B103" s="465" t="inlineStr">
        <is>
          <t>상해 80% 이상</t>
        </is>
      </c>
      <c r="C103" s="838" t="n"/>
      <c r="D103" s="902" t="n"/>
      <c r="E103" s="838" t="n"/>
      <c r="F103" s="902" t="n"/>
      <c r="G103" s="838" t="n"/>
      <c r="H103" s="839" t="n"/>
      <c r="I103" s="838" t="n"/>
      <c r="J103" s="839" t="n"/>
      <c r="K103" s="838" t="n"/>
      <c r="L103" s="968" t="n"/>
      <c r="M103" s="838" t="n"/>
      <c r="N103" s="839" t="n"/>
      <c r="O103" s="836" t="n"/>
      <c r="P103" s="837" t="n"/>
      <c r="Q103" s="830" t="n"/>
      <c r="R103" s="832" t="n"/>
      <c r="S103" s="365" t="inlineStr">
        <is>
          <t>상해 80% 이상</t>
        </is>
      </c>
      <c r="T103" s="959">
        <f>T40+C103+E103+G103+I103+K103+M103+O103</f>
        <v/>
      </c>
    </row>
    <row r="104" ht="14.1" customHeight="1" s="797" thickBot="1">
      <c r="A104" s="841" t="n"/>
      <c r="B104" s="466" t="inlineStr">
        <is>
          <t>상해 3% ~ 80%</t>
        </is>
      </c>
      <c r="C104" s="847" t="n"/>
      <c r="D104" s="899" t="n"/>
      <c r="E104" s="847" t="n"/>
      <c r="F104" s="899" t="n"/>
      <c r="G104" s="838" t="n"/>
      <c r="H104" s="848" t="n"/>
      <c r="I104" s="838" t="n"/>
      <c r="J104" s="848" t="n"/>
      <c r="K104" s="838" t="n"/>
      <c r="L104" s="891" t="n"/>
      <c r="M104" s="847" t="n"/>
      <c r="N104" s="848" t="n"/>
      <c r="O104" s="845" t="n"/>
      <c r="P104" s="846" t="n"/>
      <c r="Q104" s="830" t="n"/>
      <c r="R104" s="841" t="n"/>
      <c r="S104" s="366" t="inlineStr">
        <is>
          <t>상해 3% ~ 80%</t>
        </is>
      </c>
      <c r="T104" s="965">
        <f>T41+C104+E104+G104+I104+K104+M104+O104</f>
        <v/>
      </c>
    </row>
    <row r="105" ht="14.1" customHeight="1" s="797">
      <c r="A105" s="897" t="inlineStr">
        <is>
          <t>사망</t>
        </is>
      </c>
      <c r="B105" s="467" t="inlineStr">
        <is>
          <t>일반</t>
        </is>
      </c>
      <c r="C105" s="856" t="n"/>
      <c r="D105" s="939" t="n"/>
      <c r="E105" s="828" t="n"/>
      <c r="F105" s="880" t="n"/>
      <c r="G105" s="828" t="n"/>
      <c r="H105" s="829" t="n"/>
      <c r="I105" s="828" t="n"/>
      <c r="J105" s="829" t="n"/>
      <c r="K105" s="828" t="n"/>
      <c r="L105" s="913" t="n"/>
      <c r="M105" s="828" t="n"/>
      <c r="N105" s="829" t="n"/>
      <c r="O105" s="826" t="n"/>
      <c r="P105" s="827" t="n"/>
      <c r="Q105" s="830" t="n"/>
      <c r="R105" s="897" t="inlineStr">
        <is>
          <t>사망</t>
        </is>
      </c>
      <c r="S105" s="367" t="inlineStr">
        <is>
          <t>일반</t>
        </is>
      </c>
      <c r="T105" s="957">
        <f>T42+C105+E105+G105+I105+K105+M105+O105</f>
        <v/>
      </c>
    </row>
    <row r="106" ht="14.1" customHeight="1" s="797">
      <c r="A106" s="832" t="n"/>
      <c r="B106" s="468" t="inlineStr">
        <is>
          <t>질병</t>
        </is>
      </c>
      <c r="C106" s="838" t="n"/>
      <c r="D106" s="931" t="n"/>
      <c r="E106" s="838" t="n"/>
      <c r="F106" s="894" t="n"/>
      <c r="G106" s="838" t="n"/>
      <c r="H106" s="839" t="n"/>
      <c r="I106" s="838" t="n"/>
      <c r="J106" s="839" t="n"/>
      <c r="K106" s="838" t="n"/>
      <c r="L106" s="968" t="n"/>
      <c r="M106" s="838" t="n"/>
      <c r="N106" s="839" t="n"/>
      <c r="O106" s="836" t="n"/>
      <c r="P106" s="837" t="n"/>
      <c r="Q106" s="830" t="n"/>
      <c r="R106" s="832" t="n"/>
      <c r="S106" s="368" t="inlineStr">
        <is>
          <t>질병</t>
        </is>
      </c>
      <c r="T106" s="959">
        <f>T43+C106+E106+G106+I106+K106+M106+O106</f>
        <v/>
      </c>
    </row>
    <row r="107" ht="14.1" customHeight="1" s="797" thickBot="1">
      <c r="A107" s="841" t="n"/>
      <c r="B107" s="469" t="inlineStr">
        <is>
          <t>상해</t>
        </is>
      </c>
      <c r="C107" s="847" t="n"/>
      <c r="D107" s="900" t="n"/>
      <c r="E107" s="847" t="n"/>
      <c r="F107" s="885" t="n"/>
      <c r="G107" s="847" t="n"/>
      <c r="H107" s="848" t="n"/>
      <c r="I107" s="847" t="n"/>
      <c r="J107" s="848" t="n"/>
      <c r="K107" s="847" t="n"/>
      <c r="L107" s="891" t="n"/>
      <c r="M107" s="847" t="n"/>
      <c r="N107" s="848" t="n"/>
      <c r="O107" s="901" t="n"/>
      <c r="P107" s="857" t="n"/>
      <c r="Q107" s="830" t="n"/>
      <c r="R107" s="841" t="n"/>
      <c r="S107" s="369" t="inlineStr">
        <is>
          <t>상해</t>
        </is>
      </c>
      <c r="T107" s="963">
        <f>T44+C107+E107+G107+I107+K107+M107+O107</f>
        <v/>
      </c>
    </row>
    <row r="108" ht="14.1" customHeight="1" s="797">
      <c r="A108" s="617" t="inlineStr">
        <is>
          <t>수술비</t>
        </is>
      </c>
      <c r="B108" s="470" t="inlineStr">
        <is>
          <t>질병</t>
        </is>
      </c>
      <c r="C108" s="828" t="n"/>
      <c r="D108" s="908" t="n"/>
      <c r="E108" s="828" t="n"/>
      <c r="F108" s="852" t="n"/>
      <c r="G108" s="828" t="n"/>
      <c r="H108" s="853" t="n"/>
      <c r="I108" s="828" t="n"/>
      <c r="J108" s="853" t="n"/>
      <c r="K108" s="828" t="n"/>
      <c r="L108" s="913" t="n"/>
      <c r="M108" s="856" t="n"/>
      <c r="N108" s="853" t="n"/>
      <c r="O108" s="826" t="n"/>
      <c r="P108" s="827" t="n"/>
      <c r="Q108" s="830" t="n"/>
      <c r="R108" s="617" t="inlineStr">
        <is>
          <t>수술비</t>
        </is>
      </c>
      <c r="S108" s="480" t="inlineStr">
        <is>
          <t>질병</t>
        </is>
      </c>
      <c r="T108" s="964">
        <f>T45+C108+E108+G108+I108+K108+M108+O108</f>
        <v/>
      </c>
    </row>
    <row r="109" ht="14.1" customHeight="1" s="797">
      <c r="A109" s="832" t="n"/>
      <c r="B109" s="470" t="inlineStr">
        <is>
          <t>상해</t>
        </is>
      </c>
      <c r="C109" s="838" t="n"/>
      <c r="D109" s="902" t="n"/>
      <c r="E109" s="838" t="n"/>
      <c r="F109" s="894" t="n"/>
      <c r="G109" s="838" t="n"/>
      <c r="H109" s="839" t="n"/>
      <c r="I109" s="838" t="n"/>
      <c r="J109" s="839" t="n"/>
      <c r="K109" s="838" t="n"/>
      <c r="L109" s="968" t="n"/>
      <c r="M109" s="838" t="n"/>
      <c r="N109" s="853" t="n"/>
      <c r="O109" s="836" t="n"/>
      <c r="P109" s="837" t="n"/>
      <c r="Q109" s="830" t="n"/>
      <c r="R109" s="832" t="n"/>
      <c r="S109" s="480" t="inlineStr">
        <is>
          <t>상해</t>
        </is>
      </c>
      <c r="T109" s="959">
        <f>T46+C109+E109+G109+I109+K109+M109+O109</f>
        <v/>
      </c>
    </row>
    <row r="110" ht="14.1" customHeight="1" s="797">
      <c r="A110" s="832" t="n"/>
      <c r="B110" s="470" t="inlineStr">
        <is>
          <t>1-5종</t>
        </is>
      </c>
      <c r="C110" s="838" t="n"/>
      <c r="D110" s="902" t="n"/>
      <c r="E110" s="838" t="n"/>
      <c r="F110" s="852" t="n"/>
      <c r="G110" s="838" t="n"/>
      <c r="H110" s="853" t="n"/>
      <c r="I110" s="838" t="n"/>
      <c r="J110" s="853" t="n"/>
      <c r="K110" s="838" t="n"/>
      <c r="L110" s="914" t="n"/>
      <c r="M110" s="838" t="n"/>
      <c r="N110" s="853" t="n"/>
      <c r="O110" s="836" t="n"/>
      <c r="P110" s="837" t="n"/>
      <c r="Q110" s="830" t="n"/>
      <c r="R110" s="832" t="n"/>
      <c r="S110" s="480" t="inlineStr">
        <is>
          <t>1-5종</t>
        </is>
      </c>
      <c r="T110" s="959">
        <f>T47+C110+E110+G110+I110+K110+M110+O110</f>
        <v/>
      </c>
    </row>
    <row r="111" ht="14.1" customHeight="1" s="797" thickBot="1">
      <c r="A111" s="832" t="n"/>
      <c r="B111" s="471" t="inlineStr">
        <is>
          <t>N대질병</t>
        </is>
      </c>
      <c r="C111" s="862" t="n"/>
      <c r="D111" s="899" t="n"/>
      <c r="E111" s="862" t="n"/>
      <c r="F111" s="863" t="n"/>
      <c r="G111" s="862" t="n"/>
      <c r="H111" s="860" t="n"/>
      <c r="I111" s="862" t="n"/>
      <c r="J111" s="860" t="n"/>
      <c r="K111" s="862" t="n"/>
      <c r="L111" s="969" t="n"/>
      <c r="M111" s="862" t="n"/>
      <c r="N111" s="905" t="n"/>
      <c r="O111" s="907" t="n"/>
      <c r="P111" s="887" t="n"/>
      <c r="Q111" s="830" t="n"/>
      <c r="R111" s="832" t="n"/>
      <c r="S111" s="513" t="inlineStr">
        <is>
          <t>N대질병</t>
        </is>
      </c>
      <c r="T111" s="965">
        <f>T48+C111+E111+G111+I111+K111+M111+O111</f>
        <v/>
      </c>
    </row>
    <row r="112" ht="14.1" customHeight="1" s="797">
      <c r="A112" s="603" t="inlineStr">
        <is>
          <t>상해진단</t>
        </is>
      </c>
      <c r="B112" s="472" t="inlineStr">
        <is>
          <t>골절</t>
        </is>
      </c>
      <c r="C112" s="828" t="n"/>
      <c r="D112" s="908" t="n"/>
      <c r="E112" s="828" t="n"/>
      <c r="F112" s="880" t="n"/>
      <c r="G112" s="828" t="n"/>
      <c r="H112" s="829" t="n"/>
      <c r="I112" s="828" t="n"/>
      <c r="J112" s="829" t="n"/>
      <c r="K112" s="828" t="n"/>
      <c r="L112" s="913" t="n"/>
      <c r="M112" s="828" t="n"/>
      <c r="N112" s="829" t="n"/>
      <c r="O112" s="826" t="n"/>
      <c r="P112" s="827" t="n"/>
      <c r="Q112" s="830" t="n"/>
      <c r="R112" s="603" t="inlineStr">
        <is>
          <t>상해진단</t>
        </is>
      </c>
      <c r="S112" s="483" t="inlineStr">
        <is>
          <t>골절</t>
        </is>
      </c>
      <c r="T112" s="957">
        <f>T49+C112+E112+G112+I112+K112+M112+O112</f>
        <v/>
      </c>
    </row>
    <row r="113" ht="14.1" customHeight="1" s="797" thickBot="1">
      <c r="A113" s="832" t="n"/>
      <c r="B113" s="482" t="inlineStr">
        <is>
          <t>화상</t>
        </is>
      </c>
      <c r="C113" s="909" t="n"/>
      <c r="D113" s="970" t="n"/>
      <c r="E113" s="909" t="n"/>
      <c r="F113" s="885" t="n"/>
      <c r="G113" s="909" t="n"/>
      <c r="H113" s="848" t="n"/>
      <c r="I113" s="909" t="n"/>
      <c r="J113" s="848" t="n"/>
      <c r="K113" s="909" t="n"/>
      <c r="L113" s="916" t="n"/>
      <c r="M113" s="909" t="n"/>
      <c r="N113" s="877" t="n"/>
      <c r="O113" s="911" t="n"/>
      <c r="P113" s="846" t="n"/>
      <c r="Q113" s="830" t="n"/>
      <c r="R113" s="832" t="n"/>
      <c r="S113" s="503" t="inlineStr">
        <is>
          <t>화상</t>
        </is>
      </c>
      <c r="T113" s="963">
        <f>T50+C113+E113+G113+I113+K113+M113+O113</f>
        <v/>
      </c>
    </row>
    <row r="114" ht="14.1" customHeight="1" s="797">
      <c r="A114" s="605" t="inlineStr">
        <is>
          <t>입원비</t>
        </is>
      </c>
      <c r="B114" s="484" t="inlineStr">
        <is>
          <t>질병</t>
        </is>
      </c>
      <c r="C114" s="859" t="n"/>
      <c r="D114" s="971" t="n"/>
      <c r="E114" s="859" t="n"/>
      <c r="F114" s="863" t="n"/>
      <c r="G114" s="859" t="n"/>
      <c r="H114" s="860" t="n"/>
      <c r="I114" s="859" t="n"/>
      <c r="J114" s="860" t="n"/>
      <c r="K114" s="859" t="n"/>
      <c r="L114" s="915" t="n"/>
      <c r="M114" s="859" t="n"/>
      <c r="N114" s="860" t="n"/>
      <c r="O114" s="883" t="n"/>
      <c r="P114" s="864" t="n"/>
      <c r="Q114" s="830" t="n"/>
      <c r="R114" s="605" t="inlineStr">
        <is>
          <t>입원비</t>
        </is>
      </c>
      <c r="S114" s="486" t="inlineStr">
        <is>
          <t>질병</t>
        </is>
      </c>
      <c r="T114" s="959">
        <f>T51+C114+E114+G114+I114+K114+M114+O114</f>
        <v/>
      </c>
    </row>
    <row r="115" ht="14.1" customHeight="1" s="797" thickBot="1">
      <c r="A115" s="912" t="n"/>
      <c r="B115" s="485" t="inlineStr">
        <is>
          <t>상해</t>
        </is>
      </c>
      <c r="C115" s="859" t="n"/>
      <c r="D115" s="971" t="n"/>
      <c r="E115" s="859" t="n"/>
      <c r="F115" s="863" t="n"/>
      <c r="G115" s="859" t="n"/>
      <c r="H115" s="860" t="n"/>
      <c r="I115" s="859" t="n"/>
      <c r="J115" s="860" t="n"/>
      <c r="K115" s="859" t="n"/>
      <c r="L115" s="915" t="n"/>
      <c r="M115" s="859" t="n"/>
      <c r="N115" s="860" t="n"/>
      <c r="O115" s="883" t="n"/>
      <c r="P115" s="864" t="n"/>
      <c r="Q115" s="830" t="n"/>
      <c r="R115" s="912" t="n"/>
      <c r="S115" s="559" t="inlineStr">
        <is>
          <t>상해</t>
        </is>
      </c>
      <c r="T115" s="963">
        <f>T52+C115+E115+G115+I115+K115+M115+O115</f>
        <v/>
      </c>
    </row>
    <row r="116" ht="14.1" customHeight="1" s="797">
      <c r="A116" s="609" t="inlineStr">
        <is>
          <t>간병인</t>
        </is>
      </c>
      <c r="B116" s="473" t="inlineStr">
        <is>
          <t>병원사용</t>
        </is>
      </c>
      <c r="C116" s="828" t="n"/>
      <c r="D116" s="966" t="n"/>
      <c r="E116" s="828" t="n"/>
      <c r="F116" s="880" t="n"/>
      <c r="G116" s="828" t="n"/>
      <c r="H116" s="913" t="n"/>
      <c r="I116" s="828" t="n"/>
      <c r="J116" s="829" t="n"/>
      <c r="K116" s="828" t="n"/>
      <c r="L116" s="913" t="n"/>
      <c r="M116" s="828" t="n"/>
      <c r="N116" s="829" t="n"/>
      <c r="O116" s="826" t="n"/>
      <c r="P116" s="827" t="n"/>
      <c r="Q116" s="972" t="n"/>
      <c r="R116" s="973" t="inlineStr">
        <is>
          <t>간병인</t>
        </is>
      </c>
      <c r="S116" s="562" t="inlineStr">
        <is>
          <t>병원사용</t>
        </is>
      </c>
      <c r="T116" s="959">
        <f>T53+C116+E116+G116+I116+K116+M116+O116</f>
        <v/>
      </c>
    </row>
    <row r="117" ht="14.1" customHeight="1" s="797">
      <c r="A117" s="832" t="n"/>
      <c r="B117" s="474" t="inlineStr">
        <is>
          <t>요양병원사용</t>
        </is>
      </c>
      <c r="C117" s="859" t="n"/>
      <c r="D117" s="971" t="n"/>
      <c r="E117" s="859" t="n"/>
      <c r="F117" s="852" t="n"/>
      <c r="G117" s="859" t="n"/>
      <c r="H117" s="914" t="n"/>
      <c r="I117" s="859" t="n"/>
      <c r="J117" s="853" t="n"/>
      <c r="K117" s="859" t="n"/>
      <c r="L117" s="915" t="n"/>
      <c r="M117" s="859" t="n"/>
      <c r="N117" s="860" t="n"/>
      <c r="O117" s="883" t="n"/>
      <c r="P117" s="864" t="n"/>
      <c r="Q117" s="830" t="n"/>
      <c r="R117" s="832" t="n"/>
      <c r="S117" s="504" t="inlineStr">
        <is>
          <t>요양병원사용</t>
        </is>
      </c>
      <c r="T117" s="959">
        <f>T54+C117+E117+G117+I117+K117+M117+O117</f>
        <v/>
      </c>
    </row>
    <row r="118" ht="14.1" customHeight="1" s="797" thickBot="1">
      <c r="A118" s="841" t="n"/>
      <c r="B118" s="475" t="inlineStr">
        <is>
          <t>간호간병통합사용</t>
        </is>
      </c>
      <c r="C118" s="847" t="n"/>
      <c r="D118" s="974" t="n"/>
      <c r="E118" s="847" t="n"/>
      <c r="F118" s="852" t="n"/>
      <c r="G118" s="847" t="n"/>
      <c r="H118" s="914" t="n"/>
      <c r="I118" s="847" t="n"/>
      <c r="J118" s="853" t="n"/>
      <c r="K118" s="847" t="n"/>
      <c r="L118" s="891" t="n"/>
      <c r="M118" s="847" t="n"/>
      <c r="N118" s="848" t="n"/>
      <c r="O118" s="845" t="n"/>
      <c r="P118" s="846" t="n"/>
      <c r="Q118" s="830" t="n"/>
      <c r="R118" s="841" t="n"/>
      <c r="S118" s="505" t="inlineStr">
        <is>
          <t>간호간병통합사용</t>
        </is>
      </c>
      <c r="T118" s="959">
        <f>T53+C118+E118+G118+I118+K118+M118+O118</f>
        <v/>
      </c>
    </row>
    <row r="119" ht="14.1" customHeight="1" s="797">
      <c r="A119" s="917" t="inlineStr">
        <is>
          <t>운전자</t>
        </is>
      </c>
      <c r="B119" s="476" t="inlineStr">
        <is>
          <t>벌금</t>
        </is>
      </c>
      <c r="C119" s="828" t="n"/>
      <c r="D119" s="975" t="n"/>
      <c r="E119" s="826" t="n"/>
      <c r="F119" s="880" t="n"/>
      <c r="G119" s="828" t="n"/>
      <c r="H119" s="913" t="n"/>
      <c r="I119" s="828" t="n"/>
      <c r="J119" s="829" t="n"/>
      <c r="K119" s="828" t="n"/>
      <c r="L119" s="913" t="n"/>
      <c r="M119" s="828" t="n"/>
      <c r="N119" s="829" t="n"/>
      <c r="O119" s="836" t="n"/>
      <c r="P119" s="827" t="n"/>
      <c r="Q119" s="830" t="n"/>
      <c r="R119" s="917" t="inlineStr">
        <is>
          <t>운전자</t>
        </is>
      </c>
      <c r="S119" s="377" t="inlineStr">
        <is>
          <t>벌금</t>
        </is>
      </c>
      <c r="T119" s="957">
        <f>T56+C119+E119+G119+I119+K119+M119+O119</f>
        <v/>
      </c>
    </row>
    <row r="120" ht="14.1" customHeight="1" s="797">
      <c r="A120" s="832" t="n"/>
      <c r="B120" s="476" t="inlineStr">
        <is>
          <t>변호사선임</t>
        </is>
      </c>
      <c r="C120" s="838" t="n"/>
      <c r="D120" s="976" t="n"/>
      <c r="E120" s="836" t="n"/>
      <c r="F120" s="894" t="n"/>
      <c r="G120" s="838" t="n"/>
      <c r="H120" s="968" t="n"/>
      <c r="I120" s="838" t="n"/>
      <c r="J120" s="443" t="n"/>
      <c r="K120" s="838" t="n"/>
      <c r="L120" s="968" t="n"/>
      <c r="M120" s="838" t="n"/>
      <c r="N120" s="839" t="n"/>
      <c r="O120" s="836" t="n"/>
      <c r="P120" s="837" t="n"/>
      <c r="Q120" s="830" t="n"/>
      <c r="R120" s="832" t="n"/>
      <c r="S120" s="377" t="inlineStr">
        <is>
          <t>변호사선임</t>
        </is>
      </c>
      <c r="T120" s="959">
        <f>T57+C120+E120+G120+I120+K120+M120+O120</f>
        <v/>
      </c>
    </row>
    <row r="121" ht="14.1" customHeight="1" s="797" thickBot="1">
      <c r="A121" s="841" t="n"/>
      <c r="B121" s="477" t="inlineStr">
        <is>
          <t>교통사고처리지원</t>
        </is>
      </c>
      <c r="C121" s="856" t="n"/>
      <c r="D121" s="967" t="n"/>
      <c r="E121" s="901" t="n"/>
      <c r="F121" s="852" t="n"/>
      <c r="G121" s="856" t="n"/>
      <c r="H121" s="914" t="n"/>
      <c r="I121" s="856" t="n"/>
      <c r="J121" s="839" t="n"/>
      <c r="K121" s="856" t="n"/>
      <c r="L121" s="914" t="n"/>
      <c r="M121" s="856" t="n"/>
      <c r="N121" s="853" t="n"/>
      <c r="O121" s="836" t="n"/>
      <c r="P121" s="837" t="n"/>
      <c r="Q121" s="830" t="n"/>
      <c r="R121" s="841" t="n"/>
      <c r="S121" s="378" t="inlineStr">
        <is>
          <t>교통사고처리지원</t>
        </is>
      </c>
      <c r="T121" s="965">
        <f>T58+C121+E121+G121+I121+K121+M121+O121</f>
        <v/>
      </c>
    </row>
    <row r="122" ht="14.1" customHeight="1" s="797" thickBot="1">
      <c r="A122" s="585" t="inlineStr">
        <is>
          <t>일상생활배상책임</t>
        </is>
      </c>
      <c r="B122" s="919" t="n"/>
      <c r="C122" s="920" t="n"/>
      <c r="D122" s="977" t="n"/>
      <c r="E122" s="920" t="n"/>
      <c r="F122" s="922" t="n"/>
      <c r="G122" s="920" t="n"/>
      <c r="H122" s="978" t="n"/>
      <c r="I122" s="920" t="n"/>
      <c r="J122" s="923" t="n"/>
      <c r="K122" s="920" t="n"/>
      <c r="L122" s="978" t="n"/>
      <c r="M122" s="920" t="n"/>
      <c r="N122" s="923" t="n"/>
      <c r="O122" s="925" t="n"/>
      <c r="P122" s="926" t="n"/>
      <c r="Q122" s="830" t="n"/>
      <c r="R122" s="585" t="inlineStr">
        <is>
          <t>일상생활배상책임</t>
        </is>
      </c>
      <c r="S122" s="919" t="n"/>
      <c r="T122" s="965">
        <f>T59+C122+E122+G122+I122+K122+M122+O122</f>
        <v/>
      </c>
    </row>
    <row r="123" ht="14.1" customHeight="1" s="797">
      <c r="A123" s="928" t="inlineStr">
        <is>
          <t>주요치료비</t>
        </is>
      </c>
      <c r="C123" s="930" t="n"/>
      <c r="D123" s="829" t="n"/>
      <c r="E123" s="930" t="n"/>
      <c r="F123" s="839" t="n"/>
      <c r="G123" s="930" t="n"/>
      <c r="H123" s="913" t="n"/>
      <c r="I123" s="930" t="n"/>
      <c r="J123" s="979" t="n"/>
      <c r="K123" s="938" t="n"/>
      <c r="L123" s="913" t="n"/>
      <c r="M123" s="930" t="n"/>
      <c r="N123" s="914" t="n"/>
      <c r="O123" s="930" t="n"/>
      <c r="P123" s="827" t="n"/>
      <c r="Q123" s="830" t="n"/>
      <c r="R123" s="935" t="inlineStr">
        <is>
          <t>기타</t>
        </is>
      </c>
      <c r="S123" s="980" t="n"/>
    </row>
    <row r="124" ht="14.1" customHeight="1" s="797">
      <c r="B124" s="0" t="inlineStr">
        <is>
          <t>암주요치료비(급여)</t>
        </is>
      </c>
      <c r="C124" s="938" t="n"/>
      <c r="D124" s="839" t="n"/>
      <c r="E124" s="938" t="n"/>
      <c r="F124" s="853" t="n"/>
      <c r="G124" s="938" t="n"/>
      <c r="H124" s="968" t="n"/>
      <c r="I124" s="938" t="n"/>
      <c r="J124" s="839" t="n"/>
      <c r="K124" s="454" t="n"/>
      <c r="L124" s="968" t="n"/>
      <c r="M124" s="938" t="n"/>
      <c r="N124" s="968" t="n"/>
      <c r="O124" s="938" t="n"/>
      <c r="P124" s="837" t="n"/>
      <c r="Q124" s="830" t="n"/>
      <c r="T124" s="0">
        <f>T61+C124+E124+G124+I124+K124+M124+O124</f>
        <v/>
      </c>
    </row>
    <row r="125" ht="14.1" customHeight="1" s="797">
      <c r="B125" s="0" t="inlineStr">
        <is>
          <t>암주요치료비(비급여)</t>
        </is>
      </c>
      <c r="C125" s="938" t="n"/>
      <c r="D125" s="839" t="n"/>
      <c r="E125" s="938" t="n"/>
      <c r="F125" s="853" t="n"/>
      <c r="G125" s="938" t="n"/>
      <c r="H125" s="968" t="n"/>
      <c r="I125" s="938" t="n"/>
      <c r="J125" s="853" t="n"/>
      <c r="K125" s="938" t="n"/>
      <c r="L125" s="839" t="n"/>
      <c r="M125" s="938" t="n"/>
      <c r="N125" s="914" t="n"/>
      <c r="O125" s="938" t="n"/>
      <c r="P125" s="837" t="n"/>
      <c r="Q125" s="830" t="n"/>
      <c r="T125" s="0">
        <f>T62+C125+E125+G125+I125+K125+M125+O125</f>
        <v/>
      </c>
    </row>
    <row r="126" ht="14.1" customHeight="1" s="797" thickBot="1">
      <c r="B126" s="0" t="inlineStr">
        <is>
          <t>뇌심(순환계)주요치료비</t>
        </is>
      </c>
      <c r="C126" s="944" t="n"/>
      <c r="D126" s="848" t="n"/>
      <c r="E126" s="944" t="n"/>
      <c r="F126" s="981" t="n"/>
      <c r="G126" s="944" t="n"/>
      <c r="H126" s="891" t="n"/>
      <c r="I126" s="944" t="n"/>
      <c r="J126" s="885" t="n"/>
      <c r="K126" s="944" t="n"/>
      <c r="L126" s="885" t="n"/>
      <c r="M126" s="944" t="n"/>
      <c r="N126" s="848" t="n"/>
      <c r="O126" s="944" t="n"/>
      <c r="P126" s="846" t="n"/>
      <c r="Q126" s="830" t="n"/>
      <c r="T126" s="0">
        <f>T63+C126+E126+G126+I126+K126+M126+O126</f>
        <v/>
      </c>
    </row>
    <row r="127" ht="18.95" customHeight="1" s="797">
      <c r="A127" s="947">
        <f>A64</f>
        <v/>
      </c>
      <c r="B127" s="796" t="n"/>
      <c r="C127" s="649" t="n"/>
      <c r="D127" s="794" t="n"/>
      <c r="E127" s="649" t="n"/>
      <c r="F127" s="794" t="n"/>
      <c r="G127" s="649" t="n"/>
      <c r="H127" s="794" t="n"/>
      <c r="I127" s="649" t="n"/>
      <c r="J127" s="794" t="n"/>
      <c r="K127" s="649" t="n"/>
      <c r="L127" s="794" t="n"/>
      <c r="M127" s="649" t="n"/>
      <c r="N127" s="794" t="n"/>
      <c r="O127" s="649" t="n"/>
      <c r="P127" s="794" t="n"/>
      <c r="Q127" s="138" t="n"/>
      <c r="R127" s="795" t="inlineStr">
        <is>
          <t>평가 기준일</t>
        </is>
      </c>
      <c r="S127" s="796" t="n"/>
      <c r="T127" s="137">
        <f>T64</f>
        <v/>
      </c>
    </row>
    <row r="128" ht="14.1" customHeight="1" s="797">
      <c r="A128" s="647" t="inlineStr">
        <is>
          <t>상품명</t>
        </is>
      </c>
      <c r="B128" s="798" t="n"/>
      <c r="C128" s="645" t="n"/>
      <c r="D128" s="799" t="n"/>
      <c r="E128" s="645" t="n"/>
      <c r="F128" s="799" t="n"/>
      <c r="G128" s="645" t="n"/>
      <c r="H128" s="799" t="n"/>
      <c r="I128" s="645" t="n"/>
      <c r="J128" s="799" t="n"/>
      <c r="K128" s="645" t="n"/>
      <c r="L128" s="799" t="n"/>
      <c r="M128" s="645" t="n"/>
      <c r="N128" s="799" t="n"/>
      <c r="O128" s="645" t="n"/>
      <c r="P128" s="799" t="n"/>
      <c r="Q128" s="25" t="n"/>
      <c r="R128" s="948" t="n"/>
      <c r="S128" s="801" t="n"/>
      <c r="T128" s="802" t="n"/>
    </row>
    <row r="129" ht="14.1" customHeight="1" s="797">
      <c r="A129" s="647" t="inlineStr">
        <is>
          <t>계약자 / 피보험자</t>
        </is>
      </c>
      <c r="B129" s="798" t="n"/>
      <c r="C129" s="645" t="n"/>
      <c r="D129" s="799" t="n"/>
      <c r="E129" s="645" t="n"/>
      <c r="F129" s="799" t="n"/>
      <c r="G129" s="645" t="n"/>
      <c r="H129" s="799" t="n"/>
      <c r="I129" s="645" t="n"/>
      <c r="J129" s="799" t="n"/>
      <c r="K129" s="645" t="n"/>
      <c r="L129" s="799" t="n"/>
      <c r="M129" s="645" t="n"/>
      <c r="N129" s="799" t="n"/>
      <c r="O129" s="646" t="n"/>
      <c r="P129" s="799" t="n"/>
      <c r="Q129" s="25" t="n"/>
      <c r="R129" s="804" t="n"/>
      <c r="T129" s="805" t="n"/>
    </row>
    <row r="130" ht="14.1" customHeight="1" s="797">
      <c r="A130" s="647" t="inlineStr">
        <is>
          <t>계약일자</t>
        </is>
      </c>
      <c r="B130" s="798" t="n"/>
      <c r="C130" s="646" t="n"/>
      <c r="D130" s="799" t="n"/>
      <c r="E130" s="646" t="n"/>
      <c r="F130" s="799" t="n"/>
      <c r="G130" s="646" t="n"/>
      <c r="H130" s="799" t="n"/>
      <c r="I130" s="646" t="n"/>
      <c r="J130" s="799" t="n"/>
      <c r="K130" s="646" t="n"/>
      <c r="L130" s="799" t="n"/>
      <c r="M130" s="646" t="n"/>
      <c r="N130" s="799" t="n"/>
      <c r="O130" s="646" t="n"/>
      <c r="P130" s="799" t="n"/>
      <c r="Q130" s="25" t="n"/>
      <c r="R130" s="804" t="n"/>
      <c r="T130" s="805" t="n"/>
    </row>
    <row r="131" ht="14.1" customHeight="1" s="797">
      <c r="A131" s="647" t="inlineStr">
        <is>
          <t>납입기간 / 기납입기간</t>
        </is>
      </c>
      <c r="B131" s="798" t="n"/>
      <c r="C131" s="806" t="n"/>
      <c r="D131" s="807" t="n"/>
      <c r="E131" s="806" t="n"/>
      <c r="F131" s="807">
        <f>IF(DATEDIF(E130,$T$1,"m")&lt;E131*12,DATEDIF(E130,$T$1,"m"),E131*12)</f>
        <v/>
      </c>
      <c r="G131" s="806" t="n"/>
      <c r="H131" s="807">
        <f>IF(DATEDIF(G130,$T$1,"m")&lt;G131*12,DATEDIF(G130,$T$1,"m"),G131*12)</f>
        <v/>
      </c>
      <c r="I131" s="806" t="n"/>
      <c r="J131" s="807">
        <f>IF(DATEDIF(I130,$T$1,"m")&lt;I131*12,DATEDIF(I130,$T$1,"m"),I131*12)</f>
        <v/>
      </c>
      <c r="K131" s="806" t="n"/>
      <c r="L131" s="807">
        <f>IF(DATEDIF(K130,$T$1,"m")&lt;K131*12,DATEDIF(K130,$T$1,"m"),K131*12)</f>
        <v/>
      </c>
      <c r="M131" s="806" t="n"/>
      <c r="N131" s="949">
        <f>IF(DATEDIF(M130,$T$1,"m")&lt;M131*12,DATEDIF(M130,$T$1,"m"),M131*12)</f>
        <v/>
      </c>
      <c r="O131" s="806" t="n"/>
      <c r="P131" s="807">
        <f>IF(DATEDIF(O130,$T$1,"m")&lt;O131*12,DATEDIF(O130,$T$1,"m"),O131*12)</f>
        <v/>
      </c>
      <c r="Q131" s="25" t="n"/>
      <c r="R131" s="804" t="n"/>
      <c r="T131" s="805" t="n"/>
    </row>
    <row r="132" ht="14.1" customHeight="1" s="797">
      <c r="A132" s="647" t="inlineStr">
        <is>
          <t>보장기간</t>
        </is>
      </c>
      <c r="B132" s="798" t="n"/>
      <c r="C132" s="645" t="n"/>
      <c r="D132" s="799" t="n"/>
      <c r="E132" s="645" t="n"/>
      <c r="F132" s="799" t="n"/>
      <c r="G132" s="645" t="n"/>
      <c r="H132" s="799" t="n"/>
      <c r="I132" s="645" t="n"/>
      <c r="J132" s="799" t="n"/>
      <c r="K132" s="645" t="n"/>
      <c r="L132" s="799" t="n"/>
      <c r="M132" s="645" t="n"/>
      <c r="N132" s="799" t="n"/>
      <c r="O132" s="645" t="n"/>
      <c r="P132" s="799" t="n"/>
      <c r="Q132" s="25" t="n"/>
      <c r="R132" s="808" t="n"/>
      <c r="S132" s="809" t="n"/>
      <c r="T132" s="810" t="n"/>
    </row>
    <row r="133" ht="14.1" customHeight="1" s="797">
      <c r="A133" s="632" t="inlineStr">
        <is>
          <t>비고 / 갱신종류</t>
        </is>
      </c>
      <c r="B133" s="811" t="n"/>
      <c r="C133" s="642" t="n"/>
      <c r="D133" s="799" t="n"/>
      <c r="E133" s="642" t="n"/>
      <c r="F133" s="799" t="n"/>
      <c r="G133" s="642" t="n"/>
      <c r="H133" s="799" t="n"/>
      <c r="I133" s="642" t="n"/>
      <c r="J133" s="799" t="n"/>
      <c r="K133" s="642" t="n"/>
      <c r="L133" s="799" t="n"/>
      <c r="M133" s="642" t="n"/>
      <c r="N133" s="799" t="n"/>
      <c r="O133" s="642" t="n"/>
      <c r="P133" s="799" t="n"/>
      <c r="Q133" s="25" t="n"/>
      <c r="R133" s="950" t="n"/>
      <c r="S133" s="798" t="n"/>
      <c r="T133" s="27" t="inlineStr">
        <is>
          <t>총 보장 (원)</t>
        </is>
      </c>
    </row>
    <row r="134" ht="14.1" customHeight="1" s="797">
      <c r="A134" s="639" t="inlineStr">
        <is>
          <t>월 보험료</t>
        </is>
      </c>
      <c r="B134" s="798" t="n"/>
      <c r="C134" s="813" t="n"/>
      <c r="D134" s="799" t="n"/>
      <c r="E134" s="813" t="n"/>
      <c r="F134" s="799" t="n"/>
      <c r="G134" s="813" t="n"/>
      <c r="H134" s="799" t="n"/>
      <c r="I134" s="813" t="n"/>
      <c r="J134" s="799" t="n"/>
      <c r="K134" s="813" t="n"/>
      <c r="L134" s="799" t="n"/>
      <c r="M134" s="813" t="n"/>
      <c r="N134" s="799" t="n"/>
      <c r="O134" s="813" t="n"/>
      <c r="P134" s="799" t="n"/>
      <c r="Q134" s="814" t="n"/>
      <c r="R134" s="982" t="inlineStr">
        <is>
          <t>합산 월 보험료</t>
        </is>
      </c>
      <c r="S134" s="798" t="n"/>
      <c r="T134" s="951">
        <f>T71+C134+E134+G134+I134+K134+O134</f>
        <v/>
      </c>
    </row>
    <row r="135" ht="14.1" customHeight="1" s="797">
      <c r="A135" s="647" t="inlineStr">
        <is>
          <t>보험료 총액</t>
        </is>
      </c>
      <c r="B135" s="798" t="n"/>
      <c r="C135" s="817" t="n"/>
      <c r="D135" s="799" t="n"/>
      <c r="E135" s="817">
        <f>E134*E131*12</f>
        <v/>
      </c>
      <c r="F135" s="799" t="n"/>
      <c r="G135" s="817">
        <f>G134*G131*12</f>
        <v/>
      </c>
      <c r="H135" s="799" t="n"/>
      <c r="I135" s="817">
        <f>I134*I131*12</f>
        <v/>
      </c>
      <c r="J135" s="799" t="n"/>
      <c r="K135" s="817">
        <f>K134*K131*12</f>
        <v/>
      </c>
      <c r="L135" s="799" t="n"/>
      <c r="M135" s="817">
        <f>M134*M131*12</f>
        <v/>
      </c>
      <c r="N135" s="799" t="n"/>
      <c r="O135" s="817">
        <f>O134*O131*12</f>
        <v/>
      </c>
      <c r="P135" s="799" t="n"/>
      <c r="Q135" s="814" t="n"/>
      <c r="R135" s="982" t="inlineStr">
        <is>
          <t>합산 보험료 총액</t>
        </is>
      </c>
      <c r="S135" s="798" t="n"/>
      <c r="T135" s="952">
        <f>T72+C135+E135+G135+I135+K135+O135</f>
        <v/>
      </c>
    </row>
    <row r="136" ht="14.1" customHeight="1" s="797">
      <c r="A136" s="647" t="inlineStr">
        <is>
          <t>기 납입금</t>
        </is>
      </c>
      <c r="B136" s="798" t="n"/>
      <c r="C136" s="817" t="n"/>
      <c r="D136" s="799" t="n"/>
      <c r="E136" s="817">
        <f>E134*F131</f>
        <v/>
      </c>
      <c r="F136" s="799" t="n"/>
      <c r="G136" s="817">
        <f>G134*H131</f>
        <v/>
      </c>
      <c r="H136" s="799" t="n"/>
      <c r="I136" s="817">
        <f>I134*J131</f>
        <v/>
      </c>
      <c r="J136" s="799" t="n"/>
      <c r="K136" s="817">
        <f>K134*L131</f>
        <v/>
      </c>
      <c r="L136" s="799" t="n"/>
      <c r="M136" s="817">
        <f>M134*N131</f>
        <v/>
      </c>
      <c r="N136" s="799" t="n"/>
      <c r="O136" s="817">
        <f>O134*P131</f>
        <v/>
      </c>
      <c r="P136" s="799" t="n"/>
      <c r="Q136" s="814" t="n"/>
      <c r="R136" s="982" t="inlineStr">
        <is>
          <t>합산 기 납입금</t>
        </is>
      </c>
      <c r="S136" s="798" t="n"/>
      <c r="T136" s="952">
        <f>T73+C136+E136+G136+I136+K136+O136</f>
        <v/>
      </c>
    </row>
    <row r="137" ht="14.1" customHeight="1" s="797" thickBot="1">
      <c r="A137" s="632" t="inlineStr">
        <is>
          <t>미 납입금</t>
        </is>
      </c>
      <c r="B137" s="811" t="n"/>
      <c r="C137" s="817" t="n"/>
      <c r="D137" s="799" t="n"/>
      <c r="E137" s="817">
        <f>E135-E136</f>
        <v/>
      </c>
      <c r="F137" s="799" t="n"/>
      <c r="G137" s="817">
        <f>G135-G136</f>
        <v/>
      </c>
      <c r="H137" s="799" t="n"/>
      <c r="I137" s="817">
        <f>I135-I136</f>
        <v/>
      </c>
      <c r="J137" s="799" t="n"/>
      <c r="K137" s="817">
        <f>K135-K136</f>
        <v/>
      </c>
      <c r="L137" s="799" t="n"/>
      <c r="M137" s="817">
        <f>M135-M136</f>
        <v/>
      </c>
      <c r="N137" s="799" t="n"/>
      <c r="O137" s="817">
        <f>O135-O136</f>
        <v/>
      </c>
      <c r="P137" s="799" t="n"/>
      <c r="Q137" s="814" t="n"/>
      <c r="R137" s="983" t="inlineStr">
        <is>
          <t>합산 미 납입금</t>
        </is>
      </c>
      <c r="S137" s="954" t="n"/>
      <c r="T137" s="955">
        <f>T74+C137+E137+G137+I137+K137+O137</f>
        <v/>
      </c>
    </row>
    <row r="138" ht="14.1" customHeight="1" s="797">
      <c r="A138" s="821" t="inlineStr">
        <is>
          <t>실비
(갱신)</t>
        </is>
      </c>
      <c r="B138" s="457" t="inlineStr">
        <is>
          <t>질병입원의료비</t>
        </is>
      </c>
      <c r="C138" s="828" t="n"/>
      <c r="D138" s="829" t="n"/>
      <c r="E138" s="828" t="n"/>
      <c r="F138" s="956" t="n"/>
      <c r="G138" s="828" t="n"/>
      <c r="H138" s="880" t="n"/>
      <c r="I138" s="828" t="n"/>
      <c r="J138" s="880" t="n"/>
      <c r="K138" s="828" t="n"/>
      <c r="L138" s="829" t="n"/>
      <c r="M138" s="828" t="n"/>
      <c r="N138" s="827" t="n"/>
      <c r="O138" s="826" t="n"/>
      <c r="P138" s="827" t="n"/>
      <c r="Q138" s="830" t="n"/>
      <c r="R138" s="821" t="inlineStr">
        <is>
          <t>실비
(갱신)</t>
        </is>
      </c>
      <c r="S138" s="352" t="inlineStr">
        <is>
          <t>질병입원의료비</t>
        </is>
      </c>
      <c r="T138" s="957">
        <f>T75+C138+E138+G138+I138+K138+M138+O138</f>
        <v/>
      </c>
    </row>
    <row r="139" ht="14.1" customHeight="1" s="797">
      <c r="A139" s="832" t="n"/>
      <c r="B139" s="458" t="inlineStr">
        <is>
          <t>질병통원의료비</t>
        </is>
      </c>
      <c r="C139" s="838" t="n"/>
      <c r="D139" s="839" t="n"/>
      <c r="E139" s="838" t="n"/>
      <c r="F139" s="958" t="n"/>
      <c r="G139" s="838" t="n"/>
      <c r="H139" s="894" t="n"/>
      <c r="I139" s="838" t="n"/>
      <c r="J139" s="894" t="n"/>
      <c r="K139" s="838" t="n"/>
      <c r="L139" s="839" t="n"/>
      <c r="M139" s="838" t="n"/>
      <c r="N139" s="837" t="n"/>
      <c r="O139" s="836" t="n"/>
      <c r="P139" s="837" t="n"/>
      <c r="Q139" s="830" t="n"/>
      <c r="R139" s="832" t="n"/>
      <c r="S139" s="353" t="inlineStr">
        <is>
          <t>질병통원의료비</t>
        </is>
      </c>
      <c r="T139" s="959">
        <f>T76+C139+E139+G139+I139+K139+M139+O139</f>
        <v/>
      </c>
    </row>
    <row r="140" ht="14.1" customHeight="1" s="797">
      <c r="A140" s="832" t="n"/>
      <c r="B140" s="458" t="inlineStr">
        <is>
          <t>상해입원의료비</t>
        </is>
      </c>
      <c r="C140" s="838" t="n"/>
      <c r="D140" s="839" t="n"/>
      <c r="E140" s="838" t="n"/>
      <c r="F140" s="958" t="n"/>
      <c r="G140" s="838" t="n"/>
      <c r="H140" s="894" t="n"/>
      <c r="I140" s="838" t="n"/>
      <c r="J140" s="894" t="n"/>
      <c r="K140" s="838" t="n"/>
      <c r="L140" s="839" t="n"/>
      <c r="M140" s="838" t="n"/>
      <c r="N140" s="837" t="n"/>
      <c r="O140" s="836" t="n"/>
      <c r="P140" s="837" t="n"/>
      <c r="Q140" s="830" t="n"/>
      <c r="R140" s="832" t="n"/>
      <c r="S140" s="353" t="inlineStr">
        <is>
          <t>상해입원의료비</t>
        </is>
      </c>
      <c r="T140" s="959">
        <f>T77+C140+E140+G140+I140+K140+M140+O140</f>
        <v/>
      </c>
    </row>
    <row r="141" ht="14.1" customHeight="1" s="797">
      <c r="A141" s="832" t="n"/>
      <c r="B141" s="458" t="inlineStr">
        <is>
          <t>상해통원의료비</t>
        </is>
      </c>
      <c r="C141" s="838" t="n"/>
      <c r="D141" s="839" t="n"/>
      <c r="E141" s="838" t="n"/>
      <c r="F141" s="958" t="n"/>
      <c r="G141" s="838" t="n"/>
      <c r="H141" s="894" t="n"/>
      <c r="I141" s="838" t="n"/>
      <c r="J141" s="894" t="n"/>
      <c r="K141" s="838" t="n"/>
      <c r="L141" s="839" t="n"/>
      <c r="M141" s="838" t="n"/>
      <c r="N141" s="837" t="n"/>
      <c r="O141" s="836" t="n"/>
      <c r="P141" s="837" t="n"/>
      <c r="Q141" s="830" t="n"/>
      <c r="R141" s="832" t="n"/>
      <c r="S141" s="353" t="inlineStr">
        <is>
          <t>상해통원의료비</t>
        </is>
      </c>
      <c r="T141" s="959">
        <f>T78+C141+E141+G141+I141+K141+M141+O141</f>
        <v/>
      </c>
    </row>
    <row r="142" ht="14.1" customHeight="1" s="797" thickBot="1">
      <c r="A142" s="841" t="n"/>
      <c r="B142" s="459" t="inlineStr">
        <is>
          <t>3대비급여 의료비</t>
        </is>
      </c>
      <c r="C142" s="847" t="n"/>
      <c r="D142" s="848" t="n"/>
      <c r="E142" s="847" t="n"/>
      <c r="F142" s="960" t="n"/>
      <c r="G142" s="847" t="n"/>
      <c r="H142" s="885" t="n"/>
      <c r="I142" s="847" t="n"/>
      <c r="J142" s="885" t="n"/>
      <c r="K142" s="847" t="n"/>
      <c r="L142" s="848" t="n"/>
      <c r="M142" s="847" t="n"/>
      <c r="N142" s="846" t="n"/>
      <c r="O142" s="845" t="n"/>
      <c r="P142" s="846" t="n"/>
      <c r="Q142" s="830" t="n"/>
      <c r="R142" s="841" t="n"/>
      <c r="S142" s="354" t="inlineStr">
        <is>
          <t>3대비급여 의료비</t>
        </is>
      </c>
      <c r="T142" s="963">
        <f>T79+C142+E142+G142+I142+K142+M142+O142</f>
        <v/>
      </c>
    </row>
    <row r="143" ht="14.1" customHeight="1" s="797">
      <c r="A143" s="624" t="inlineStr">
        <is>
          <t>암</t>
        </is>
      </c>
      <c r="B143" s="460" t="inlineStr">
        <is>
          <t>암진단</t>
        </is>
      </c>
      <c r="C143" s="828" t="n"/>
      <c r="D143" s="908" t="n"/>
      <c r="E143" s="828" t="n"/>
      <c r="F143" s="880" t="n"/>
      <c r="G143" s="828" t="n"/>
      <c r="H143" s="880" t="n"/>
      <c r="I143" s="828" t="n"/>
      <c r="J143" s="880" t="n"/>
      <c r="K143" s="828" t="n"/>
      <c r="L143" s="913" t="n"/>
      <c r="M143" s="828" t="n"/>
      <c r="N143" s="829" t="n"/>
      <c r="O143" s="828" t="n"/>
      <c r="P143" s="827" t="n"/>
      <c r="Q143" s="830" t="n"/>
      <c r="R143" s="626" t="inlineStr">
        <is>
          <t>암</t>
        </is>
      </c>
      <c r="S143" s="490" t="inlineStr">
        <is>
          <t>암진단비</t>
        </is>
      </c>
      <c r="T143" s="957">
        <f>T80+C143+E143+G143+I143+K143+M143+O143</f>
        <v/>
      </c>
    </row>
    <row r="144" ht="14.1" customHeight="1" s="797">
      <c r="A144" s="832" t="n"/>
      <c r="B144" s="481" t="inlineStr">
        <is>
          <t>유사암진단</t>
        </is>
      </c>
      <c r="C144" s="838" t="n"/>
      <c r="D144" s="873" t="n"/>
      <c r="E144" s="838" t="n"/>
      <c r="F144" s="852" t="n"/>
      <c r="G144" s="838" t="n"/>
      <c r="H144" s="852" t="n"/>
      <c r="I144" s="838" t="n"/>
      <c r="J144" s="852" t="n"/>
      <c r="K144" s="838" t="n"/>
      <c r="L144" s="914" t="n"/>
      <c r="M144" s="838" t="n"/>
      <c r="N144" s="853" t="n"/>
      <c r="O144" s="856" t="n"/>
      <c r="P144" s="857" t="n"/>
      <c r="Q144" s="830" t="n"/>
      <c r="R144" s="832" t="n"/>
      <c r="S144" s="491" t="inlineStr">
        <is>
          <t>유사암진단</t>
        </is>
      </c>
      <c r="T144" s="959">
        <f>T81+C144+E144+G144+I144+K144+M144+O144</f>
        <v/>
      </c>
    </row>
    <row r="145" ht="14.1" customHeight="1" s="797" thickBot="1">
      <c r="A145" s="832" t="n"/>
      <c r="B145" s="553" t="inlineStr">
        <is>
          <t>전이암진단</t>
        </is>
      </c>
      <c r="C145" s="847" t="n"/>
      <c r="D145" s="961" t="n"/>
      <c r="E145" s="847" t="n"/>
      <c r="F145" s="910" t="n"/>
      <c r="G145" s="847" t="n"/>
      <c r="H145" s="910" t="n"/>
      <c r="I145" s="847" t="n"/>
      <c r="J145" s="910" t="n"/>
      <c r="K145" s="847" t="n"/>
      <c r="L145" s="916" t="n"/>
      <c r="M145" s="909" t="n"/>
      <c r="N145" s="877" t="n"/>
      <c r="O145" s="909" t="n"/>
      <c r="P145" s="962" t="n"/>
      <c r="Q145" s="830" t="n"/>
      <c r="R145" s="832" t="n"/>
      <c r="S145" s="566" t="inlineStr">
        <is>
          <t>전이암진단</t>
        </is>
      </c>
      <c r="T145" s="963">
        <f>T82+C145+E145+G145+I145+K145+M145+O145</f>
        <v/>
      </c>
    </row>
    <row r="146" ht="14.1" customHeight="1" s="797">
      <c r="A146" s="832" t="n"/>
      <c r="B146" s="554" t="inlineStr">
        <is>
          <t>암수술</t>
        </is>
      </c>
      <c r="C146" s="856" t="n"/>
      <c r="D146" s="873" t="n"/>
      <c r="E146" s="856" t="n"/>
      <c r="F146" s="852" t="n"/>
      <c r="G146" s="856" t="n"/>
      <c r="H146" s="852" t="n"/>
      <c r="I146" s="856" t="n"/>
      <c r="J146" s="852" t="n"/>
      <c r="K146" s="856" t="n"/>
      <c r="L146" s="914" t="n"/>
      <c r="M146" s="856" t="n"/>
      <c r="N146" s="853" t="n"/>
      <c r="O146" s="856" t="n"/>
      <c r="P146" s="857" t="n"/>
      <c r="Q146" s="830" t="n"/>
      <c r="R146" s="832" t="n"/>
      <c r="S146" s="343" t="inlineStr">
        <is>
          <t>암수술</t>
        </is>
      </c>
      <c r="T146" s="957">
        <f>T83+C146+E146+G146+I146+K146+M146+O146</f>
        <v/>
      </c>
    </row>
    <row r="147" ht="14.1" customHeight="1" s="797">
      <c r="A147" s="832" t="n"/>
      <c r="B147" s="555" t="inlineStr">
        <is>
          <t>다빈치로봇수술</t>
        </is>
      </c>
      <c r="C147" s="838" t="n"/>
      <c r="D147" s="873" t="n"/>
      <c r="E147" s="838" t="n"/>
      <c r="F147" s="852" t="n"/>
      <c r="G147" s="838" t="n"/>
      <c r="H147" s="852" t="n"/>
      <c r="I147" s="838" t="n"/>
      <c r="J147" s="852" t="n"/>
      <c r="K147" s="838" t="n"/>
      <c r="L147" s="914" t="n"/>
      <c r="M147" s="856" t="n"/>
      <c r="N147" s="853" t="n"/>
      <c r="O147" s="856" t="n"/>
      <c r="P147" s="857" t="n"/>
      <c r="Q147" s="830" t="n"/>
      <c r="R147" s="832" t="n"/>
      <c r="S147" s="326" t="inlineStr">
        <is>
          <t>다빈치로봇수술</t>
        </is>
      </c>
      <c r="T147" s="959">
        <f>T84+C147+E147+G147+I147+K147+M147+O147</f>
        <v/>
      </c>
    </row>
    <row r="148" ht="14.1" customHeight="1" s="797">
      <c r="A148" s="832" t="n"/>
      <c r="B148" s="556" t="inlineStr">
        <is>
          <t>항암방사선</t>
        </is>
      </c>
      <c r="C148" s="838" t="n"/>
      <c r="D148" s="873" t="n"/>
      <c r="E148" s="838" t="n"/>
      <c r="F148" s="852" t="n"/>
      <c r="G148" s="838" t="n"/>
      <c r="H148" s="852" t="n"/>
      <c r="I148" s="838" t="n"/>
      <c r="J148" s="852" t="n"/>
      <c r="K148" s="838" t="n"/>
      <c r="L148" s="914" t="n"/>
      <c r="M148" s="856" t="n"/>
      <c r="N148" s="853" t="n"/>
      <c r="O148" s="856" t="n"/>
      <c r="P148" s="857" t="n"/>
      <c r="Q148" s="830" t="n"/>
      <c r="R148" s="832" t="n"/>
      <c r="S148" s="343" t="inlineStr">
        <is>
          <t>항암방사선</t>
        </is>
      </c>
      <c r="T148" s="959">
        <f>T85+C148+E148+G148+I148+K148+M148+O148</f>
        <v/>
      </c>
    </row>
    <row r="149" ht="14.1" customHeight="1" s="797">
      <c r="A149" s="832" t="n"/>
      <c r="B149" s="555" t="inlineStr">
        <is>
          <t>중입자방사선</t>
        </is>
      </c>
      <c r="C149" s="838" t="n"/>
      <c r="D149" s="873" t="n"/>
      <c r="E149" s="838" t="n"/>
      <c r="F149" s="852" t="n"/>
      <c r="G149" s="838" t="n"/>
      <c r="H149" s="852" t="n"/>
      <c r="I149" s="838" t="n"/>
      <c r="J149" s="852" t="n"/>
      <c r="K149" s="838" t="n"/>
      <c r="L149" s="914" t="n"/>
      <c r="M149" s="856" t="n"/>
      <c r="N149" s="853" t="n"/>
      <c r="O149" s="856" t="n"/>
      <c r="P149" s="857" t="n"/>
      <c r="Q149" s="830" t="n"/>
      <c r="R149" s="832" t="n"/>
      <c r="S149" s="326" t="inlineStr">
        <is>
          <t>중입자방사선</t>
        </is>
      </c>
      <c r="T149" s="959">
        <f>T86+C149+E149+G149+I149+K149+M149+O149</f>
        <v/>
      </c>
    </row>
    <row r="150" ht="14.1" customHeight="1" s="797">
      <c r="A150" s="832" t="n"/>
      <c r="B150" s="555" t="inlineStr">
        <is>
          <t>양성자방사선</t>
        </is>
      </c>
      <c r="C150" s="838" t="n"/>
      <c r="D150" s="873" t="n"/>
      <c r="E150" s="838" t="n"/>
      <c r="F150" s="852" t="n"/>
      <c r="G150" s="838" t="n"/>
      <c r="H150" s="852" t="n"/>
      <c r="I150" s="838" t="n"/>
      <c r="J150" s="852" t="n"/>
      <c r="K150" s="838" t="n"/>
      <c r="L150" s="914" t="n"/>
      <c r="M150" s="856" t="n"/>
      <c r="N150" s="853" t="n"/>
      <c r="O150" s="856" t="n"/>
      <c r="P150" s="857" t="n"/>
      <c r="Q150" s="830" t="n"/>
      <c r="R150" s="832" t="n"/>
      <c r="S150" s="326" t="inlineStr">
        <is>
          <t>양성자방사선</t>
        </is>
      </c>
      <c r="T150" s="959">
        <f>T88+C150+E150+G150+I150+K150+O150</f>
        <v/>
      </c>
    </row>
    <row r="151" ht="14.1" customHeight="1" s="797">
      <c r="A151" s="832" t="n"/>
      <c r="B151" s="555" t="inlineStr">
        <is>
          <t>세기조절방사선</t>
        </is>
      </c>
      <c r="C151" s="838" t="n"/>
      <c r="D151" s="873" t="n"/>
      <c r="E151" s="838" t="n"/>
      <c r="F151" s="852" t="n"/>
      <c r="G151" s="838" t="n"/>
      <c r="H151" s="852" t="n"/>
      <c r="I151" s="838" t="n"/>
      <c r="J151" s="852" t="n"/>
      <c r="K151" s="838" t="n"/>
      <c r="L151" s="914" t="n"/>
      <c r="M151" s="856" t="n"/>
      <c r="N151" s="853" t="n"/>
      <c r="O151" s="856" t="n"/>
      <c r="P151" s="857" t="n"/>
      <c r="Q151" s="830" t="n"/>
      <c r="R151" s="832" t="n"/>
      <c r="S151" s="326" t="inlineStr">
        <is>
          <t>세기조절방사선</t>
        </is>
      </c>
      <c r="T151" s="959">
        <f>T88+C151+E151+G151+I151+K151+M151+O151</f>
        <v/>
      </c>
    </row>
    <row r="152" ht="14.1" customHeight="1" s="797">
      <c r="A152" s="832" t="n"/>
      <c r="B152" s="556" t="inlineStr">
        <is>
          <t>항암약물</t>
        </is>
      </c>
      <c r="C152" s="838" t="n"/>
      <c r="D152" s="873" t="n"/>
      <c r="E152" s="862" t="n"/>
      <c r="F152" s="853" t="n"/>
      <c r="G152" s="862" t="n"/>
      <c r="H152" s="852" t="n"/>
      <c r="I152" s="862" t="n"/>
      <c r="J152" s="852" t="n"/>
      <c r="K152" s="862" t="n"/>
      <c r="L152" s="914" t="n"/>
      <c r="M152" s="859" t="n"/>
      <c r="N152" s="853" t="n"/>
      <c r="O152" s="856" t="n"/>
      <c r="P152" s="857" t="n"/>
      <c r="Q152" s="830" t="n"/>
      <c r="R152" s="832" t="n"/>
      <c r="S152" s="343" t="inlineStr">
        <is>
          <t>항암약물</t>
        </is>
      </c>
      <c r="T152" s="959">
        <f>T89+C152+E152+G152+I152+K152+M152+O152</f>
        <v/>
      </c>
    </row>
    <row r="153" ht="14.1" customHeight="1" s="797">
      <c r="A153" s="832" t="n"/>
      <c r="B153" s="555" t="inlineStr">
        <is>
          <t>표적항암약물</t>
        </is>
      </c>
      <c r="C153" s="862" t="n"/>
      <c r="D153" s="882" t="n"/>
      <c r="E153" s="862" t="n"/>
      <c r="F153" s="853" t="n"/>
      <c r="G153" s="862" t="n"/>
      <c r="H153" s="852" t="n"/>
      <c r="I153" s="862" t="n"/>
      <c r="J153" s="852" t="n"/>
      <c r="K153" s="862" t="n"/>
      <c r="L153" s="914" t="n"/>
      <c r="M153" s="859" t="n"/>
      <c r="N153" s="853" t="n"/>
      <c r="O153" s="859" t="n"/>
      <c r="P153" s="864" t="n"/>
      <c r="Q153" s="830" t="n"/>
      <c r="R153" s="832" t="n"/>
      <c r="S153" s="326" t="inlineStr">
        <is>
          <t>표적항암약물</t>
        </is>
      </c>
      <c r="T153" s="959">
        <f>T90+C153+E153+G153+I153+K153+M153+O153</f>
        <v/>
      </c>
    </row>
    <row r="154" ht="14.1" customHeight="1" s="797" thickBot="1">
      <c r="A154" s="832" t="n"/>
      <c r="B154" s="557" t="inlineStr">
        <is>
          <t>면역항암약물</t>
        </is>
      </c>
      <c r="C154" s="847" t="n"/>
      <c r="D154" s="848" t="n"/>
      <c r="E154" s="847" t="n"/>
      <c r="F154" s="871" t="n"/>
      <c r="G154" s="847" t="n"/>
      <c r="H154" s="852" t="n"/>
      <c r="I154" s="847" t="n"/>
      <c r="J154" s="852" t="n"/>
      <c r="K154" s="847" t="n"/>
      <c r="L154" s="914" t="n"/>
      <c r="M154" s="847" t="n"/>
      <c r="N154" s="853" t="n"/>
      <c r="O154" s="845" t="n"/>
      <c r="P154" s="846" t="n"/>
      <c r="Q154" s="830" t="n"/>
      <c r="R154" s="832" t="n"/>
      <c r="S154" s="327" t="inlineStr">
        <is>
          <t>면역항암약물</t>
        </is>
      </c>
      <c r="T154" s="963">
        <f>T91+C154+E154+G154+I154+K154+M154+O154</f>
        <v/>
      </c>
    </row>
    <row r="155" ht="14.1" customHeight="1" s="797">
      <c r="A155" s="628" t="inlineStr">
        <is>
          <t>2대
질병</t>
        </is>
      </c>
      <c r="B155" s="461" t="inlineStr">
        <is>
          <t>뇌혈관진단</t>
        </is>
      </c>
      <c r="C155" s="838" t="n"/>
      <c r="D155" s="829" t="n"/>
      <c r="E155" s="838" t="n"/>
      <c r="F155" s="880" t="n"/>
      <c r="G155" s="838" t="n"/>
      <c r="H155" s="880" t="n"/>
      <c r="I155" s="838" t="n"/>
      <c r="J155" s="880" t="n"/>
      <c r="K155" s="838" t="n"/>
      <c r="L155" s="913" t="n"/>
      <c r="M155" s="828" t="n"/>
      <c r="N155" s="829" t="n"/>
      <c r="O155" s="836" t="n"/>
      <c r="P155" s="827" t="n"/>
      <c r="Q155" s="830" t="n"/>
      <c r="R155" s="630" t="inlineStr">
        <is>
          <t>2대
질병</t>
        </is>
      </c>
      <c r="S155" s="379" t="inlineStr">
        <is>
          <t>뇌혈관</t>
        </is>
      </c>
      <c r="T155" s="957">
        <f>T92+C155+E155+G155+I155+K155+M155+O155</f>
        <v/>
      </c>
    </row>
    <row r="156" ht="14.1" customHeight="1" s="797">
      <c r="A156" s="832" t="n"/>
      <c r="B156" s="462" t="inlineStr">
        <is>
          <t>뇌졸증진단</t>
        </is>
      </c>
      <c r="C156" s="838" t="n"/>
      <c r="D156" s="853" t="n"/>
      <c r="E156" s="856" t="n"/>
      <c r="F156" s="852" t="n"/>
      <c r="G156" s="838" t="n"/>
      <c r="H156" s="852" t="n"/>
      <c r="I156" s="838" t="n"/>
      <c r="J156" s="852" t="n"/>
      <c r="K156" s="838" t="n"/>
      <c r="L156" s="914" t="n"/>
      <c r="M156" s="856" t="n"/>
      <c r="N156" s="853" t="n"/>
      <c r="O156" s="836" t="n"/>
      <c r="P156" s="857" t="n"/>
      <c r="Q156" s="830" t="n"/>
      <c r="R156" s="832" t="n"/>
      <c r="S156" s="380" t="inlineStr">
        <is>
          <t>뇌졸증</t>
        </is>
      </c>
      <c r="T156" s="959">
        <f>T93+C156+E156+G156+I156+K156+M156+O156</f>
        <v/>
      </c>
    </row>
    <row r="157" ht="14.1" customHeight="1" s="797" thickBot="1">
      <c r="A157" s="832" t="n"/>
      <c r="B157" s="463" t="inlineStr">
        <is>
          <t>뇌출혈진단</t>
        </is>
      </c>
      <c r="C157" s="859" t="n"/>
      <c r="D157" s="860" t="n"/>
      <c r="E157" s="859" t="n"/>
      <c r="F157" s="863" t="n"/>
      <c r="G157" s="859" t="n"/>
      <c r="H157" s="863" t="n"/>
      <c r="I157" s="859" t="n"/>
      <c r="J157" s="863" t="n"/>
      <c r="K157" s="859" t="n"/>
      <c r="L157" s="915" t="n"/>
      <c r="M157" s="859" t="n"/>
      <c r="N157" s="860" t="n"/>
      <c r="O157" s="883" t="n"/>
      <c r="P157" s="864" t="n"/>
      <c r="Q157" s="830" t="n"/>
      <c r="R157" s="832" t="n"/>
      <c r="S157" s="381" t="inlineStr">
        <is>
          <t>뇌출혈</t>
        </is>
      </c>
      <c r="T157" s="963">
        <f>T94+C157+E157+G157+I157+K157+M157+O157</f>
        <v/>
      </c>
    </row>
    <row r="158" ht="14.1" customHeight="1" s="797">
      <c r="A158" s="832" t="n"/>
      <c r="B158" s="461" t="inlineStr">
        <is>
          <t>심장질환진단</t>
        </is>
      </c>
      <c r="C158" s="828" t="n"/>
      <c r="D158" s="829" t="n"/>
      <c r="E158" s="828" t="n"/>
      <c r="F158" s="880" t="n"/>
      <c r="G158" s="828" t="n"/>
      <c r="H158" s="880" t="n"/>
      <c r="I158" s="828" t="n"/>
      <c r="J158" s="880" t="n"/>
      <c r="K158" s="828" t="n"/>
      <c r="L158" s="913" t="n"/>
      <c r="M158" s="828" t="n"/>
      <c r="N158" s="829" t="n"/>
      <c r="O158" s="826" t="n"/>
      <c r="P158" s="827" t="n"/>
      <c r="Q158" s="830" t="n"/>
      <c r="R158" s="832" t="n"/>
      <c r="S158" s="358" t="inlineStr">
        <is>
          <t>심장질환</t>
        </is>
      </c>
      <c r="T158" s="957">
        <f>T95+C158+E158+G158+I158+K158+M158+O158</f>
        <v/>
      </c>
    </row>
    <row r="159" ht="14.1" customHeight="1" s="797">
      <c r="A159" s="832" t="n"/>
      <c r="B159" s="488" t="inlineStr">
        <is>
          <t>허혈성심장진단</t>
        </is>
      </c>
      <c r="C159" s="838" t="n"/>
      <c r="D159" s="853" t="n"/>
      <c r="E159" s="838" t="n"/>
      <c r="F159" s="852" t="n"/>
      <c r="G159" s="838" t="n"/>
      <c r="H159" s="852" t="n"/>
      <c r="I159" s="838" t="n"/>
      <c r="J159" s="852" t="n"/>
      <c r="K159" s="838" t="n"/>
      <c r="L159" s="914" t="n"/>
      <c r="M159" s="838" t="n"/>
      <c r="N159" s="853" t="n"/>
      <c r="O159" s="836" t="n"/>
      <c r="P159" s="857" t="n"/>
      <c r="Q159" s="830" t="n"/>
      <c r="R159" s="832" t="n"/>
      <c r="S159" s="359" t="inlineStr">
        <is>
          <t>허혈성심장</t>
        </is>
      </c>
      <c r="T159" s="959">
        <f>T96+C159+E159+G159+I159+K159+M159+O159</f>
        <v/>
      </c>
    </row>
    <row r="160" ht="14.1" customHeight="1" s="797" thickBot="1">
      <c r="A160" s="832" t="n"/>
      <c r="B160" s="489" t="inlineStr">
        <is>
          <t>급성심근경색진단</t>
        </is>
      </c>
      <c r="C160" s="847" t="n"/>
      <c r="D160" s="848" t="n"/>
      <c r="E160" s="847" t="n"/>
      <c r="F160" s="885" t="n"/>
      <c r="G160" s="847" t="n"/>
      <c r="H160" s="885" t="n"/>
      <c r="I160" s="847" t="n"/>
      <c r="J160" s="885" t="n"/>
      <c r="K160" s="847" t="n"/>
      <c r="L160" s="891" t="n"/>
      <c r="M160" s="847" t="n"/>
      <c r="N160" s="848" t="n"/>
      <c r="O160" s="845" t="n"/>
      <c r="P160" s="887" t="n"/>
      <c r="Q160" s="830" t="n"/>
      <c r="R160" s="832" t="n"/>
      <c r="S160" s="360" t="inlineStr">
        <is>
          <t>급성심근경색</t>
        </is>
      </c>
      <c r="T160" s="963">
        <f>T97+C160+E160+G160+I160+K160+M160+O160</f>
        <v/>
      </c>
    </row>
    <row r="161" ht="14.1" customHeight="1" s="797">
      <c r="A161" s="832" t="n"/>
      <c r="B161" s="461" t="inlineStr">
        <is>
          <t>수술/시술비</t>
        </is>
      </c>
      <c r="C161" s="828" t="n"/>
      <c r="D161" s="829" t="n"/>
      <c r="E161" s="828" t="n"/>
      <c r="F161" s="880" t="n"/>
      <c r="G161" s="828" t="n"/>
      <c r="H161" s="880" t="n"/>
      <c r="I161" s="828" t="n"/>
      <c r="J161" s="880" t="n"/>
      <c r="K161" s="828" t="n"/>
      <c r="L161" s="913" t="n"/>
      <c r="M161" s="828" t="n"/>
      <c r="N161" s="829" t="n"/>
      <c r="O161" s="826" t="n"/>
      <c r="P161" s="827" t="n"/>
      <c r="Q161" s="830" t="n"/>
      <c r="R161" s="832" t="n"/>
      <c r="S161" s="361" t="inlineStr">
        <is>
          <t>수술비</t>
        </is>
      </c>
      <c r="T161" s="957">
        <f>T98+C161+E161+G161+I161+K161+M161+O161</f>
        <v/>
      </c>
    </row>
    <row r="162" ht="14.1" customHeight="1" s="797">
      <c r="A162" s="832" t="n"/>
      <c r="B162" s="488" t="inlineStr">
        <is>
          <t>혈전용해치료</t>
        </is>
      </c>
      <c r="C162" s="838" t="n"/>
      <c r="D162" s="853" t="n"/>
      <c r="E162" s="838" t="n"/>
      <c r="F162" s="852" t="n"/>
      <c r="G162" s="838" t="n"/>
      <c r="H162" s="852" t="n"/>
      <c r="I162" s="838" t="n"/>
      <c r="J162" s="852" t="n"/>
      <c r="K162" s="838" t="n"/>
      <c r="L162" s="914" t="n"/>
      <c r="M162" s="838" t="n"/>
      <c r="N162" s="853" t="n"/>
      <c r="O162" s="836" t="n"/>
      <c r="P162" s="857" t="n"/>
      <c r="Q162" s="830" t="n"/>
      <c r="R162" s="832" t="n"/>
      <c r="S162" s="362" t="inlineStr">
        <is>
          <t>혈전용해치료</t>
        </is>
      </c>
      <c r="T162" s="959">
        <f>T99+C162+E162+G162+I162+K162+M162+O162</f>
        <v/>
      </c>
    </row>
    <row r="163" ht="14.1" customHeight="1" s="797" thickBot="1">
      <c r="A163" s="832" t="n"/>
      <c r="B163" s="489" t="inlineStr">
        <is>
          <t>혈전제거치료</t>
        </is>
      </c>
      <c r="C163" s="847" t="n"/>
      <c r="D163" s="848" t="n"/>
      <c r="E163" s="847" t="n"/>
      <c r="F163" s="885" t="n"/>
      <c r="G163" s="847" t="n"/>
      <c r="H163" s="885" t="n"/>
      <c r="I163" s="847" t="n"/>
      <c r="J163" s="885" t="n"/>
      <c r="K163" s="847" t="n"/>
      <c r="L163" s="891" t="n"/>
      <c r="M163" s="847" t="n"/>
      <c r="N163" s="848" t="n"/>
      <c r="O163" s="845" t="n"/>
      <c r="P163" s="887" t="n"/>
      <c r="Q163" s="830" t="n"/>
      <c r="R163" s="832" t="n"/>
      <c r="S163" s="363" t="inlineStr">
        <is>
          <t>중환자실치료</t>
        </is>
      </c>
      <c r="T163" s="963">
        <f>T100+C163+E163+G163+I163+K163+M163+O163</f>
        <v/>
      </c>
    </row>
    <row r="164" ht="14.1" customHeight="1" s="797">
      <c r="A164" s="892" t="inlineStr">
        <is>
          <t>후유장해</t>
        </is>
      </c>
      <c r="B164" s="464" t="inlineStr">
        <is>
          <t>질병 80% 이상</t>
        </is>
      </c>
      <c r="C164" s="828" t="n"/>
      <c r="D164" s="966" t="n"/>
      <c r="E164" s="828" t="n"/>
      <c r="F164" s="880" t="n"/>
      <c r="G164" s="828" t="n"/>
      <c r="H164" s="880" t="n"/>
      <c r="I164" s="828" t="n"/>
      <c r="J164" s="880" t="n"/>
      <c r="K164" s="828" t="n"/>
      <c r="L164" s="913" t="n"/>
      <c r="M164" s="828" t="n"/>
      <c r="N164" s="829" t="n"/>
      <c r="O164" s="826" t="n"/>
      <c r="P164" s="827" t="n"/>
      <c r="Q164" s="830" t="n"/>
      <c r="R164" s="892" t="inlineStr">
        <is>
          <t>후유장해</t>
        </is>
      </c>
      <c r="S164" s="364" t="inlineStr">
        <is>
          <t>질병 80% 이상</t>
        </is>
      </c>
      <c r="T164" s="957">
        <f>T101+C164+E164+G164+I164+K164+M164+O164</f>
        <v/>
      </c>
    </row>
    <row r="165" ht="14.1" customHeight="1" s="797">
      <c r="A165" s="832" t="n"/>
      <c r="B165" s="465" t="inlineStr">
        <is>
          <t>질병 3% ~80%</t>
        </is>
      </c>
      <c r="C165" s="838" t="n"/>
      <c r="D165" s="967" t="n"/>
      <c r="E165" s="838" t="n"/>
      <c r="F165" s="931" t="n"/>
      <c r="G165" s="838" t="n"/>
      <c r="H165" s="894" t="n"/>
      <c r="I165" s="838" t="n"/>
      <c r="J165" s="894" t="n"/>
      <c r="K165" s="838" t="n"/>
      <c r="L165" s="968" t="n"/>
      <c r="M165" s="838" t="n"/>
      <c r="N165" s="839" t="n"/>
      <c r="O165" s="836" t="n"/>
      <c r="P165" s="837" t="n"/>
      <c r="Q165" s="830" t="n"/>
      <c r="R165" s="832" t="n"/>
      <c r="S165" s="365" t="inlineStr">
        <is>
          <t>질병 3% ~80%</t>
        </is>
      </c>
      <c r="T165" s="959">
        <f>T102+C165+E165+G165+I165+K165+M165+O165</f>
        <v/>
      </c>
    </row>
    <row r="166" ht="14.1" customHeight="1" s="797">
      <c r="A166" s="832" t="n"/>
      <c r="B166" s="465" t="inlineStr">
        <is>
          <t>상해 80% 이상</t>
        </is>
      </c>
      <c r="C166" s="838" t="n"/>
      <c r="D166" s="902" t="n"/>
      <c r="E166" s="838" t="n"/>
      <c r="F166" s="902" t="n"/>
      <c r="G166" s="838" t="n"/>
      <c r="H166" s="839" t="n"/>
      <c r="I166" s="838" t="n"/>
      <c r="J166" s="839" t="n"/>
      <c r="K166" s="838" t="n"/>
      <c r="L166" s="968" t="n"/>
      <c r="M166" s="838" t="n"/>
      <c r="N166" s="839" t="n"/>
      <c r="O166" s="836" t="n"/>
      <c r="P166" s="837" t="n"/>
      <c r="Q166" s="830" t="n"/>
      <c r="R166" s="832" t="n"/>
      <c r="S166" s="365" t="inlineStr">
        <is>
          <t>상해 80% 이상</t>
        </is>
      </c>
      <c r="T166" s="959">
        <f>T103+C166+E166+G166+I166+K166+M166+O166</f>
        <v/>
      </c>
    </row>
    <row r="167" ht="14.1" customHeight="1" s="797" thickBot="1">
      <c r="A167" s="841" t="n"/>
      <c r="B167" s="466" t="inlineStr">
        <is>
          <t>상해 3% ~ 80%</t>
        </is>
      </c>
      <c r="C167" s="847" t="n"/>
      <c r="D167" s="899" t="n"/>
      <c r="E167" s="847" t="n"/>
      <c r="F167" s="899" t="n"/>
      <c r="G167" s="838" t="n"/>
      <c r="H167" s="848" t="n"/>
      <c r="I167" s="838" t="n"/>
      <c r="J167" s="848" t="n"/>
      <c r="K167" s="838" t="n"/>
      <c r="L167" s="891" t="n"/>
      <c r="M167" s="847" t="n"/>
      <c r="N167" s="848" t="n"/>
      <c r="O167" s="845" t="n"/>
      <c r="P167" s="846" t="n"/>
      <c r="Q167" s="830" t="n"/>
      <c r="R167" s="841" t="n"/>
      <c r="S167" s="366" t="inlineStr">
        <is>
          <t>상해 3% ~ 80%</t>
        </is>
      </c>
      <c r="T167" s="963">
        <f>T104+C167+E167+G167+I167+K167+M167+O167</f>
        <v/>
      </c>
    </row>
    <row r="168" ht="14.1" customHeight="1" s="797">
      <c r="A168" s="897" t="inlineStr">
        <is>
          <t>사망</t>
        </is>
      </c>
      <c r="B168" s="467" t="inlineStr">
        <is>
          <t>일반</t>
        </is>
      </c>
      <c r="C168" s="856" t="n"/>
      <c r="D168" s="939" t="n"/>
      <c r="E168" s="828" t="n"/>
      <c r="F168" s="880" t="n"/>
      <c r="G168" s="828" t="n"/>
      <c r="H168" s="829" t="n"/>
      <c r="I168" s="828" t="n"/>
      <c r="J168" s="829" t="n"/>
      <c r="K168" s="828" t="n"/>
      <c r="L168" s="913" t="n"/>
      <c r="M168" s="828" t="n"/>
      <c r="N168" s="829" t="n"/>
      <c r="O168" s="826" t="n"/>
      <c r="P168" s="827" t="n"/>
      <c r="Q168" s="830" t="n"/>
      <c r="R168" s="897" t="inlineStr">
        <is>
          <t>사망</t>
        </is>
      </c>
      <c r="S168" s="367" t="inlineStr">
        <is>
          <t>일반</t>
        </is>
      </c>
      <c r="T168" s="957">
        <f>T105+C168+E168+G168+I168+K168+M168+O168</f>
        <v/>
      </c>
    </row>
    <row r="169" ht="14.1" customHeight="1" s="797">
      <c r="A169" s="832" t="n"/>
      <c r="B169" s="468" t="inlineStr">
        <is>
          <t>질병</t>
        </is>
      </c>
      <c r="C169" s="838" t="n"/>
      <c r="D169" s="931" t="n"/>
      <c r="E169" s="838" t="n"/>
      <c r="F169" s="894" t="n"/>
      <c r="G169" s="838" t="n"/>
      <c r="H169" s="839" t="n"/>
      <c r="I169" s="838" t="n"/>
      <c r="J169" s="839" t="n"/>
      <c r="K169" s="838" t="n"/>
      <c r="L169" s="968" t="n"/>
      <c r="M169" s="838" t="n"/>
      <c r="N169" s="839" t="n"/>
      <c r="O169" s="836" t="n"/>
      <c r="P169" s="837" t="n"/>
      <c r="Q169" s="830" t="n"/>
      <c r="R169" s="832" t="n"/>
      <c r="S169" s="368" t="inlineStr">
        <is>
          <t>질병</t>
        </is>
      </c>
      <c r="T169" s="959">
        <f>T106+C169+E169+G169+I169+K169+M169+O169</f>
        <v/>
      </c>
    </row>
    <row r="170" ht="14.1" customHeight="1" s="797" thickBot="1">
      <c r="A170" s="841" t="n"/>
      <c r="B170" s="469" t="inlineStr">
        <is>
          <t>상해</t>
        </is>
      </c>
      <c r="C170" s="847" t="n"/>
      <c r="D170" s="900" t="n"/>
      <c r="E170" s="847" t="n"/>
      <c r="F170" s="885" t="n"/>
      <c r="G170" s="847" t="n"/>
      <c r="H170" s="848" t="n"/>
      <c r="I170" s="847" t="n"/>
      <c r="J170" s="848" t="n"/>
      <c r="K170" s="847" t="n"/>
      <c r="L170" s="891" t="n"/>
      <c r="M170" s="847" t="n"/>
      <c r="N170" s="848" t="n"/>
      <c r="O170" s="901" t="n"/>
      <c r="P170" s="857" t="n"/>
      <c r="Q170" s="830" t="n"/>
      <c r="R170" s="841" t="n"/>
      <c r="S170" s="369" t="inlineStr">
        <is>
          <t>상해</t>
        </is>
      </c>
      <c r="T170" s="963">
        <f>T107+C170+E170+G170+I170+K170+M170+O170</f>
        <v/>
      </c>
    </row>
    <row r="171" ht="14.1" customHeight="1" s="797">
      <c r="A171" s="617" t="inlineStr">
        <is>
          <t>수술비</t>
        </is>
      </c>
      <c r="B171" s="470" t="inlineStr">
        <is>
          <t>질병</t>
        </is>
      </c>
      <c r="C171" s="828" t="n"/>
      <c r="D171" s="908" t="n"/>
      <c r="E171" s="828" t="n"/>
      <c r="F171" s="852" t="n"/>
      <c r="G171" s="828" t="n"/>
      <c r="H171" s="853" t="n"/>
      <c r="I171" s="828" t="n"/>
      <c r="J171" s="853" t="n"/>
      <c r="K171" s="828" t="n"/>
      <c r="L171" s="913" t="n"/>
      <c r="M171" s="856" t="n"/>
      <c r="N171" s="853" t="n"/>
      <c r="O171" s="826" t="n"/>
      <c r="P171" s="827" t="n"/>
      <c r="Q171" s="830" t="n"/>
      <c r="R171" s="617" t="inlineStr">
        <is>
          <t>수술비</t>
        </is>
      </c>
      <c r="S171" s="480" t="inlineStr">
        <is>
          <t>질병</t>
        </is>
      </c>
      <c r="T171" s="957">
        <f>T108+C171+E171+G171+I171+K171+M171+O171</f>
        <v/>
      </c>
    </row>
    <row r="172" ht="14.1" customHeight="1" s="797">
      <c r="A172" s="832" t="n"/>
      <c r="B172" s="470" t="inlineStr">
        <is>
          <t>상해</t>
        </is>
      </c>
      <c r="C172" s="838" t="n"/>
      <c r="D172" s="902" t="n"/>
      <c r="E172" s="838" t="n"/>
      <c r="F172" s="894" t="n"/>
      <c r="G172" s="838" t="n"/>
      <c r="H172" s="839" t="n"/>
      <c r="I172" s="838" t="n"/>
      <c r="J172" s="839" t="n"/>
      <c r="K172" s="838" t="n"/>
      <c r="L172" s="968" t="n"/>
      <c r="M172" s="838" t="n"/>
      <c r="N172" s="853" t="n"/>
      <c r="O172" s="836" t="n"/>
      <c r="P172" s="837" t="n"/>
      <c r="Q172" s="830" t="n"/>
      <c r="R172" s="832" t="n"/>
      <c r="S172" s="480" t="inlineStr">
        <is>
          <t>상해</t>
        </is>
      </c>
      <c r="T172" s="959">
        <f>T109+C172+E172+G172+I172+K172+M172+O172</f>
        <v/>
      </c>
    </row>
    <row r="173" ht="14.1" customHeight="1" s="797">
      <c r="A173" s="832" t="n"/>
      <c r="B173" s="470" t="inlineStr">
        <is>
          <t>1-5종</t>
        </is>
      </c>
      <c r="C173" s="838" t="n"/>
      <c r="D173" s="902" t="n"/>
      <c r="E173" s="838" t="n"/>
      <c r="F173" s="852" t="n"/>
      <c r="G173" s="838" t="n"/>
      <c r="H173" s="853" t="n"/>
      <c r="I173" s="838" t="n"/>
      <c r="J173" s="853" t="n"/>
      <c r="K173" s="838" t="n"/>
      <c r="L173" s="914" t="n"/>
      <c r="M173" s="838" t="n"/>
      <c r="N173" s="853" t="n"/>
      <c r="O173" s="836" t="n"/>
      <c r="P173" s="837" t="n"/>
      <c r="Q173" s="830" t="n"/>
      <c r="R173" s="832" t="n"/>
      <c r="S173" s="480" t="inlineStr">
        <is>
          <t>1-5종</t>
        </is>
      </c>
      <c r="T173" s="959">
        <f>T110+C173+E173+G173+I173+K173+M173+O173</f>
        <v/>
      </c>
    </row>
    <row r="174" ht="14.1" customHeight="1" s="797" thickBot="1">
      <c r="A174" s="832" t="n"/>
      <c r="B174" s="471" t="inlineStr">
        <is>
          <t>N대질병</t>
        </is>
      </c>
      <c r="C174" s="862" t="n"/>
      <c r="D174" s="899" t="n"/>
      <c r="E174" s="862" t="n"/>
      <c r="F174" s="863" t="n"/>
      <c r="G174" s="862" t="n"/>
      <c r="H174" s="860" t="n"/>
      <c r="I174" s="862" t="n"/>
      <c r="J174" s="860" t="n"/>
      <c r="K174" s="862" t="n"/>
      <c r="L174" s="969" t="n"/>
      <c r="M174" s="862" t="n"/>
      <c r="N174" s="905" t="n"/>
      <c r="O174" s="907" t="n"/>
      <c r="P174" s="887" t="n"/>
      <c r="Q174" s="830" t="n"/>
      <c r="R174" s="832" t="n"/>
      <c r="S174" s="513" t="inlineStr">
        <is>
          <t>N대질병</t>
        </is>
      </c>
      <c r="T174" s="963">
        <f>T111+C174+E174+G174+I174+K174+M174+O174</f>
        <v/>
      </c>
    </row>
    <row r="175" ht="14.1" customHeight="1" s="797">
      <c r="A175" s="603" t="inlineStr">
        <is>
          <t>상해진단</t>
        </is>
      </c>
      <c r="B175" s="472" t="inlineStr">
        <is>
          <t>골절</t>
        </is>
      </c>
      <c r="C175" s="828" t="n"/>
      <c r="D175" s="908" t="n"/>
      <c r="E175" s="828" t="n"/>
      <c r="F175" s="880" t="n"/>
      <c r="G175" s="828" t="n"/>
      <c r="H175" s="829" t="n"/>
      <c r="I175" s="828" t="n"/>
      <c r="J175" s="829" t="n"/>
      <c r="K175" s="828" t="n"/>
      <c r="L175" s="913" t="n"/>
      <c r="M175" s="828" t="n"/>
      <c r="N175" s="829" t="n"/>
      <c r="O175" s="826" t="n"/>
      <c r="P175" s="827" t="n"/>
      <c r="Q175" s="830" t="n"/>
      <c r="R175" s="603" t="inlineStr">
        <is>
          <t>상해진단</t>
        </is>
      </c>
      <c r="S175" s="483" t="inlineStr">
        <is>
          <t>골절</t>
        </is>
      </c>
      <c r="T175" s="957">
        <f>T112+C175+E175+G175+I175+K175+M175+O175</f>
        <v/>
      </c>
    </row>
    <row r="176" ht="14.1" customHeight="1" s="797" thickBot="1">
      <c r="A176" s="832" t="n"/>
      <c r="B176" s="482" t="inlineStr">
        <is>
          <t>화상</t>
        </is>
      </c>
      <c r="C176" s="909" t="n"/>
      <c r="D176" s="970" t="n"/>
      <c r="E176" s="909" t="n"/>
      <c r="F176" s="885" t="n"/>
      <c r="G176" s="909" t="n"/>
      <c r="H176" s="848" t="n"/>
      <c r="I176" s="909" t="n"/>
      <c r="J176" s="848" t="n"/>
      <c r="K176" s="909" t="n"/>
      <c r="L176" s="916" t="n"/>
      <c r="M176" s="909" t="n"/>
      <c r="N176" s="877" t="n"/>
      <c r="O176" s="911" t="n"/>
      <c r="P176" s="846" t="n"/>
      <c r="Q176" s="830" t="n"/>
      <c r="R176" s="832" t="n"/>
      <c r="S176" s="503" t="inlineStr">
        <is>
          <t>화상</t>
        </is>
      </c>
      <c r="T176" s="963">
        <f>T113+C176+E176+G176+I176+K176+M176+O176</f>
        <v/>
      </c>
    </row>
    <row r="177" ht="14.1" customHeight="1" s="797">
      <c r="A177" s="605" t="inlineStr">
        <is>
          <t>입원비</t>
        </is>
      </c>
      <c r="B177" s="484" t="inlineStr">
        <is>
          <t>질병</t>
        </is>
      </c>
      <c r="C177" s="859" t="n"/>
      <c r="D177" s="971" t="n"/>
      <c r="E177" s="859" t="n"/>
      <c r="F177" s="863" t="n"/>
      <c r="G177" s="859" t="n"/>
      <c r="H177" s="860" t="n"/>
      <c r="I177" s="859" t="n"/>
      <c r="J177" s="860" t="n"/>
      <c r="K177" s="859" t="n"/>
      <c r="L177" s="915" t="n"/>
      <c r="M177" s="859" t="n"/>
      <c r="N177" s="860" t="n"/>
      <c r="O177" s="883" t="n"/>
      <c r="P177" s="864" t="n"/>
      <c r="Q177" s="830" t="n"/>
      <c r="R177" s="605" t="inlineStr">
        <is>
          <t>입원비</t>
        </is>
      </c>
      <c r="S177" s="486" t="inlineStr">
        <is>
          <t>질병</t>
        </is>
      </c>
      <c r="T177" s="957">
        <f>T114+C177+E177+G177+I177+K177+M177+O177</f>
        <v/>
      </c>
    </row>
    <row r="178" ht="14.1" customHeight="1" s="797" thickBot="1">
      <c r="A178" s="912" t="n"/>
      <c r="B178" s="485" t="inlineStr">
        <is>
          <t>상해</t>
        </is>
      </c>
      <c r="C178" s="859" t="n"/>
      <c r="D178" s="971" t="n"/>
      <c r="E178" s="859" t="n"/>
      <c r="F178" s="863" t="n"/>
      <c r="G178" s="859" t="n"/>
      <c r="H178" s="860" t="n"/>
      <c r="I178" s="859" t="n"/>
      <c r="J178" s="860" t="n"/>
      <c r="K178" s="859" t="n"/>
      <c r="L178" s="915" t="n"/>
      <c r="M178" s="859" t="n"/>
      <c r="N178" s="860" t="n"/>
      <c r="O178" s="883" t="n"/>
      <c r="P178" s="864" t="n"/>
      <c r="Q178" s="830" t="n"/>
      <c r="R178" s="912" t="n"/>
      <c r="S178" s="559" t="inlineStr">
        <is>
          <t>상해</t>
        </is>
      </c>
      <c r="T178" s="963">
        <f>T115+C178+E178+G178+I178+K178+M178+O178</f>
        <v/>
      </c>
    </row>
    <row r="179" ht="14.1" customHeight="1" s="797">
      <c r="A179" s="609" t="inlineStr">
        <is>
          <t>간병인</t>
        </is>
      </c>
      <c r="B179" s="473" t="inlineStr">
        <is>
          <t>병원사용</t>
        </is>
      </c>
      <c r="C179" s="828" t="n"/>
      <c r="D179" s="966" t="n"/>
      <c r="E179" s="828" t="n"/>
      <c r="F179" s="880" t="n"/>
      <c r="G179" s="828" t="n"/>
      <c r="H179" s="913" t="n"/>
      <c r="I179" s="828" t="n"/>
      <c r="J179" s="829" t="n"/>
      <c r="K179" s="828" t="n"/>
      <c r="L179" s="913" t="n"/>
      <c r="M179" s="828" t="n"/>
      <c r="N179" s="829" t="n"/>
      <c r="O179" s="826" t="n"/>
      <c r="P179" s="827" t="n"/>
      <c r="Q179" s="830" t="n"/>
      <c r="R179" s="973" t="inlineStr">
        <is>
          <t>간병인</t>
        </is>
      </c>
      <c r="S179" s="562" t="inlineStr">
        <is>
          <t>병원사용</t>
        </is>
      </c>
      <c r="T179" s="957">
        <f>T116+C179+E179+G179+I179+K179+M179+O179</f>
        <v/>
      </c>
    </row>
    <row r="180" ht="14.1" customHeight="1" s="797">
      <c r="A180" s="832" t="n"/>
      <c r="B180" s="474" t="inlineStr">
        <is>
          <t>요양병원사용</t>
        </is>
      </c>
      <c r="C180" s="859" t="n"/>
      <c r="D180" s="971" t="n"/>
      <c r="E180" s="859" t="n"/>
      <c r="F180" s="852" t="n"/>
      <c r="G180" s="859" t="n"/>
      <c r="H180" s="914" t="n"/>
      <c r="I180" s="859" t="n"/>
      <c r="J180" s="853" t="n"/>
      <c r="K180" s="859" t="n"/>
      <c r="L180" s="915" t="n"/>
      <c r="M180" s="859" t="n"/>
      <c r="N180" s="860" t="n"/>
      <c r="O180" s="883" t="n"/>
      <c r="P180" s="864" t="n"/>
      <c r="Q180" s="830" t="n"/>
      <c r="R180" s="832" t="n"/>
      <c r="S180" s="504" t="inlineStr">
        <is>
          <t>요양병원사용</t>
        </is>
      </c>
      <c r="T180" s="959">
        <f>T117+C180+E180+G180+I180+K180+M180+O180</f>
        <v/>
      </c>
    </row>
    <row r="181" ht="14.1" customHeight="1" s="797" thickBot="1">
      <c r="A181" s="841" t="n"/>
      <c r="B181" s="475" t="inlineStr">
        <is>
          <t>간호간병통합사용</t>
        </is>
      </c>
      <c r="C181" s="847" t="n"/>
      <c r="D181" s="974" t="n"/>
      <c r="E181" s="847" t="n"/>
      <c r="F181" s="852" t="n"/>
      <c r="G181" s="847" t="n"/>
      <c r="H181" s="914" t="n"/>
      <c r="I181" s="847" t="n"/>
      <c r="J181" s="853" t="n"/>
      <c r="K181" s="847" t="n"/>
      <c r="L181" s="891" t="n"/>
      <c r="M181" s="847" t="n"/>
      <c r="N181" s="848" t="n"/>
      <c r="O181" s="845" t="n"/>
      <c r="P181" s="846" t="n"/>
      <c r="Q181" s="830" t="n"/>
      <c r="R181" s="841" t="n"/>
      <c r="S181" s="505" t="inlineStr">
        <is>
          <t>간호간병통합사용</t>
        </is>
      </c>
      <c r="T181" s="963">
        <f>T118+C181+E181+G181+I181+K181+M181+O181</f>
        <v/>
      </c>
    </row>
    <row r="182" ht="14.1" customHeight="1" s="797">
      <c r="A182" s="917" t="inlineStr">
        <is>
          <t>운전자</t>
        </is>
      </c>
      <c r="B182" s="476" t="inlineStr">
        <is>
          <t>벌금</t>
        </is>
      </c>
      <c r="C182" s="828" t="n"/>
      <c r="D182" s="975" t="n"/>
      <c r="E182" s="826" t="n"/>
      <c r="F182" s="880" t="n"/>
      <c r="G182" s="828" t="n"/>
      <c r="H182" s="913" t="n"/>
      <c r="I182" s="828" t="n"/>
      <c r="J182" s="829" t="n"/>
      <c r="K182" s="828" t="n"/>
      <c r="L182" s="913" t="n"/>
      <c r="M182" s="828" t="n"/>
      <c r="N182" s="829" t="n"/>
      <c r="O182" s="836" t="n"/>
      <c r="P182" s="827" t="n"/>
      <c r="Q182" s="830" t="n"/>
      <c r="R182" s="917" t="inlineStr">
        <is>
          <t>운전자</t>
        </is>
      </c>
      <c r="S182" s="377" t="inlineStr">
        <is>
          <t>벌금</t>
        </is>
      </c>
      <c r="T182" s="957">
        <f>T119+C182+E182+G182+I182+K182+M182+O182</f>
        <v/>
      </c>
    </row>
    <row r="183" ht="14.1" customHeight="1" s="797">
      <c r="A183" s="832" t="n"/>
      <c r="B183" s="476" t="inlineStr">
        <is>
          <t>변호사선임</t>
        </is>
      </c>
      <c r="C183" s="838" t="n"/>
      <c r="D183" s="976" t="n"/>
      <c r="E183" s="836" t="n"/>
      <c r="F183" s="894" t="n"/>
      <c r="G183" s="838" t="n"/>
      <c r="H183" s="968" t="n"/>
      <c r="I183" s="838" t="n"/>
      <c r="J183" s="443" t="n"/>
      <c r="K183" s="838" t="n"/>
      <c r="L183" s="968" t="n"/>
      <c r="M183" s="838" t="n"/>
      <c r="N183" s="839" t="n"/>
      <c r="O183" s="836" t="n"/>
      <c r="P183" s="837" t="n"/>
      <c r="Q183" s="830" t="n"/>
      <c r="R183" s="832" t="n"/>
      <c r="S183" s="377" t="inlineStr">
        <is>
          <t>변호사선임</t>
        </is>
      </c>
      <c r="T183" s="959">
        <f>T120+C183+E183+G183+I183+K183+M183+O183</f>
        <v/>
      </c>
    </row>
    <row r="184" ht="14.1" customHeight="1" s="797" thickBot="1">
      <c r="A184" s="841" t="n"/>
      <c r="B184" s="477" t="inlineStr">
        <is>
          <t>교통사고처리지원</t>
        </is>
      </c>
      <c r="C184" s="856" t="n"/>
      <c r="D184" s="967" t="n"/>
      <c r="E184" s="901" t="n"/>
      <c r="F184" s="852" t="n"/>
      <c r="G184" s="856" t="n"/>
      <c r="H184" s="914" t="n"/>
      <c r="I184" s="856" t="n"/>
      <c r="J184" s="839" t="n"/>
      <c r="K184" s="856" t="n"/>
      <c r="L184" s="914" t="n"/>
      <c r="M184" s="856" t="n"/>
      <c r="N184" s="853" t="n"/>
      <c r="O184" s="836" t="n"/>
      <c r="P184" s="837" t="n"/>
      <c r="Q184" s="830" t="n"/>
      <c r="R184" s="841" t="n"/>
      <c r="S184" s="378" t="inlineStr">
        <is>
          <t>교통사고처리지원</t>
        </is>
      </c>
      <c r="T184" s="963">
        <f>T121+C184+E184+G184+I184+K184+M184+O184</f>
        <v/>
      </c>
    </row>
    <row r="185" ht="14.1" customHeight="1" s="797" thickBot="1">
      <c r="A185" s="585" t="inlineStr">
        <is>
          <t>일상생활배상책임</t>
        </is>
      </c>
      <c r="B185" s="919" t="n"/>
      <c r="C185" s="920" t="n"/>
      <c r="D185" s="977" t="n"/>
      <c r="E185" s="920" t="n"/>
      <c r="F185" s="922" t="n"/>
      <c r="G185" s="920" t="n"/>
      <c r="H185" s="978" t="n"/>
      <c r="I185" s="920" t="n"/>
      <c r="J185" s="923" t="n"/>
      <c r="K185" s="920" t="n"/>
      <c r="L185" s="978" t="n"/>
      <c r="M185" s="920" t="n"/>
      <c r="N185" s="923" t="n"/>
      <c r="O185" s="925" t="n"/>
      <c r="P185" s="926" t="n"/>
      <c r="Q185" s="830" t="n"/>
      <c r="R185" s="585" t="inlineStr">
        <is>
          <t>일상생활배상책임</t>
        </is>
      </c>
      <c r="S185" s="919" t="n"/>
      <c r="T185" s="963">
        <f>T122+C185+E185+G185+I185+K185+M185+O185</f>
        <v/>
      </c>
    </row>
    <row r="186" ht="14.1" customHeight="1" s="797">
      <c r="A186" s="928" t="inlineStr">
        <is>
          <t>기타</t>
        </is>
      </c>
      <c r="B186" s="929" t="n"/>
      <c r="C186" s="930" t="n"/>
      <c r="D186" s="829" t="n"/>
      <c r="E186" s="930" t="n"/>
      <c r="F186" s="839" t="n"/>
      <c r="G186" s="930" t="n"/>
      <c r="H186" s="913" t="n"/>
      <c r="I186" s="930" t="n"/>
      <c r="J186" s="979" t="n"/>
      <c r="K186" s="938" t="n"/>
      <c r="L186" s="913" t="n"/>
      <c r="M186" s="930" t="n"/>
      <c r="N186" s="914" t="n"/>
      <c r="O186" s="930" t="n"/>
      <c r="P186" s="827" t="n"/>
      <c r="Q186" s="830" t="n"/>
      <c r="R186" s="935" t="inlineStr">
        <is>
          <t>기타</t>
        </is>
      </c>
      <c r="S186" s="980" t="n"/>
      <c r="T186" s="937" t="n"/>
    </row>
    <row r="187" ht="14.1" customHeight="1" s="797">
      <c r="A187" s="804" t="n"/>
      <c r="C187" s="938" t="n"/>
      <c r="D187" s="839" t="n"/>
      <c r="E187" s="938" t="n"/>
      <c r="F187" s="853" t="n"/>
      <c r="G187" s="938" t="n"/>
      <c r="H187" s="968" t="n"/>
      <c r="I187" s="938" t="n"/>
      <c r="J187" s="839" t="n"/>
      <c r="K187" s="454" t="n"/>
      <c r="L187" s="968" t="n"/>
      <c r="M187" s="938" t="n"/>
      <c r="N187" s="968" t="n"/>
      <c r="O187" s="938" t="n"/>
      <c r="P187" s="837" t="n"/>
      <c r="Q187" s="830" t="n"/>
      <c r="R187" s="804" t="n"/>
      <c r="S187" s="804" t="n"/>
      <c r="T187" s="805" t="n"/>
    </row>
    <row r="188" ht="14.1" customHeight="1" s="797">
      <c r="A188" s="804" t="n"/>
      <c r="C188" s="938" t="n"/>
      <c r="D188" s="839" t="n"/>
      <c r="E188" s="938" t="n"/>
      <c r="F188" s="853" t="n"/>
      <c r="G188" s="938" t="n"/>
      <c r="H188" s="968" t="n"/>
      <c r="I188" s="938" t="n"/>
      <c r="J188" s="853" t="n"/>
      <c r="K188" s="938" t="n"/>
      <c r="L188" s="839" t="n"/>
      <c r="M188" s="938" t="n"/>
      <c r="N188" s="914" t="n"/>
      <c r="O188" s="938" t="n"/>
      <c r="P188" s="837" t="n"/>
      <c r="Q188" s="830" t="n"/>
      <c r="R188" s="804" t="n"/>
      <c r="S188" s="804" t="n"/>
      <c r="T188" s="805" t="n"/>
    </row>
    <row r="189" ht="14.1" customHeight="1" s="797" thickBot="1">
      <c r="A189" s="942" t="n"/>
      <c r="B189" s="943" t="n"/>
      <c r="C189" s="944" t="n"/>
      <c r="D189" s="848" t="n"/>
      <c r="E189" s="944" t="n"/>
      <c r="F189" s="981" t="n"/>
      <c r="G189" s="944" t="n"/>
      <c r="H189" s="891" t="n"/>
      <c r="I189" s="944" t="n"/>
      <c r="J189" s="885" t="n"/>
      <c r="K189" s="944" t="n"/>
      <c r="L189" s="885" t="n"/>
      <c r="M189" s="944" t="n"/>
      <c r="N189" s="848" t="n"/>
      <c r="O189" s="944" t="n"/>
      <c r="P189" s="846" t="n"/>
      <c r="Q189" s="830" t="n"/>
      <c r="R189" s="942" t="n"/>
      <c r="S189" s="942" t="n"/>
      <c r="T189" s="946" t="n"/>
    </row>
    <row r="190" ht="21" customHeight="1" s="797">
      <c r="A190" s="947">
        <f>A127</f>
        <v/>
      </c>
      <c r="B190" s="796" t="n"/>
      <c r="C190" s="649" t="n"/>
      <c r="D190" s="794" t="n"/>
      <c r="E190" s="649" t="n"/>
      <c r="F190" s="794" t="n"/>
      <c r="G190" s="649" t="n"/>
      <c r="H190" s="794" t="n"/>
      <c r="I190" s="649" t="n"/>
      <c r="J190" s="794" t="n"/>
      <c r="K190" s="649" t="n"/>
      <c r="L190" s="794" t="n"/>
      <c r="M190" s="649" t="n"/>
      <c r="N190" s="794" t="n"/>
      <c r="O190" s="649" t="n"/>
      <c r="P190" s="794" t="n"/>
      <c r="Q190" s="138" t="n"/>
      <c r="R190" s="795" t="inlineStr">
        <is>
          <t>평가 기준일</t>
        </is>
      </c>
      <c r="S190" s="796" t="n"/>
      <c r="T190" s="137">
        <f>T127</f>
        <v/>
      </c>
    </row>
    <row r="191" ht="14.1" customHeight="1" s="797">
      <c r="A191" s="647" t="inlineStr">
        <is>
          <t>상품명</t>
        </is>
      </c>
      <c r="B191" s="798" t="n"/>
      <c r="C191" s="645" t="n"/>
      <c r="D191" s="799" t="n"/>
      <c r="E191" s="645" t="n"/>
      <c r="F191" s="799" t="n"/>
      <c r="G191" s="645" t="n"/>
      <c r="H191" s="799" t="n"/>
      <c r="I191" s="645" t="n"/>
      <c r="J191" s="799" t="n"/>
      <c r="K191" s="645" t="n"/>
      <c r="L191" s="799" t="n"/>
      <c r="M191" s="645" t="n"/>
      <c r="N191" s="799" t="n"/>
      <c r="O191" s="645" t="n"/>
      <c r="P191" s="799" t="n"/>
      <c r="Q191" s="25" t="n"/>
      <c r="R191" s="948" t="n"/>
      <c r="S191" s="801" t="n"/>
      <c r="T191" s="802" t="n"/>
    </row>
    <row r="192" ht="14.1" customHeight="1" s="797">
      <c r="A192" s="647" t="inlineStr">
        <is>
          <t>계약자 / 피보험자</t>
        </is>
      </c>
      <c r="B192" s="798" t="n"/>
      <c r="C192" s="645" t="n"/>
      <c r="D192" s="799" t="n"/>
      <c r="E192" s="645" t="n"/>
      <c r="F192" s="799" t="n"/>
      <c r="G192" s="645" t="n"/>
      <c r="H192" s="799" t="n"/>
      <c r="I192" s="645" t="n"/>
      <c r="J192" s="799" t="n"/>
      <c r="K192" s="645" t="n"/>
      <c r="L192" s="799" t="n"/>
      <c r="M192" s="645" t="n"/>
      <c r="N192" s="799" t="n"/>
      <c r="O192" s="646" t="n"/>
      <c r="P192" s="799" t="n"/>
      <c r="Q192" s="25" t="n"/>
      <c r="R192" s="804" t="n"/>
      <c r="T192" s="805" t="n"/>
    </row>
    <row r="193" ht="14.1" customHeight="1" s="797">
      <c r="A193" s="647" t="inlineStr">
        <is>
          <t>계약일자</t>
        </is>
      </c>
      <c r="B193" s="798" t="n"/>
      <c r="C193" s="646" t="n"/>
      <c r="D193" s="799" t="n"/>
      <c r="E193" s="646" t="n"/>
      <c r="F193" s="799" t="n"/>
      <c r="G193" s="646" t="n"/>
      <c r="H193" s="799" t="n"/>
      <c r="I193" s="646" t="n"/>
      <c r="J193" s="799" t="n"/>
      <c r="K193" s="646" t="n"/>
      <c r="L193" s="799" t="n"/>
      <c r="M193" s="646" t="n"/>
      <c r="N193" s="799" t="n"/>
      <c r="O193" s="646" t="n"/>
      <c r="P193" s="799" t="n"/>
      <c r="Q193" s="25" t="n"/>
      <c r="R193" s="804" t="n"/>
      <c r="T193" s="805" t="n"/>
    </row>
    <row r="194" ht="14.1" customHeight="1" s="797">
      <c r="A194" s="647" t="inlineStr">
        <is>
          <t>납입기간 / 기납입기간</t>
        </is>
      </c>
      <c r="B194" s="798" t="n"/>
      <c r="C194" s="806" t="n"/>
      <c r="D194" s="807" t="n"/>
      <c r="E194" s="806" t="n"/>
      <c r="F194" s="807">
        <f>IF(DATEDIF(E193,$T$1,"m")&lt;E194*12,DATEDIF(E193,$T$1,"m"),E194*12)</f>
        <v/>
      </c>
      <c r="G194" s="806" t="n"/>
      <c r="H194" s="807">
        <f>IF(DATEDIF(G193,$T$1,"m")&lt;G194*12,DATEDIF(G193,$T$1,"m"),G194*12)</f>
        <v/>
      </c>
      <c r="I194" s="806" t="n"/>
      <c r="J194" s="807">
        <f>IF(DATEDIF(I193,$T$1,"m")&lt;I194*12,DATEDIF(I193,$T$1,"m"),I194*12)</f>
        <v/>
      </c>
      <c r="K194" s="806" t="n"/>
      <c r="L194" s="807">
        <f>IF(DATEDIF(K193,$T$1,"m")&lt;K194*12,DATEDIF(K193,$T$1,"m"),K194*12)</f>
        <v/>
      </c>
      <c r="M194" s="806" t="n"/>
      <c r="N194" s="949">
        <f>IF(DATEDIF(M193,$T$1,"m")&lt;M194*12,DATEDIF(M193,$T$1,"m"),M194*12)</f>
        <v/>
      </c>
      <c r="O194" s="806" t="n"/>
      <c r="P194" s="807">
        <f>IF(DATEDIF(O193,$T$1,"m")&lt;O194*12,DATEDIF(O193,$T$1,"m"),O194*12)</f>
        <v/>
      </c>
      <c r="Q194" s="25" t="n"/>
      <c r="R194" s="804" t="n"/>
      <c r="T194" s="805" t="n"/>
    </row>
    <row r="195" ht="14.1" customHeight="1" s="797">
      <c r="A195" s="647" t="inlineStr">
        <is>
          <t>보장기간</t>
        </is>
      </c>
      <c r="B195" s="798" t="n"/>
      <c r="C195" s="645" t="n"/>
      <c r="D195" s="799" t="n"/>
      <c r="E195" s="645" t="n"/>
      <c r="F195" s="799" t="n"/>
      <c r="G195" s="645" t="n"/>
      <c r="H195" s="799" t="n"/>
      <c r="I195" s="645" t="n"/>
      <c r="J195" s="799" t="n"/>
      <c r="K195" s="645" t="n"/>
      <c r="L195" s="799" t="n"/>
      <c r="M195" s="645" t="n"/>
      <c r="N195" s="799" t="n"/>
      <c r="O195" s="645" t="n"/>
      <c r="P195" s="799" t="n"/>
      <c r="Q195" s="25" t="n"/>
      <c r="R195" s="808" t="n"/>
      <c r="S195" s="809" t="n"/>
      <c r="T195" s="810" t="n"/>
    </row>
    <row r="196" ht="14.1" customHeight="1" s="797">
      <c r="A196" s="632" t="inlineStr">
        <is>
          <t>비고 / 갱신종류</t>
        </is>
      </c>
      <c r="B196" s="811" t="n"/>
      <c r="C196" s="642" t="n"/>
      <c r="D196" s="799" t="n"/>
      <c r="E196" s="642" t="n"/>
      <c r="F196" s="799" t="n"/>
      <c r="G196" s="642" t="n"/>
      <c r="H196" s="799" t="n"/>
      <c r="I196" s="642" t="n"/>
      <c r="J196" s="799" t="n"/>
      <c r="K196" s="642" t="n"/>
      <c r="L196" s="799" t="n"/>
      <c r="M196" s="642" t="n"/>
      <c r="N196" s="799" t="n"/>
      <c r="O196" s="642" t="n"/>
      <c r="P196" s="799" t="n"/>
      <c r="Q196" s="25" t="n"/>
      <c r="R196" s="950" t="n"/>
      <c r="S196" s="798" t="n"/>
      <c r="T196" s="27" t="inlineStr">
        <is>
          <t>총 보장 (원)</t>
        </is>
      </c>
    </row>
    <row r="197" ht="14.1" customHeight="1" s="797">
      <c r="A197" s="639" t="inlineStr">
        <is>
          <t>월 보험료</t>
        </is>
      </c>
      <c r="B197" s="798" t="n"/>
      <c r="C197" s="813" t="n"/>
      <c r="D197" s="799" t="n"/>
      <c r="E197" s="813" t="n"/>
      <c r="F197" s="799" t="n"/>
      <c r="G197" s="813" t="n"/>
      <c r="H197" s="799" t="n"/>
      <c r="I197" s="813" t="n"/>
      <c r="J197" s="799" t="n"/>
      <c r="K197" s="813" t="n"/>
      <c r="L197" s="799" t="n"/>
      <c r="M197" s="813" t="n"/>
      <c r="N197" s="799" t="n"/>
      <c r="O197" s="813" t="n"/>
      <c r="P197" s="799" t="n"/>
      <c r="Q197" s="814" t="n"/>
      <c r="R197" s="982" t="inlineStr">
        <is>
          <t>합산 월 보험료</t>
        </is>
      </c>
      <c r="S197" s="798" t="n"/>
      <c r="T197" s="951">
        <f>T134+C197+E197+G197+I197+K197+O197</f>
        <v/>
      </c>
    </row>
    <row r="198" ht="14.1" customHeight="1" s="797">
      <c r="A198" s="647" t="inlineStr">
        <is>
          <t>보험료 총액</t>
        </is>
      </c>
      <c r="B198" s="798" t="n"/>
      <c r="C198" s="817" t="n"/>
      <c r="D198" s="799" t="n"/>
      <c r="E198" s="817">
        <f>E197*E194*12</f>
        <v/>
      </c>
      <c r="F198" s="799" t="n"/>
      <c r="G198" s="817">
        <f>G197*G194*12</f>
        <v/>
      </c>
      <c r="H198" s="799" t="n"/>
      <c r="I198" s="817">
        <f>I197*I194*12</f>
        <v/>
      </c>
      <c r="J198" s="799" t="n"/>
      <c r="K198" s="817">
        <f>K197*K194*12</f>
        <v/>
      </c>
      <c r="L198" s="799" t="n"/>
      <c r="M198" s="817">
        <f>M197*M194*12</f>
        <v/>
      </c>
      <c r="N198" s="799" t="n"/>
      <c r="O198" s="817">
        <f>O197*O194*12</f>
        <v/>
      </c>
      <c r="P198" s="799" t="n"/>
      <c r="Q198" s="814" t="n"/>
      <c r="R198" s="982" t="inlineStr">
        <is>
          <t>합산 보험료 총액</t>
        </is>
      </c>
      <c r="S198" s="798" t="n"/>
      <c r="T198" s="952">
        <f>T135+C198+E198+G198+I198+K198+O198</f>
        <v/>
      </c>
    </row>
    <row r="199" ht="14.1" customHeight="1" s="797">
      <c r="A199" s="647" t="inlineStr">
        <is>
          <t>기 납입금</t>
        </is>
      </c>
      <c r="B199" s="798" t="n"/>
      <c r="C199" s="817" t="n"/>
      <c r="D199" s="799" t="n"/>
      <c r="E199" s="817">
        <f>E197*F194</f>
        <v/>
      </c>
      <c r="F199" s="799" t="n"/>
      <c r="G199" s="817">
        <f>G197*H194</f>
        <v/>
      </c>
      <c r="H199" s="799" t="n"/>
      <c r="I199" s="817">
        <f>I197*J194</f>
        <v/>
      </c>
      <c r="J199" s="799" t="n"/>
      <c r="K199" s="817">
        <f>K197*L194</f>
        <v/>
      </c>
      <c r="L199" s="799" t="n"/>
      <c r="M199" s="817">
        <f>M197*N194</f>
        <v/>
      </c>
      <c r="N199" s="799" t="n"/>
      <c r="O199" s="817">
        <f>O197*P194</f>
        <v/>
      </c>
      <c r="P199" s="799" t="n"/>
      <c r="Q199" s="814" t="n"/>
      <c r="R199" s="982" t="inlineStr">
        <is>
          <t>합산 기 납입금</t>
        </is>
      </c>
      <c r="S199" s="798" t="n"/>
      <c r="T199" s="952">
        <f>T136+C199+E199+G199+I199+K199+O199</f>
        <v/>
      </c>
    </row>
    <row r="200" ht="14.1" customHeight="1" s="797" thickBot="1">
      <c r="A200" s="632" t="inlineStr">
        <is>
          <t>미 납입금</t>
        </is>
      </c>
      <c r="B200" s="811" t="n"/>
      <c r="C200" s="817" t="n"/>
      <c r="D200" s="799" t="n"/>
      <c r="E200" s="817">
        <f>E198-E199</f>
        <v/>
      </c>
      <c r="F200" s="799" t="n"/>
      <c r="G200" s="817">
        <f>G198-G199</f>
        <v/>
      </c>
      <c r="H200" s="799" t="n"/>
      <c r="I200" s="817">
        <f>I198-I199</f>
        <v/>
      </c>
      <c r="J200" s="799" t="n"/>
      <c r="K200" s="817">
        <f>K198-K199</f>
        <v/>
      </c>
      <c r="L200" s="799" t="n"/>
      <c r="M200" s="817">
        <f>M198-M199</f>
        <v/>
      </c>
      <c r="N200" s="799" t="n"/>
      <c r="O200" s="817">
        <f>O198-O199</f>
        <v/>
      </c>
      <c r="P200" s="799" t="n"/>
      <c r="Q200" s="814" t="n"/>
      <c r="R200" s="983" t="inlineStr">
        <is>
          <t>합산 미 납입금</t>
        </is>
      </c>
      <c r="S200" s="954" t="n"/>
      <c r="T200" s="955">
        <f>T137+C200+E200+G200+I200+K200+O200</f>
        <v/>
      </c>
    </row>
    <row r="201" ht="14.1" customHeight="1" s="797">
      <c r="A201" s="821" t="inlineStr">
        <is>
          <t>실비
(갱신)</t>
        </is>
      </c>
      <c r="B201" s="457" t="inlineStr">
        <is>
          <t>질병입원의료비</t>
        </is>
      </c>
      <c r="C201" s="828" t="n"/>
      <c r="D201" s="829" t="n"/>
      <c r="E201" s="828" t="n"/>
      <c r="F201" s="956" t="n"/>
      <c r="G201" s="828" t="n"/>
      <c r="H201" s="880" t="n"/>
      <c r="I201" s="828" t="n"/>
      <c r="J201" s="880" t="n"/>
      <c r="K201" s="828" t="n"/>
      <c r="L201" s="829" t="n"/>
      <c r="M201" s="828" t="n"/>
      <c r="N201" s="827" t="n"/>
      <c r="O201" s="826" t="n"/>
      <c r="P201" s="827" t="n"/>
      <c r="Q201" s="830" t="n"/>
      <c r="R201" s="821" t="inlineStr">
        <is>
          <t>실비
(갱신)</t>
        </is>
      </c>
      <c r="S201" s="352" t="inlineStr">
        <is>
          <t>질병입원의료비</t>
        </is>
      </c>
      <c r="T201" s="957">
        <f>T138+C201+E201+G201+I201+K201+M201+O201</f>
        <v/>
      </c>
    </row>
    <row r="202" ht="14.1" customHeight="1" s="797">
      <c r="A202" s="832" t="n"/>
      <c r="B202" s="458" t="inlineStr">
        <is>
          <t>질병통원의료비</t>
        </is>
      </c>
      <c r="C202" s="838" t="n"/>
      <c r="D202" s="839" t="n"/>
      <c r="E202" s="838" t="n"/>
      <c r="F202" s="958" t="n"/>
      <c r="G202" s="838" t="n"/>
      <c r="H202" s="894" t="n"/>
      <c r="I202" s="838" t="n"/>
      <c r="J202" s="894" t="n"/>
      <c r="K202" s="838" t="n"/>
      <c r="L202" s="839" t="n"/>
      <c r="M202" s="838" t="n"/>
      <c r="N202" s="837" t="n"/>
      <c r="O202" s="836" t="n"/>
      <c r="P202" s="837" t="n"/>
      <c r="Q202" s="830" t="n"/>
      <c r="R202" s="832" t="n"/>
      <c r="S202" s="353" t="inlineStr">
        <is>
          <t>질병통원의료비</t>
        </is>
      </c>
      <c r="T202" s="959">
        <f>T139+C202+E202+G202+I202+K202+M202+O202</f>
        <v/>
      </c>
    </row>
    <row r="203" ht="14.1" customHeight="1" s="797">
      <c r="A203" s="832" t="n"/>
      <c r="B203" s="458" t="inlineStr">
        <is>
          <t>상해입원의료비</t>
        </is>
      </c>
      <c r="C203" s="838" t="n"/>
      <c r="D203" s="839" t="n"/>
      <c r="E203" s="838" t="n"/>
      <c r="F203" s="958" t="n"/>
      <c r="G203" s="838" t="n"/>
      <c r="H203" s="894" t="n"/>
      <c r="I203" s="838" t="n"/>
      <c r="J203" s="894" t="n"/>
      <c r="K203" s="838" t="n"/>
      <c r="L203" s="839" t="n"/>
      <c r="M203" s="838" t="n"/>
      <c r="N203" s="837" t="n"/>
      <c r="O203" s="836" t="n"/>
      <c r="P203" s="837" t="n"/>
      <c r="Q203" s="830" t="n"/>
      <c r="R203" s="832" t="n"/>
      <c r="S203" s="353" t="inlineStr">
        <is>
          <t>상해입원의료비</t>
        </is>
      </c>
      <c r="T203" s="959">
        <f>T140+C203+E203+G203+I203+K203+M203+O203</f>
        <v/>
      </c>
    </row>
    <row r="204" ht="14.1" customHeight="1" s="797">
      <c r="A204" s="832" t="n"/>
      <c r="B204" s="458" t="inlineStr">
        <is>
          <t>상해통원의료비</t>
        </is>
      </c>
      <c r="C204" s="838" t="n"/>
      <c r="D204" s="839" t="n"/>
      <c r="E204" s="838" t="n"/>
      <c r="F204" s="958" t="n"/>
      <c r="G204" s="838" t="n"/>
      <c r="H204" s="894" t="n"/>
      <c r="I204" s="838" t="n"/>
      <c r="J204" s="894" t="n"/>
      <c r="K204" s="838" t="n"/>
      <c r="L204" s="839" t="n"/>
      <c r="M204" s="838" t="n"/>
      <c r="N204" s="837" t="n"/>
      <c r="O204" s="836" t="n"/>
      <c r="P204" s="837" t="n"/>
      <c r="Q204" s="830" t="n"/>
      <c r="R204" s="832" t="n"/>
      <c r="S204" s="353" t="inlineStr">
        <is>
          <t>상해통원의료비</t>
        </is>
      </c>
      <c r="T204" s="959">
        <f>T141+C204+E204+G204+I204+K204+M204+O204</f>
        <v/>
      </c>
    </row>
    <row r="205" ht="14.1" customHeight="1" s="797" thickBot="1">
      <c r="A205" s="841" t="n"/>
      <c r="B205" s="459" t="inlineStr">
        <is>
          <t>3대비급여 의료비</t>
        </is>
      </c>
      <c r="C205" s="847" t="n"/>
      <c r="D205" s="848" t="n"/>
      <c r="E205" s="847" t="n"/>
      <c r="F205" s="960" t="n"/>
      <c r="G205" s="847" t="n"/>
      <c r="H205" s="885" t="n"/>
      <c r="I205" s="847" t="n"/>
      <c r="J205" s="885" t="n"/>
      <c r="K205" s="847" t="n"/>
      <c r="L205" s="848" t="n"/>
      <c r="M205" s="847" t="n"/>
      <c r="N205" s="846" t="n"/>
      <c r="O205" s="845" t="n"/>
      <c r="P205" s="846" t="n"/>
      <c r="Q205" s="830" t="n"/>
      <c r="R205" s="841" t="n"/>
      <c r="S205" s="354" t="inlineStr">
        <is>
          <t>3대비급여 의료비</t>
        </is>
      </c>
      <c r="T205" s="963">
        <f>T142+C205+E205+G205+I205+K205+M205+O205</f>
        <v/>
      </c>
    </row>
    <row r="206" ht="14.1" customHeight="1" s="797">
      <c r="A206" s="624" t="inlineStr">
        <is>
          <t>암</t>
        </is>
      </c>
      <c r="B206" s="460" t="inlineStr">
        <is>
          <t>암진단</t>
        </is>
      </c>
      <c r="C206" s="828" t="n"/>
      <c r="D206" s="908" t="n"/>
      <c r="E206" s="828" t="n"/>
      <c r="F206" s="880" t="n"/>
      <c r="G206" s="828" t="n"/>
      <c r="H206" s="880" t="n"/>
      <c r="I206" s="828" t="n"/>
      <c r="J206" s="880" t="n"/>
      <c r="K206" s="828" t="n"/>
      <c r="L206" s="913" t="n"/>
      <c r="M206" s="828" t="n"/>
      <c r="N206" s="829" t="n"/>
      <c r="O206" s="828" t="n"/>
      <c r="P206" s="827" t="n"/>
      <c r="Q206" s="830" t="n"/>
      <c r="R206" s="626" t="inlineStr">
        <is>
          <t>암</t>
        </is>
      </c>
      <c r="S206" s="490" t="inlineStr">
        <is>
          <t>암진단비</t>
        </is>
      </c>
      <c r="T206" s="957">
        <f>T143+C206+E206+G206+I206+K206+M206+O206</f>
        <v/>
      </c>
    </row>
    <row r="207" ht="14.1" customHeight="1" s="797">
      <c r="A207" s="832" t="n"/>
      <c r="B207" s="481" t="inlineStr">
        <is>
          <t>유사암진단</t>
        </is>
      </c>
      <c r="C207" s="838" t="n"/>
      <c r="D207" s="873" t="n"/>
      <c r="E207" s="838" t="n"/>
      <c r="F207" s="852" t="n"/>
      <c r="G207" s="838" t="n"/>
      <c r="H207" s="852" t="n"/>
      <c r="I207" s="838" t="n"/>
      <c r="J207" s="852" t="n"/>
      <c r="K207" s="838" t="n"/>
      <c r="L207" s="914" t="n"/>
      <c r="M207" s="838" t="n"/>
      <c r="N207" s="853" t="n"/>
      <c r="O207" s="856" t="n"/>
      <c r="P207" s="857" t="n"/>
      <c r="Q207" s="830" t="n"/>
      <c r="R207" s="832" t="n"/>
      <c r="S207" s="491" t="inlineStr">
        <is>
          <t>유사암진단</t>
        </is>
      </c>
      <c r="T207" s="959">
        <f>T144+C207+E207+G207+I207+K207+M207+O207</f>
        <v/>
      </c>
    </row>
    <row r="208" ht="14.1" customHeight="1" s="797" thickBot="1">
      <c r="A208" s="832" t="n"/>
      <c r="B208" s="553" t="inlineStr">
        <is>
          <t>전이암진단</t>
        </is>
      </c>
      <c r="C208" s="847" t="n"/>
      <c r="D208" s="961" t="n"/>
      <c r="E208" s="847" t="n"/>
      <c r="F208" s="910" t="n"/>
      <c r="G208" s="847" t="n"/>
      <c r="H208" s="910" t="n"/>
      <c r="I208" s="847" t="n"/>
      <c r="J208" s="910" t="n"/>
      <c r="K208" s="847" t="n"/>
      <c r="L208" s="916" t="n"/>
      <c r="M208" s="909" t="n"/>
      <c r="N208" s="877" t="n"/>
      <c r="O208" s="909" t="n"/>
      <c r="P208" s="962" t="n"/>
      <c r="Q208" s="830" t="n"/>
      <c r="R208" s="832" t="n"/>
      <c r="S208" s="566" t="inlineStr">
        <is>
          <t>전이암진단</t>
        </is>
      </c>
      <c r="T208" s="959">
        <f>T145+C208+E208+G208+I208+K208+M208+O208</f>
        <v/>
      </c>
    </row>
    <row r="209" ht="14.1" customHeight="1" s="797">
      <c r="A209" s="832" t="n"/>
      <c r="B209" s="554" t="inlineStr">
        <is>
          <t>암수술</t>
        </is>
      </c>
      <c r="C209" s="856" t="n"/>
      <c r="D209" s="873" t="n"/>
      <c r="E209" s="856" t="n"/>
      <c r="F209" s="852" t="n"/>
      <c r="G209" s="856" t="n"/>
      <c r="H209" s="852" t="n"/>
      <c r="I209" s="856" t="n"/>
      <c r="J209" s="852" t="n"/>
      <c r="K209" s="856" t="n"/>
      <c r="L209" s="914" t="n"/>
      <c r="M209" s="856" t="n"/>
      <c r="N209" s="853" t="n"/>
      <c r="O209" s="856" t="n"/>
      <c r="P209" s="857" t="n"/>
      <c r="Q209" s="830" t="n"/>
      <c r="R209" s="832" t="n"/>
      <c r="S209" s="343" t="inlineStr">
        <is>
          <t>암수술</t>
        </is>
      </c>
      <c r="T209" s="957">
        <f>T146+C209+E209+G209+I209+K209+M209+O209</f>
        <v/>
      </c>
    </row>
    <row r="210" ht="14.1" customHeight="1" s="797">
      <c r="A210" s="832" t="n"/>
      <c r="B210" s="555" t="inlineStr">
        <is>
          <t>다빈치로봇수술</t>
        </is>
      </c>
      <c r="C210" s="838" t="n"/>
      <c r="D210" s="873" t="n"/>
      <c r="E210" s="838" t="n"/>
      <c r="F210" s="852" t="n"/>
      <c r="G210" s="838" t="n"/>
      <c r="H210" s="852" t="n"/>
      <c r="I210" s="838" t="n"/>
      <c r="J210" s="852" t="n"/>
      <c r="K210" s="838" t="n"/>
      <c r="L210" s="914" t="n"/>
      <c r="M210" s="856" t="n"/>
      <c r="N210" s="853" t="n"/>
      <c r="O210" s="856" t="n"/>
      <c r="P210" s="857" t="n"/>
      <c r="Q210" s="830" t="n"/>
      <c r="R210" s="832" t="n"/>
      <c r="S210" s="326" t="inlineStr">
        <is>
          <t>다빈치로봇수술</t>
        </is>
      </c>
      <c r="T210" s="959">
        <f>T147+C210+E210+G210+I210+K210+M210+O210</f>
        <v/>
      </c>
    </row>
    <row r="211" ht="14.1" customHeight="1" s="797">
      <c r="A211" s="832" t="n"/>
      <c r="B211" s="556" t="inlineStr">
        <is>
          <t>항암방사선</t>
        </is>
      </c>
      <c r="C211" s="838" t="n"/>
      <c r="D211" s="873" t="n"/>
      <c r="E211" s="838" t="n"/>
      <c r="F211" s="852" t="n"/>
      <c r="G211" s="838" t="n"/>
      <c r="H211" s="852" t="n"/>
      <c r="I211" s="838" t="n"/>
      <c r="J211" s="852" t="n"/>
      <c r="K211" s="838" t="n"/>
      <c r="L211" s="914" t="n"/>
      <c r="M211" s="856" t="n"/>
      <c r="N211" s="853" t="n"/>
      <c r="O211" s="856" t="n"/>
      <c r="P211" s="857" t="n"/>
      <c r="Q211" s="830" t="n"/>
      <c r="R211" s="832" t="n"/>
      <c r="S211" s="343" t="inlineStr">
        <is>
          <t>항암방사선</t>
        </is>
      </c>
      <c r="T211" s="959">
        <f>T148+C211+E211+G211+I211+K211+M211+O211</f>
        <v/>
      </c>
    </row>
    <row r="212" ht="14.1" customHeight="1" s="797">
      <c r="A212" s="832" t="n"/>
      <c r="B212" s="555" t="inlineStr">
        <is>
          <t>중입자방사선</t>
        </is>
      </c>
      <c r="C212" s="838" t="n"/>
      <c r="D212" s="873" t="n"/>
      <c r="E212" s="838" t="n"/>
      <c r="F212" s="852" t="n"/>
      <c r="G212" s="838" t="n"/>
      <c r="H212" s="852" t="n"/>
      <c r="I212" s="838" t="n"/>
      <c r="J212" s="852" t="n"/>
      <c r="K212" s="838" t="n"/>
      <c r="L212" s="914" t="n"/>
      <c r="M212" s="856" t="n"/>
      <c r="N212" s="853" t="n"/>
      <c r="O212" s="856" t="n"/>
      <c r="P212" s="857" t="n"/>
      <c r="Q212" s="830" t="n"/>
      <c r="R212" s="832" t="n"/>
      <c r="S212" s="326" t="inlineStr">
        <is>
          <t>중입자방사선</t>
        </is>
      </c>
      <c r="T212" s="959">
        <f>T149+C212+E212+G212+I212+K212+M212+O212</f>
        <v/>
      </c>
    </row>
    <row r="213" ht="14.1" customHeight="1" s="797">
      <c r="A213" s="832" t="n"/>
      <c r="B213" s="555" t="inlineStr">
        <is>
          <t>양성자방사선</t>
        </is>
      </c>
      <c r="C213" s="838" t="n"/>
      <c r="D213" s="873" t="n"/>
      <c r="E213" s="838" t="n"/>
      <c r="F213" s="852" t="n"/>
      <c r="G213" s="838" t="n"/>
      <c r="H213" s="852" t="n"/>
      <c r="I213" s="838" t="n"/>
      <c r="J213" s="852" t="n"/>
      <c r="K213" s="838" t="n"/>
      <c r="L213" s="914" t="n"/>
      <c r="M213" s="856" t="n"/>
      <c r="N213" s="853" t="n"/>
      <c r="O213" s="856" t="n"/>
      <c r="P213" s="857" t="n"/>
      <c r="Q213" s="830" t="n"/>
      <c r="R213" s="832" t="n"/>
      <c r="S213" s="326" t="inlineStr">
        <is>
          <t>양성자방사선</t>
        </is>
      </c>
      <c r="T213" s="959">
        <f>T150+C213+E213+G213+I213+K213+M213+O213</f>
        <v/>
      </c>
    </row>
    <row r="214" ht="14.1" customHeight="1" s="797">
      <c r="A214" s="832" t="n"/>
      <c r="B214" s="555" t="inlineStr">
        <is>
          <t>세기조절방사선</t>
        </is>
      </c>
      <c r="C214" s="838" t="n"/>
      <c r="D214" s="873" t="n"/>
      <c r="E214" s="838" t="n"/>
      <c r="F214" s="852" t="n"/>
      <c r="G214" s="838" t="n"/>
      <c r="H214" s="852" t="n"/>
      <c r="I214" s="838" t="n"/>
      <c r="J214" s="852" t="n"/>
      <c r="K214" s="838" t="n"/>
      <c r="L214" s="914" t="n"/>
      <c r="M214" s="856" t="n"/>
      <c r="N214" s="853" t="n"/>
      <c r="O214" s="856" t="n"/>
      <c r="P214" s="857" t="n"/>
      <c r="Q214" s="830" t="n"/>
      <c r="R214" s="832" t="n"/>
      <c r="S214" s="326" t="inlineStr">
        <is>
          <t>세기조절방사선</t>
        </is>
      </c>
      <c r="T214" s="959">
        <f>T151+C214+E214+G214+I214+K214+M214+O214</f>
        <v/>
      </c>
    </row>
    <row r="215" ht="14.1" customHeight="1" s="797">
      <c r="A215" s="832" t="n"/>
      <c r="B215" s="556" t="inlineStr">
        <is>
          <t>항암약물</t>
        </is>
      </c>
      <c r="C215" s="838" t="n"/>
      <c r="D215" s="873" t="n"/>
      <c r="E215" s="862" t="n"/>
      <c r="F215" s="853" t="n"/>
      <c r="G215" s="862" t="n"/>
      <c r="H215" s="852" t="n"/>
      <c r="I215" s="862" t="n"/>
      <c r="J215" s="852" t="n"/>
      <c r="K215" s="862" t="n"/>
      <c r="L215" s="914" t="n"/>
      <c r="M215" s="859" t="n"/>
      <c r="N215" s="853" t="n"/>
      <c r="O215" s="856" t="n"/>
      <c r="P215" s="857" t="n"/>
      <c r="Q215" s="830" t="n"/>
      <c r="R215" s="832" t="n"/>
      <c r="S215" s="343" t="inlineStr">
        <is>
          <t>항암약물</t>
        </is>
      </c>
      <c r="T215" s="959">
        <f>T152+C215+E215+G215+I215+K215+M215+O215</f>
        <v/>
      </c>
    </row>
    <row r="216" ht="14.1" customHeight="1" s="797">
      <c r="A216" s="832" t="n"/>
      <c r="B216" s="555" t="inlineStr">
        <is>
          <t>표적항암약물</t>
        </is>
      </c>
      <c r="C216" s="862" t="n"/>
      <c r="D216" s="882" t="n"/>
      <c r="E216" s="862" t="n"/>
      <c r="F216" s="853" t="n"/>
      <c r="G216" s="862" t="n"/>
      <c r="H216" s="852" t="n"/>
      <c r="I216" s="862" t="n"/>
      <c r="J216" s="852" t="n"/>
      <c r="K216" s="862" t="n"/>
      <c r="L216" s="914" t="n"/>
      <c r="M216" s="859" t="n"/>
      <c r="N216" s="853" t="n"/>
      <c r="O216" s="859" t="n"/>
      <c r="P216" s="864" t="n"/>
      <c r="Q216" s="830" t="n"/>
      <c r="R216" s="832" t="n"/>
      <c r="S216" s="326" t="inlineStr">
        <is>
          <t>표적항암약물</t>
        </is>
      </c>
      <c r="T216" s="959">
        <f>T153+C216+E216+G216+I216+K216+M216+O216</f>
        <v/>
      </c>
    </row>
    <row r="217" ht="14.1" customHeight="1" s="797" thickBot="1">
      <c r="A217" s="832" t="n"/>
      <c r="B217" s="557" t="inlineStr">
        <is>
          <t>면역항암약물</t>
        </is>
      </c>
      <c r="C217" s="847" t="n"/>
      <c r="D217" s="848" t="n"/>
      <c r="E217" s="847" t="n"/>
      <c r="F217" s="871" t="n"/>
      <c r="G217" s="847" t="n"/>
      <c r="H217" s="852" t="n"/>
      <c r="I217" s="847" t="n"/>
      <c r="J217" s="852" t="n"/>
      <c r="K217" s="847" t="n"/>
      <c r="L217" s="914" t="n"/>
      <c r="M217" s="847" t="n"/>
      <c r="N217" s="853" t="n"/>
      <c r="O217" s="845" t="n"/>
      <c r="P217" s="846" t="n"/>
      <c r="Q217" s="830" t="n"/>
      <c r="R217" s="832" t="n"/>
      <c r="S217" s="327" t="inlineStr">
        <is>
          <t>면역항암약물</t>
        </is>
      </c>
      <c r="T217" s="963">
        <f>T154+C217+E217+G217+I217+K217+M217+O217</f>
        <v/>
      </c>
    </row>
    <row r="218" ht="14.1" customHeight="1" s="797">
      <c r="A218" s="628" t="inlineStr">
        <is>
          <t>2대
질병</t>
        </is>
      </c>
      <c r="B218" s="461" t="inlineStr">
        <is>
          <t>뇌혈관진단</t>
        </is>
      </c>
      <c r="C218" s="838" t="n"/>
      <c r="D218" s="829" t="n"/>
      <c r="E218" s="838" t="n"/>
      <c r="F218" s="880" t="n"/>
      <c r="G218" s="838" t="n"/>
      <c r="H218" s="880" t="n"/>
      <c r="I218" s="838" t="n"/>
      <c r="J218" s="880" t="n"/>
      <c r="K218" s="838" t="n"/>
      <c r="L218" s="913" t="n"/>
      <c r="M218" s="828" t="n"/>
      <c r="N218" s="829" t="n"/>
      <c r="O218" s="836" t="n"/>
      <c r="P218" s="827" t="n"/>
      <c r="Q218" s="830" t="n"/>
      <c r="R218" s="630" t="inlineStr">
        <is>
          <t>2대
질병</t>
        </is>
      </c>
      <c r="S218" s="379" t="inlineStr">
        <is>
          <t>뇌혈관</t>
        </is>
      </c>
      <c r="T218" s="957">
        <f>T155+C218+E218+G218+I218+K218+M218+O218</f>
        <v/>
      </c>
    </row>
    <row r="219" ht="14.1" customHeight="1" s="797">
      <c r="A219" s="832" t="n"/>
      <c r="B219" s="462" t="inlineStr">
        <is>
          <t>뇌졸증진단</t>
        </is>
      </c>
      <c r="C219" s="838" t="n"/>
      <c r="D219" s="853" t="n"/>
      <c r="E219" s="856" t="n"/>
      <c r="F219" s="852" t="n"/>
      <c r="G219" s="838" t="n"/>
      <c r="H219" s="852" t="n"/>
      <c r="I219" s="838" t="n"/>
      <c r="J219" s="852" t="n"/>
      <c r="K219" s="838" t="n"/>
      <c r="L219" s="914" t="n"/>
      <c r="M219" s="856" t="n"/>
      <c r="N219" s="853" t="n"/>
      <c r="O219" s="836" t="n"/>
      <c r="P219" s="857" t="n"/>
      <c r="Q219" s="830" t="n"/>
      <c r="R219" s="832" t="n"/>
      <c r="S219" s="380" t="inlineStr">
        <is>
          <t>뇌졸증</t>
        </is>
      </c>
      <c r="T219" s="959">
        <f>T156+C219+E219+G219+I219+K219+M219+O219</f>
        <v/>
      </c>
    </row>
    <row r="220" ht="14.1" customHeight="1" s="797" thickBot="1">
      <c r="A220" s="832" t="n"/>
      <c r="B220" s="463" t="inlineStr">
        <is>
          <t>뇌출혈진단</t>
        </is>
      </c>
      <c r="C220" s="859" t="n"/>
      <c r="D220" s="860" t="n"/>
      <c r="E220" s="859" t="n"/>
      <c r="F220" s="863" t="n"/>
      <c r="G220" s="859" t="n"/>
      <c r="H220" s="863" t="n"/>
      <c r="I220" s="859" t="n"/>
      <c r="J220" s="863" t="n"/>
      <c r="K220" s="859" t="n"/>
      <c r="L220" s="915" t="n"/>
      <c r="M220" s="859" t="n"/>
      <c r="N220" s="860" t="n"/>
      <c r="O220" s="883" t="n"/>
      <c r="P220" s="864" t="n"/>
      <c r="Q220" s="830" t="n"/>
      <c r="R220" s="832" t="n"/>
      <c r="S220" s="381" t="inlineStr">
        <is>
          <t>뇌출혈</t>
        </is>
      </c>
      <c r="T220" s="959">
        <f>T157+C220+E220+G220+I220+K220+M220+O220</f>
        <v/>
      </c>
    </row>
    <row r="221" ht="14.1" customHeight="1" s="797">
      <c r="A221" s="832" t="n"/>
      <c r="B221" s="461" t="inlineStr">
        <is>
          <t>심장질환진단</t>
        </is>
      </c>
      <c r="C221" s="828" t="n"/>
      <c r="D221" s="829" t="n"/>
      <c r="E221" s="828" t="n"/>
      <c r="F221" s="880" t="n"/>
      <c r="G221" s="828" t="n"/>
      <c r="H221" s="880" t="n"/>
      <c r="I221" s="828" t="n"/>
      <c r="J221" s="880" t="n"/>
      <c r="K221" s="828" t="n"/>
      <c r="L221" s="913" t="n"/>
      <c r="M221" s="828" t="n"/>
      <c r="N221" s="829" t="n"/>
      <c r="O221" s="826" t="n"/>
      <c r="P221" s="827" t="n"/>
      <c r="Q221" s="830" t="n"/>
      <c r="R221" s="832" t="n"/>
      <c r="S221" s="358" t="inlineStr">
        <is>
          <t>심장질환</t>
        </is>
      </c>
      <c r="T221" s="957">
        <f>T158+C221+E221+G221+I221+K221+M221+O221</f>
        <v/>
      </c>
    </row>
    <row r="222" ht="14.1" customHeight="1" s="797">
      <c r="A222" s="832" t="n"/>
      <c r="B222" s="488" t="inlineStr">
        <is>
          <t>허혈성심장진단</t>
        </is>
      </c>
      <c r="C222" s="838" t="n"/>
      <c r="D222" s="853" t="n"/>
      <c r="E222" s="838" t="n"/>
      <c r="F222" s="852" t="n"/>
      <c r="G222" s="838" t="n"/>
      <c r="H222" s="852" t="n"/>
      <c r="I222" s="838" t="n"/>
      <c r="J222" s="852" t="n"/>
      <c r="K222" s="838" t="n"/>
      <c r="L222" s="914" t="n"/>
      <c r="M222" s="838" t="n"/>
      <c r="N222" s="853" t="n"/>
      <c r="O222" s="836" t="n"/>
      <c r="P222" s="857" t="n"/>
      <c r="Q222" s="830" t="n"/>
      <c r="R222" s="832" t="n"/>
      <c r="S222" s="359" t="inlineStr">
        <is>
          <t>허혈성심장</t>
        </is>
      </c>
      <c r="T222" s="959">
        <f>T159+C222+E222+G222+I222+K222+M222+O222</f>
        <v/>
      </c>
    </row>
    <row r="223" ht="14.1" customHeight="1" s="797" thickBot="1">
      <c r="A223" s="832" t="n"/>
      <c r="B223" s="489" t="inlineStr">
        <is>
          <t>급성심근경색진단</t>
        </is>
      </c>
      <c r="C223" s="847" t="n"/>
      <c r="D223" s="848" t="n"/>
      <c r="E223" s="847" t="n"/>
      <c r="F223" s="885" t="n"/>
      <c r="G223" s="847" t="n"/>
      <c r="H223" s="885" t="n"/>
      <c r="I223" s="847" t="n"/>
      <c r="J223" s="885" t="n"/>
      <c r="K223" s="847" t="n"/>
      <c r="L223" s="891" t="n"/>
      <c r="M223" s="847" t="n"/>
      <c r="N223" s="848" t="n"/>
      <c r="O223" s="845" t="n"/>
      <c r="P223" s="887" t="n"/>
      <c r="Q223" s="830" t="n"/>
      <c r="R223" s="832" t="n"/>
      <c r="S223" s="360" t="inlineStr">
        <is>
          <t>급성심근경색</t>
        </is>
      </c>
      <c r="T223" s="959">
        <f>T160+C223+E223+G223+I223+K223+M223+O223</f>
        <v/>
      </c>
    </row>
    <row r="224" ht="14.1" customHeight="1" s="797">
      <c r="A224" s="832" t="n"/>
      <c r="B224" s="461" t="inlineStr">
        <is>
          <t>수술/시술비</t>
        </is>
      </c>
      <c r="C224" s="828" t="n"/>
      <c r="D224" s="829" t="n"/>
      <c r="E224" s="828" t="n"/>
      <c r="F224" s="880" t="n"/>
      <c r="G224" s="828" t="n"/>
      <c r="H224" s="880" t="n"/>
      <c r="I224" s="828" t="n"/>
      <c r="J224" s="880" t="n"/>
      <c r="K224" s="828" t="n"/>
      <c r="L224" s="913" t="n"/>
      <c r="M224" s="828" t="n"/>
      <c r="N224" s="829" t="n"/>
      <c r="O224" s="826" t="n"/>
      <c r="P224" s="827" t="n"/>
      <c r="Q224" s="830" t="n"/>
      <c r="R224" s="832" t="n"/>
      <c r="S224" s="361" t="inlineStr">
        <is>
          <t>수술비</t>
        </is>
      </c>
      <c r="T224" s="957">
        <f>T161+C224+E224+G224+I224+K224+M224+O224</f>
        <v/>
      </c>
    </row>
    <row r="225" ht="14.1" customHeight="1" s="797">
      <c r="A225" s="832" t="n"/>
      <c r="B225" s="488" t="inlineStr">
        <is>
          <t>혈전용해치료</t>
        </is>
      </c>
      <c r="C225" s="838" t="n"/>
      <c r="D225" s="853" t="n"/>
      <c r="E225" s="838" t="n"/>
      <c r="F225" s="852" t="n"/>
      <c r="G225" s="838" t="n"/>
      <c r="H225" s="852" t="n"/>
      <c r="I225" s="838" t="n"/>
      <c r="J225" s="852" t="n"/>
      <c r="K225" s="838" t="n"/>
      <c r="L225" s="914" t="n"/>
      <c r="M225" s="838" t="n"/>
      <c r="N225" s="853" t="n"/>
      <c r="O225" s="836" t="n"/>
      <c r="P225" s="857" t="n"/>
      <c r="Q225" s="830" t="n"/>
      <c r="R225" s="832" t="n"/>
      <c r="S225" s="362" t="inlineStr">
        <is>
          <t>혈전용해치료</t>
        </is>
      </c>
      <c r="T225" s="959">
        <f>T162+C225+E225+G225+I225+K225+M225+O225</f>
        <v/>
      </c>
    </row>
    <row r="226" ht="14.1" customHeight="1" s="797" thickBot="1">
      <c r="A226" s="832" t="n"/>
      <c r="B226" s="489" t="inlineStr">
        <is>
          <t>혈전제거치료</t>
        </is>
      </c>
      <c r="C226" s="847" t="n"/>
      <c r="D226" s="848" t="n"/>
      <c r="E226" s="847" t="n"/>
      <c r="F226" s="885" t="n"/>
      <c r="G226" s="847" t="n"/>
      <c r="H226" s="885" t="n"/>
      <c r="I226" s="847" t="n"/>
      <c r="J226" s="885" t="n"/>
      <c r="K226" s="847" t="n"/>
      <c r="L226" s="891" t="n"/>
      <c r="M226" s="847" t="n"/>
      <c r="N226" s="848" t="n"/>
      <c r="O226" s="845" t="n"/>
      <c r="P226" s="887" t="n"/>
      <c r="Q226" s="830" t="n"/>
      <c r="R226" s="832" t="n"/>
      <c r="S226" s="363" t="inlineStr">
        <is>
          <t>중환자실치료</t>
        </is>
      </c>
      <c r="T226" s="959">
        <f>T163+C226+E226+G226+I226+K226+M226+O226</f>
        <v/>
      </c>
    </row>
    <row r="227" ht="14.1" customHeight="1" s="797">
      <c r="A227" s="892" t="inlineStr">
        <is>
          <t>후유장해</t>
        </is>
      </c>
      <c r="B227" s="464" t="inlineStr">
        <is>
          <t>질병 80% 이상</t>
        </is>
      </c>
      <c r="C227" s="828" t="n"/>
      <c r="D227" s="966" t="n"/>
      <c r="E227" s="828" t="n"/>
      <c r="F227" s="880" t="n"/>
      <c r="G227" s="828" t="n"/>
      <c r="H227" s="880" t="n"/>
      <c r="I227" s="828" t="n"/>
      <c r="J227" s="880" t="n"/>
      <c r="K227" s="828" t="n"/>
      <c r="L227" s="913" t="n"/>
      <c r="M227" s="828" t="n"/>
      <c r="N227" s="829" t="n"/>
      <c r="O227" s="826" t="n"/>
      <c r="P227" s="827" t="n"/>
      <c r="Q227" s="830" t="n"/>
      <c r="R227" s="892" t="inlineStr">
        <is>
          <t>후유장해</t>
        </is>
      </c>
      <c r="S227" s="364" t="inlineStr">
        <is>
          <t>질병 80% 이상</t>
        </is>
      </c>
      <c r="T227" s="957">
        <f>T164+C227+E227+G227+I227+K227+M227+O227</f>
        <v/>
      </c>
    </row>
    <row r="228" ht="14.1" customHeight="1" s="797">
      <c r="A228" s="832" t="n"/>
      <c r="B228" s="465" t="inlineStr">
        <is>
          <t>질병 3% ~80%</t>
        </is>
      </c>
      <c r="C228" s="838" t="n"/>
      <c r="D228" s="967" t="n"/>
      <c r="E228" s="838" t="n"/>
      <c r="F228" s="931" t="n"/>
      <c r="G228" s="838" t="n"/>
      <c r="H228" s="894" t="n"/>
      <c r="I228" s="838" t="n"/>
      <c r="J228" s="894" t="n"/>
      <c r="K228" s="838" t="n"/>
      <c r="L228" s="968" t="n"/>
      <c r="M228" s="838" t="n"/>
      <c r="N228" s="839" t="n"/>
      <c r="O228" s="836" t="n"/>
      <c r="P228" s="837" t="n"/>
      <c r="Q228" s="830" t="n"/>
      <c r="R228" s="832" t="n"/>
      <c r="S228" s="365" t="inlineStr">
        <is>
          <t>질병 3% ~80%</t>
        </is>
      </c>
      <c r="T228" s="959">
        <f>T165+C228+E228+G228+I228+K228+M228+O228</f>
        <v/>
      </c>
    </row>
    <row r="229" ht="14.1" customHeight="1" s="797">
      <c r="A229" s="832" t="n"/>
      <c r="B229" s="465" t="inlineStr">
        <is>
          <t>상해 80% 이상</t>
        </is>
      </c>
      <c r="C229" s="838" t="n"/>
      <c r="D229" s="902" t="n"/>
      <c r="E229" s="838" t="n"/>
      <c r="F229" s="902" t="n"/>
      <c r="G229" s="838" t="n"/>
      <c r="H229" s="839" t="n"/>
      <c r="I229" s="838" t="n"/>
      <c r="J229" s="839" t="n"/>
      <c r="K229" s="838" t="n"/>
      <c r="L229" s="968" t="n"/>
      <c r="M229" s="838" t="n"/>
      <c r="N229" s="839" t="n"/>
      <c r="O229" s="836" t="n"/>
      <c r="P229" s="837" t="n"/>
      <c r="Q229" s="830" t="n"/>
      <c r="R229" s="832" t="n"/>
      <c r="S229" s="365" t="inlineStr">
        <is>
          <t>상해 80% 이상</t>
        </is>
      </c>
      <c r="T229" s="959">
        <f>T166+C229+E229+G229+I229+K229+M229+O229</f>
        <v/>
      </c>
    </row>
    <row r="230" ht="14.1" customHeight="1" s="797" thickBot="1">
      <c r="A230" s="841" t="n"/>
      <c r="B230" s="466" t="inlineStr">
        <is>
          <t>상해 3% ~ 80%</t>
        </is>
      </c>
      <c r="C230" s="847" t="n"/>
      <c r="D230" s="899" t="n"/>
      <c r="E230" s="847" t="n"/>
      <c r="F230" s="899" t="n"/>
      <c r="G230" s="838" t="n"/>
      <c r="H230" s="848" t="n"/>
      <c r="I230" s="838" t="n"/>
      <c r="J230" s="848" t="n"/>
      <c r="K230" s="838" t="n"/>
      <c r="L230" s="891" t="n"/>
      <c r="M230" s="847" t="n"/>
      <c r="N230" s="848" t="n"/>
      <c r="O230" s="845" t="n"/>
      <c r="P230" s="846" t="n"/>
      <c r="Q230" s="830" t="n"/>
      <c r="R230" s="841" t="n"/>
      <c r="S230" s="366" t="inlineStr">
        <is>
          <t>상해 3% ~ 80%</t>
        </is>
      </c>
      <c r="T230" s="959">
        <f>T167+C230+E230+G230+I230+K230+M230+O230</f>
        <v/>
      </c>
    </row>
    <row r="231" ht="14.1" customHeight="1" s="797">
      <c r="A231" s="897" t="inlineStr">
        <is>
          <t>사망</t>
        </is>
      </c>
      <c r="B231" s="467" t="inlineStr">
        <is>
          <t>일반</t>
        </is>
      </c>
      <c r="C231" s="856" t="n"/>
      <c r="D231" s="939" t="n"/>
      <c r="E231" s="828" t="n"/>
      <c r="F231" s="880" t="n"/>
      <c r="G231" s="828" t="n"/>
      <c r="H231" s="829" t="n"/>
      <c r="I231" s="828" t="n"/>
      <c r="J231" s="829" t="n"/>
      <c r="K231" s="828" t="n"/>
      <c r="L231" s="913" t="n"/>
      <c r="M231" s="828" t="n"/>
      <c r="N231" s="829" t="n"/>
      <c r="O231" s="826" t="n"/>
      <c r="P231" s="827" t="n"/>
      <c r="Q231" s="830" t="n"/>
      <c r="R231" s="897" t="inlineStr">
        <is>
          <t>사망</t>
        </is>
      </c>
      <c r="S231" s="367" t="inlineStr">
        <is>
          <t>일반</t>
        </is>
      </c>
      <c r="T231" s="957">
        <f>T168+C231+E231+G231+I231+K231+M231+O231</f>
        <v/>
      </c>
    </row>
    <row r="232" ht="14.1" customHeight="1" s="797">
      <c r="A232" s="832" t="n"/>
      <c r="B232" s="468" t="inlineStr">
        <is>
          <t>질병</t>
        </is>
      </c>
      <c r="C232" s="838" t="n"/>
      <c r="D232" s="931" t="n"/>
      <c r="E232" s="838" t="n"/>
      <c r="F232" s="894" t="n"/>
      <c r="G232" s="838" t="n"/>
      <c r="H232" s="839" t="n"/>
      <c r="I232" s="838" t="n"/>
      <c r="J232" s="839" t="n"/>
      <c r="K232" s="838" t="n"/>
      <c r="L232" s="968" t="n"/>
      <c r="M232" s="838" t="n"/>
      <c r="N232" s="839" t="n"/>
      <c r="O232" s="836" t="n"/>
      <c r="P232" s="837" t="n"/>
      <c r="Q232" s="830" t="n"/>
      <c r="R232" s="832" t="n"/>
      <c r="S232" s="368" t="inlineStr">
        <is>
          <t>질병</t>
        </is>
      </c>
      <c r="T232" s="959">
        <f>T169+C232+E232+G232+I232+K232+M232+O232</f>
        <v/>
      </c>
    </row>
    <row r="233" ht="14.1" customHeight="1" s="797" thickBot="1">
      <c r="A233" s="841" t="n"/>
      <c r="B233" s="469" t="inlineStr">
        <is>
          <t>상해</t>
        </is>
      </c>
      <c r="C233" s="847" t="n"/>
      <c r="D233" s="900" t="n"/>
      <c r="E233" s="847" t="n"/>
      <c r="F233" s="885" t="n"/>
      <c r="G233" s="847" t="n"/>
      <c r="H233" s="848" t="n"/>
      <c r="I233" s="847" t="n"/>
      <c r="J233" s="848" t="n"/>
      <c r="K233" s="847" t="n"/>
      <c r="L233" s="891" t="n"/>
      <c r="M233" s="847" t="n"/>
      <c r="N233" s="848" t="n"/>
      <c r="O233" s="901" t="n"/>
      <c r="P233" s="857" t="n"/>
      <c r="Q233" s="830" t="n"/>
      <c r="R233" s="841" t="n"/>
      <c r="S233" s="369" t="inlineStr">
        <is>
          <t>상해</t>
        </is>
      </c>
      <c r="T233" s="959">
        <f>T170+C233+E233+G233+I233+K233+M233+O233</f>
        <v/>
      </c>
    </row>
    <row r="234" ht="14.1" customHeight="1" s="797">
      <c r="A234" s="617" t="inlineStr">
        <is>
          <t>수술비</t>
        </is>
      </c>
      <c r="B234" s="470" t="inlineStr">
        <is>
          <t>질병</t>
        </is>
      </c>
      <c r="C234" s="828" t="n"/>
      <c r="D234" s="908" t="n"/>
      <c r="E234" s="828" t="n"/>
      <c r="F234" s="852" t="n"/>
      <c r="G234" s="828" t="n"/>
      <c r="H234" s="853" t="n"/>
      <c r="I234" s="828" t="n"/>
      <c r="J234" s="853" t="n"/>
      <c r="K234" s="828" t="n"/>
      <c r="L234" s="913" t="n"/>
      <c r="M234" s="856" t="n"/>
      <c r="N234" s="853" t="n"/>
      <c r="O234" s="826" t="n"/>
      <c r="P234" s="827" t="n"/>
      <c r="Q234" s="830" t="n"/>
      <c r="R234" s="617" t="inlineStr">
        <is>
          <t>수술비</t>
        </is>
      </c>
      <c r="S234" s="480" t="inlineStr">
        <is>
          <t>질병</t>
        </is>
      </c>
      <c r="T234" s="957">
        <f>T171+C234+E234+G234+I234+K234+M234+O234</f>
        <v/>
      </c>
    </row>
    <row r="235" ht="14.1" customHeight="1" s="797">
      <c r="A235" s="832" t="n"/>
      <c r="B235" s="470" t="inlineStr">
        <is>
          <t>상해</t>
        </is>
      </c>
      <c r="C235" s="838" t="n"/>
      <c r="D235" s="902" t="n"/>
      <c r="E235" s="838" t="n"/>
      <c r="F235" s="894" t="n"/>
      <c r="G235" s="838" t="n"/>
      <c r="H235" s="839" t="n"/>
      <c r="I235" s="838" t="n"/>
      <c r="J235" s="839" t="n"/>
      <c r="K235" s="838" t="n"/>
      <c r="L235" s="968" t="n"/>
      <c r="M235" s="838" t="n"/>
      <c r="N235" s="853" t="n"/>
      <c r="O235" s="836" t="n"/>
      <c r="P235" s="837" t="n"/>
      <c r="Q235" s="830" t="n"/>
      <c r="R235" s="832" t="n"/>
      <c r="S235" s="480" t="inlineStr">
        <is>
          <t>상해</t>
        </is>
      </c>
      <c r="T235" s="959">
        <f>T172+C235+E235+G235+I235+K235+M235+O235</f>
        <v/>
      </c>
    </row>
    <row r="236" ht="14.1" customHeight="1" s="797">
      <c r="A236" s="832" t="n"/>
      <c r="B236" s="470" t="inlineStr">
        <is>
          <t>1-5종</t>
        </is>
      </c>
      <c r="C236" s="838" t="n"/>
      <c r="D236" s="902" t="n"/>
      <c r="E236" s="838" t="n"/>
      <c r="F236" s="852" t="n"/>
      <c r="G236" s="838" t="n"/>
      <c r="H236" s="853" t="n"/>
      <c r="I236" s="838" t="n"/>
      <c r="J236" s="853" t="n"/>
      <c r="K236" s="838" t="n"/>
      <c r="L236" s="914" t="n"/>
      <c r="M236" s="838" t="n"/>
      <c r="N236" s="853" t="n"/>
      <c r="O236" s="836" t="n"/>
      <c r="P236" s="837" t="n"/>
      <c r="Q236" s="830" t="n"/>
      <c r="R236" s="832" t="n"/>
      <c r="S236" s="480" t="inlineStr">
        <is>
          <t>1-5종</t>
        </is>
      </c>
      <c r="T236" s="959">
        <f>T173+C236+E236+G236+I236+K236+M236+O236</f>
        <v/>
      </c>
    </row>
    <row r="237" ht="14.1" customHeight="1" s="797" thickBot="1">
      <c r="A237" s="832" t="n"/>
      <c r="B237" s="471" t="inlineStr">
        <is>
          <t>N대질병</t>
        </is>
      </c>
      <c r="C237" s="862" t="n"/>
      <c r="D237" s="899" t="n"/>
      <c r="E237" s="862" t="n"/>
      <c r="F237" s="863" t="n"/>
      <c r="G237" s="862" t="n"/>
      <c r="H237" s="860" t="n"/>
      <c r="I237" s="862" t="n"/>
      <c r="J237" s="860" t="n"/>
      <c r="K237" s="862" t="n"/>
      <c r="L237" s="969" t="n"/>
      <c r="M237" s="862" t="n"/>
      <c r="N237" s="905" t="n"/>
      <c r="O237" s="907" t="n"/>
      <c r="P237" s="887" t="n"/>
      <c r="Q237" s="830" t="n"/>
      <c r="R237" s="832" t="n"/>
      <c r="S237" s="513" t="inlineStr">
        <is>
          <t>N대질병</t>
        </is>
      </c>
      <c r="T237" s="959">
        <f>T174+C237+E237+G237+I237+K237+M237+O237</f>
        <v/>
      </c>
    </row>
    <row r="238" ht="14.1" customHeight="1" s="797">
      <c r="A238" s="603" t="inlineStr">
        <is>
          <t>상해진단</t>
        </is>
      </c>
      <c r="B238" s="472" t="inlineStr">
        <is>
          <t>골절</t>
        </is>
      </c>
      <c r="C238" s="828" t="n"/>
      <c r="D238" s="908" t="n"/>
      <c r="E238" s="828" t="n"/>
      <c r="F238" s="880" t="n"/>
      <c r="G238" s="828" t="n"/>
      <c r="H238" s="829" t="n"/>
      <c r="I238" s="828" t="n"/>
      <c r="J238" s="829" t="n"/>
      <c r="K238" s="828" t="n"/>
      <c r="L238" s="913" t="n"/>
      <c r="M238" s="828" t="n"/>
      <c r="N238" s="829" t="n"/>
      <c r="O238" s="826" t="n"/>
      <c r="P238" s="827" t="n"/>
      <c r="Q238" s="830" t="n"/>
      <c r="R238" s="603" t="inlineStr">
        <is>
          <t>상해진단</t>
        </is>
      </c>
      <c r="S238" s="483" t="inlineStr">
        <is>
          <t>골절</t>
        </is>
      </c>
      <c r="T238" s="957">
        <f>T175+C238+E238+G238+I238+K238+M238+O238</f>
        <v/>
      </c>
    </row>
    <row r="239" ht="14.1" customHeight="1" s="797" thickBot="1">
      <c r="A239" s="832" t="n"/>
      <c r="B239" s="482" t="inlineStr">
        <is>
          <t>화상</t>
        </is>
      </c>
      <c r="C239" s="909" t="n"/>
      <c r="D239" s="970" t="n"/>
      <c r="E239" s="909" t="n"/>
      <c r="F239" s="885" t="n"/>
      <c r="G239" s="909" t="n"/>
      <c r="H239" s="848" t="n"/>
      <c r="I239" s="909" t="n"/>
      <c r="J239" s="848" t="n"/>
      <c r="K239" s="909" t="n"/>
      <c r="L239" s="916" t="n"/>
      <c r="M239" s="909" t="n"/>
      <c r="N239" s="877" t="n"/>
      <c r="O239" s="911" t="n"/>
      <c r="P239" s="846" t="n"/>
      <c r="Q239" s="830" t="n"/>
      <c r="R239" s="832" t="n"/>
      <c r="S239" s="503" t="inlineStr">
        <is>
          <t>화상</t>
        </is>
      </c>
      <c r="T239" s="959">
        <f>T176+C239+E239+G239+I239+K239+M239+O239</f>
        <v/>
      </c>
    </row>
    <row r="240" ht="14.1" customHeight="1" s="797">
      <c r="A240" s="605" t="inlineStr">
        <is>
          <t>입원비</t>
        </is>
      </c>
      <c r="B240" s="484" t="inlineStr">
        <is>
          <t>질병</t>
        </is>
      </c>
      <c r="C240" s="859" t="n"/>
      <c r="D240" s="971" t="n"/>
      <c r="E240" s="859" t="n"/>
      <c r="F240" s="863" t="n"/>
      <c r="G240" s="859" t="n"/>
      <c r="H240" s="860" t="n"/>
      <c r="I240" s="859" t="n"/>
      <c r="J240" s="860" t="n"/>
      <c r="K240" s="859" t="n"/>
      <c r="L240" s="915" t="n"/>
      <c r="M240" s="859" t="n"/>
      <c r="N240" s="860" t="n"/>
      <c r="O240" s="883" t="n"/>
      <c r="P240" s="864" t="n"/>
      <c r="Q240" s="830" t="n"/>
      <c r="R240" s="605" t="inlineStr">
        <is>
          <t>입원비</t>
        </is>
      </c>
      <c r="S240" s="486" t="inlineStr">
        <is>
          <t>질병</t>
        </is>
      </c>
      <c r="T240" s="957">
        <f>T177+C240+E240+G240+I240+K240+M240+O240</f>
        <v/>
      </c>
    </row>
    <row r="241" ht="14.1" customHeight="1" s="797" thickBot="1">
      <c r="A241" s="912" t="n"/>
      <c r="B241" s="485" t="inlineStr">
        <is>
          <t>상해</t>
        </is>
      </c>
      <c r="C241" s="859" t="n"/>
      <c r="D241" s="971" t="n"/>
      <c r="E241" s="859" t="n"/>
      <c r="F241" s="863" t="n"/>
      <c r="G241" s="859" t="n"/>
      <c r="H241" s="860" t="n"/>
      <c r="I241" s="859" t="n"/>
      <c r="J241" s="860" t="n"/>
      <c r="K241" s="859" t="n"/>
      <c r="L241" s="915" t="n"/>
      <c r="M241" s="859" t="n"/>
      <c r="N241" s="860" t="n"/>
      <c r="O241" s="883" t="n"/>
      <c r="P241" s="864" t="n"/>
      <c r="Q241" s="830" t="n"/>
      <c r="R241" s="912" t="n"/>
      <c r="S241" s="559" t="inlineStr">
        <is>
          <t>상해</t>
        </is>
      </c>
      <c r="T241" s="959">
        <f>T178+C241+E241+G241+I241+K241+M241+O241</f>
        <v/>
      </c>
    </row>
    <row r="242" ht="14.1" customHeight="1" s="797">
      <c r="A242" s="609" t="inlineStr">
        <is>
          <t>간병인</t>
        </is>
      </c>
      <c r="B242" s="473" t="inlineStr">
        <is>
          <t>병원사용</t>
        </is>
      </c>
      <c r="C242" s="828" t="n"/>
      <c r="D242" s="966" t="n"/>
      <c r="E242" s="828" t="n"/>
      <c r="F242" s="880" t="n"/>
      <c r="G242" s="828" t="n"/>
      <c r="H242" s="913" t="n"/>
      <c r="I242" s="828" t="n"/>
      <c r="J242" s="829" t="n"/>
      <c r="K242" s="828" t="n"/>
      <c r="L242" s="913" t="n"/>
      <c r="M242" s="828" t="n"/>
      <c r="N242" s="829" t="n"/>
      <c r="O242" s="826" t="n"/>
      <c r="P242" s="827" t="n"/>
      <c r="Q242" s="830" t="n"/>
      <c r="R242" s="973" t="inlineStr">
        <is>
          <t>간병인</t>
        </is>
      </c>
      <c r="S242" s="562" t="inlineStr">
        <is>
          <t>병원사용</t>
        </is>
      </c>
      <c r="T242" s="957">
        <f>T179+C242+E242+G242+I242+K242+M242+O242</f>
        <v/>
      </c>
    </row>
    <row r="243" ht="14.1" customHeight="1" s="797">
      <c r="A243" s="832" t="n"/>
      <c r="B243" s="474" t="inlineStr">
        <is>
          <t>요양병원사용</t>
        </is>
      </c>
      <c r="C243" s="859" t="n"/>
      <c r="D243" s="971" t="n"/>
      <c r="E243" s="859" t="n"/>
      <c r="F243" s="852" t="n"/>
      <c r="G243" s="859" t="n"/>
      <c r="H243" s="914" t="n"/>
      <c r="I243" s="859" t="n"/>
      <c r="J243" s="853" t="n"/>
      <c r="K243" s="859" t="n"/>
      <c r="L243" s="915" t="n"/>
      <c r="M243" s="859" t="n"/>
      <c r="N243" s="860" t="n"/>
      <c r="O243" s="883" t="n"/>
      <c r="P243" s="864" t="n"/>
      <c r="Q243" s="830" t="n"/>
      <c r="R243" s="832" t="n"/>
      <c r="S243" s="504" t="inlineStr">
        <is>
          <t>요양병원사용</t>
        </is>
      </c>
      <c r="T243" s="959">
        <f>T180+C243+E243+G243+I243+K243+M243+O243</f>
        <v/>
      </c>
    </row>
    <row r="244" ht="14.1" customHeight="1" s="797" thickBot="1">
      <c r="A244" s="841" t="n"/>
      <c r="B244" s="475" t="inlineStr">
        <is>
          <t>간호간병통합사용</t>
        </is>
      </c>
      <c r="C244" s="847" t="n"/>
      <c r="D244" s="974" t="n"/>
      <c r="E244" s="847" t="n"/>
      <c r="F244" s="852" t="n"/>
      <c r="G244" s="847" t="n"/>
      <c r="H244" s="914" t="n"/>
      <c r="I244" s="847" t="n"/>
      <c r="J244" s="853" t="n"/>
      <c r="K244" s="847" t="n"/>
      <c r="L244" s="891" t="n"/>
      <c r="M244" s="847" t="n"/>
      <c r="N244" s="848" t="n"/>
      <c r="O244" s="845" t="n"/>
      <c r="P244" s="846" t="n"/>
      <c r="Q244" s="830" t="n"/>
      <c r="R244" s="841" t="n"/>
      <c r="S244" s="505" t="inlineStr">
        <is>
          <t>간호간병통합사용</t>
        </is>
      </c>
      <c r="T244" s="959">
        <f>T181+C244+E244+G244+I244+K244+M244+O244</f>
        <v/>
      </c>
    </row>
    <row r="245" ht="14.1" customHeight="1" s="797">
      <c r="A245" s="917" t="inlineStr">
        <is>
          <t>운전자</t>
        </is>
      </c>
      <c r="B245" s="476" t="inlineStr">
        <is>
          <t>벌금</t>
        </is>
      </c>
      <c r="C245" s="828" t="n"/>
      <c r="D245" s="975" t="n"/>
      <c r="E245" s="826" t="n"/>
      <c r="F245" s="880" t="n"/>
      <c r="G245" s="828" t="n"/>
      <c r="H245" s="913" t="n"/>
      <c r="I245" s="828" t="n"/>
      <c r="J245" s="829" t="n"/>
      <c r="K245" s="828" t="n"/>
      <c r="L245" s="913" t="n"/>
      <c r="M245" s="828" t="n"/>
      <c r="N245" s="829" t="n"/>
      <c r="O245" s="836" t="n"/>
      <c r="P245" s="827" t="n"/>
      <c r="Q245" s="830" t="n"/>
      <c r="R245" s="917" t="inlineStr">
        <is>
          <t>운전자</t>
        </is>
      </c>
      <c r="S245" s="377" t="inlineStr">
        <is>
          <t>벌금</t>
        </is>
      </c>
      <c r="T245" s="957">
        <f>T182+C245+E245+G245+I245+K245+M245+O245</f>
        <v/>
      </c>
    </row>
    <row r="246" ht="14.1" customHeight="1" s="797">
      <c r="A246" s="832" t="n"/>
      <c r="B246" s="476" t="inlineStr">
        <is>
          <t>변호사선임</t>
        </is>
      </c>
      <c r="C246" s="838" t="n"/>
      <c r="D246" s="976" t="n"/>
      <c r="E246" s="836" t="n"/>
      <c r="F246" s="894" t="n"/>
      <c r="G246" s="838" t="n"/>
      <c r="H246" s="968" t="n"/>
      <c r="I246" s="838" t="n"/>
      <c r="J246" s="443" t="n"/>
      <c r="K246" s="838" t="n"/>
      <c r="L246" s="968" t="n"/>
      <c r="M246" s="838" t="n"/>
      <c r="N246" s="839" t="n"/>
      <c r="O246" s="836" t="n"/>
      <c r="P246" s="837" t="n"/>
      <c r="Q246" s="830" t="n"/>
      <c r="R246" s="832" t="n"/>
      <c r="S246" s="377" t="inlineStr">
        <is>
          <t>변호사선임</t>
        </is>
      </c>
      <c r="T246" s="959">
        <f>T183+C246+E246+G246+I246+K246+M246+O246</f>
        <v/>
      </c>
    </row>
    <row r="247" ht="14.1" customHeight="1" s="797" thickBot="1">
      <c r="A247" s="841" t="n"/>
      <c r="B247" s="477" t="inlineStr">
        <is>
          <t>교통사고처리지원</t>
        </is>
      </c>
      <c r="C247" s="856" t="n"/>
      <c r="D247" s="967" t="n"/>
      <c r="E247" s="901" t="n"/>
      <c r="F247" s="852" t="n"/>
      <c r="G247" s="856" t="n"/>
      <c r="H247" s="914" t="n"/>
      <c r="I247" s="856" t="n"/>
      <c r="J247" s="839" t="n"/>
      <c r="K247" s="856" t="n"/>
      <c r="L247" s="914" t="n"/>
      <c r="M247" s="856" t="n"/>
      <c r="N247" s="853" t="n"/>
      <c r="O247" s="836" t="n"/>
      <c r="P247" s="837" t="n"/>
      <c r="Q247" s="830" t="n"/>
      <c r="R247" s="841" t="n"/>
      <c r="S247" s="378" t="inlineStr">
        <is>
          <t>교통사고처리지원</t>
        </is>
      </c>
      <c r="T247" s="959">
        <f>T184+C247+E247+G247+I247+K247+M247+O247</f>
        <v/>
      </c>
    </row>
    <row r="248" ht="14.1" customHeight="1" s="797" thickBot="1">
      <c r="A248" s="585" t="inlineStr">
        <is>
          <t>일상생활배상책임</t>
        </is>
      </c>
      <c r="B248" s="919" t="n"/>
      <c r="C248" s="920" t="n"/>
      <c r="D248" s="977" t="n"/>
      <c r="E248" s="920" t="n"/>
      <c r="F248" s="922" t="n"/>
      <c r="G248" s="920" t="n"/>
      <c r="H248" s="978" t="n"/>
      <c r="I248" s="920" t="n"/>
      <c r="J248" s="923" t="n"/>
      <c r="K248" s="920" t="n"/>
      <c r="L248" s="978" t="n"/>
      <c r="M248" s="920" t="n"/>
      <c r="N248" s="923" t="n"/>
      <c r="O248" s="925" t="n"/>
      <c r="P248" s="926" t="n"/>
      <c r="Q248" s="830" t="n"/>
      <c r="R248" s="585" t="inlineStr">
        <is>
          <t>일상생활배상책임</t>
        </is>
      </c>
      <c r="S248" s="919" t="n"/>
      <c r="T248" s="957">
        <f>T185+C248+E248+G248+I248+K248+M248+O248</f>
        <v/>
      </c>
    </row>
    <row r="249" ht="14.1" customHeight="1" s="797">
      <c r="A249" s="928" t="inlineStr">
        <is>
          <t>기타</t>
        </is>
      </c>
      <c r="B249" s="929" t="n"/>
      <c r="C249" s="930" t="n"/>
      <c r="D249" s="829" t="n"/>
      <c r="E249" s="930" t="n"/>
      <c r="F249" s="839" t="n"/>
      <c r="G249" s="930" t="n"/>
      <c r="H249" s="913" t="n"/>
      <c r="I249" s="930" t="n"/>
      <c r="J249" s="979" t="n"/>
      <c r="K249" s="938" t="n"/>
      <c r="L249" s="913" t="n"/>
      <c r="M249" s="930" t="n"/>
      <c r="N249" s="914" t="n"/>
      <c r="O249" s="930" t="n"/>
      <c r="P249" s="827" t="n"/>
      <c r="Q249" s="830" t="n"/>
      <c r="R249" s="935" t="inlineStr">
        <is>
          <t>기타</t>
        </is>
      </c>
      <c r="S249" s="980" t="n"/>
      <c r="T249" s="937" t="n"/>
    </row>
    <row r="250" ht="14.1" customHeight="1" s="797">
      <c r="A250" s="804" t="n"/>
      <c r="C250" s="938" t="n"/>
      <c r="D250" s="839" t="n"/>
      <c r="E250" s="938" t="n"/>
      <c r="F250" s="853" t="n"/>
      <c r="G250" s="938" t="n"/>
      <c r="H250" s="968" t="n"/>
      <c r="I250" s="938" t="n"/>
      <c r="J250" s="839" t="n"/>
      <c r="K250" s="454" t="n"/>
      <c r="L250" s="968" t="n"/>
      <c r="M250" s="938" t="n"/>
      <c r="N250" s="968" t="n"/>
      <c r="O250" s="938" t="n"/>
      <c r="P250" s="837" t="n"/>
      <c r="Q250" s="830" t="n"/>
      <c r="R250" s="804" t="n"/>
      <c r="S250" s="804" t="n"/>
      <c r="T250" s="805" t="n"/>
    </row>
    <row r="251" ht="14.1" customHeight="1" s="797">
      <c r="A251" s="804" t="n"/>
      <c r="C251" s="938" t="n"/>
      <c r="D251" s="839" t="n"/>
      <c r="E251" s="938" t="n"/>
      <c r="F251" s="853" t="n"/>
      <c r="G251" s="938" t="n"/>
      <c r="H251" s="968" t="n"/>
      <c r="I251" s="938" t="n"/>
      <c r="J251" s="853" t="n"/>
      <c r="K251" s="938" t="n"/>
      <c r="L251" s="839" t="n"/>
      <c r="M251" s="938" t="n"/>
      <c r="N251" s="914" t="n"/>
      <c r="O251" s="938" t="n"/>
      <c r="P251" s="837" t="n"/>
      <c r="Q251" s="830" t="n"/>
      <c r="R251" s="804" t="n"/>
      <c r="S251" s="804" t="n"/>
      <c r="T251" s="805" t="n"/>
    </row>
    <row r="252" ht="14.1" customHeight="1" s="797" thickBot="1">
      <c r="A252" s="942" t="n"/>
      <c r="B252" s="943" t="n"/>
      <c r="C252" s="944" t="n"/>
      <c r="D252" s="848" t="n"/>
      <c r="E252" s="944" t="n"/>
      <c r="F252" s="981" t="n"/>
      <c r="G252" s="944" t="n"/>
      <c r="H252" s="891" t="n"/>
      <c r="I252" s="944" t="n"/>
      <c r="J252" s="885" t="n"/>
      <c r="K252" s="944" t="n"/>
      <c r="L252" s="885" t="n"/>
      <c r="M252" s="944" t="n"/>
      <c r="N252" s="848" t="n"/>
      <c r="O252" s="944" t="n"/>
      <c r="P252" s="846" t="n"/>
      <c r="Q252" s="830" t="n"/>
      <c r="R252" s="942" t="n"/>
      <c r="S252" s="942" t="n"/>
      <c r="T252" s="946" t="n"/>
    </row>
    <row r="253" ht="18.95" customHeight="1" s="797">
      <c r="A253" s="947">
        <f>A190</f>
        <v/>
      </c>
      <c r="B253" s="796" t="n"/>
      <c r="C253" s="649" t="n"/>
      <c r="D253" s="794" t="n"/>
      <c r="E253" s="649" t="n"/>
      <c r="F253" s="794" t="n"/>
      <c r="G253" s="649" t="n"/>
      <c r="H253" s="794" t="n"/>
      <c r="I253" s="649" t="n"/>
      <c r="J253" s="794" t="n"/>
      <c r="K253" s="649" t="n"/>
      <c r="L253" s="794" t="n"/>
      <c r="M253" s="649" t="n"/>
      <c r="N253" s="794" t="n"/>
      <c r="O253" s="649" t="n"/>
      <c r="P253" s="794" t="n"/>
      <c r="Q253" s="138" t="n"/>
      <c r="R253" s="795" t="inlineStr">
        <is>
          <t>평가 기준일</t>
        </is>
      </c>
      <c r="S253" s="796" t="n"/>
      <c r="T253" s="137">
        <f>T190</f>
        <v/>
      </c>
    </row>
    <row r="254" ht="14.1" customHeight="1" s="797">
      <c r="A254" s="647" t="inlineStr">
        <is>
          <t>상품명</t>
        </is>
      </c>
      <c r="B254" s="798" t="n"/>
      <c r="C254" s="645" t="n"/>
      <c r="D254" s="799" t="n"/>
      <c r="E254" s="645" t="n"/>
      <c r="F254" s="799" t="n"/>
      <c r="G254" s="645" t="n"/>
      <c r="H254" s="799" t="n"/>
      <c r="I254" s="645" t="n"/>
      <c r="J254" s="799" t="n"/>
      <c r="K254" s="645" t="n"/>
      <c r="L254" s="799" t="n"/>
      <c r="M254" s="645" t="n"/>
      <c r="N254" s="799" t="n"/>
      <c r="O254" s="645" t="n"/>
      <c r="P254" s="799" t="n"/>
      <c r="Q254" s="25" t="n"/>
      <c r="R254" s="948" t="n"/>
      <c r="S254" s="801" t="n"/>
      <c r="T254" s="802" t="n"/>
    </row>
    <row r="255" ht="14.1" customHeight="1" s="797">
      <c r="A255" s="647" t="inlineStr">
        <is>
          <t>계약자 / 피보험자</t>
        </is>
      </c>
      <c r="B255" s="798" t="n"/>
      <c r="C255" s="645" t="n"/>
      <c r="D255" s="799" t="n"/>
      <c r="E255" s="645" t="n"/>
      <c r="F255" s="799" t="n"/>
      <c r="G255" s="645" t="n"/>
      <c r="H255" s="799" t="n"/>
      <c r="I255" s="645" t="n"/>
      <c r="J255" s="799" t="n"/>
      <c r="K255" s="645" t="n"/>
      <c r="L255" s="799" t="n"/>
      <c r="M255" s="645" t="n"/>
      <c r="N255" s="799" t="n"/>
      <c r="O255" s="646" t="n"/>
      <c r="P255" s="799" t="n"/>
      <c r="Q255" s="25" t="n"/>
      <c r="R255" s="804" t="n"/>
      <c r="T255" s="805" t="n"/>
    </row>
    <row r="256" ht="14.1" customHeight="1" s="797">
      <c r="A256" s="647" t="inlineStr">
        <is>
          <t>계약일자</t>
        </is>
      </c>
      <c r="B256" s="798" t="n"/>
      <c r="C256" s="646" t="n"/>
      <c r="D256" s="799" t="n"/>
      <c r="E256" s="646" t="n"/>
      <c r="F256" s="799" t="n"/>
      <c r="G256" s="646" t="n"/>
      <c r="H256" s="799" t="n"/>
      <c r="I256" s="646" t="n"/>
      <c r="J256" s="799" t="n"/>
      <c r="K256" s="646" t="n"/>
      <c r="L256" s="799" t="n"/>
      <c r="M256" s="646" t="n"/>
      <c r="N256" s="799" t="n"/>
      <c r="O256" s="646" t="n"/>
      <c r="P256" s="799" t="n"/>
      <c r="Q256" s="25" t="n"/>
      <c r="R256" s="804" t="n"/>
      <c r="T256" s="805" t="n"/>
    </row>
    <row r="257" ht="14.1" customHeight="1" s="797">
      <c r="A257" s="647" t="inlineStr">
        <is>
          <t>납입기간 / 기납입기간</t>
        </is>
      </c>
      <c r="B257" s="798" t="n"/>
      <c r="C257" s="806" t="n"/>
      <c r="D257" s="807" t="n"/>
      <c r="E257" s="806" t="n"/>
      <c r="F257" s="807">
        <f>IF(DATEDIF(E256,$T$1,"m")&lt;E257*12,DATEDIF(E256,$T$1,"m"),E257*12)</f>
        <v/>
      </c>
      <c r="G257" s="806" t="n"/>
      <c r="H257" s="807">
        <f>IF(DATEDIF(G256,$T$1,"m")&lt;G257*12,DATEDIF(G256,$T$1,"m"),G257*12)</f>
        <v/>
      </c>
      <c r="I257" s="806" t="n"/>
      <c r="J257" s="807">
        <f>IF(DATEDIF(I256,$T$1,"m")&lt;I257*12,DATEDIF(I256,$T$1,"m"),I257*12)</f>
        <v/>
      </c>
      <c r="K257" s="806" t="n"/>
      <c r="L257" s="807">
        <f>IF(DATEDIF(K256,$T$1,"m")&lt;K257*12,DATEDIF(K256,$T$1,"m"),K257*12)</f>
        <v/>
      </c>
      <c r="M257" s="806" t="n"/>
      <c r="N257" s="949">
        <f>IF(DATEDIF(M256,$T$1,"m")&lt;M257*12,DATEDIF(M256,$T$1,"m"),M257*12)</f>
        <v/>
      </c>
      <c r="O257" s="806" t="n"/>
      <c r="P257" s="807">
        <f>IF(DATEDIF(O256,$T$1,"m")&lt;O257*12,DATEDIF(O256,$T$1,"m"),O257*12)</f>
        <v/>
      </c>
      <c r="Q257" s="25" t="n"/>
      <c r="R257" s="804" t="n"/>
      <c r="T257" s="805" t="n"/>
    </row>
    <row r="258" ht="14.1" customHeight="1" s="797">
      <c r="A258" s="647" t="inlineStr">
        <is>
          <t>보장기간</t>
        </is>
      </c>
      <c r="B258" s="798" t="n"/>
      <c r="C258" s="645" t="n"/>
      <c r="D258" s="799" t="n"/>
      <c r="E258" s="645" t="n"/>
      <c r="F258" s="799" t="n"/>
      <c r="G258" s="645" t="n"/>
      <c r="H258" s="799" t="n"/>
      <c r="I258" s="645" t="n"/>
      <c r="J258" s="799" t="n"/>
      <c r="K258" s="645" t="n"/>
      <c r="L258" s="799" t="n"/>
      <c r="M258" s="645" t="n"/>
      <c r="N258" s="799" t="n"/>
      <c r="O258" s="645" t="n"/>
      <c r="P258" s="799" t="n"/>
      <c r="Q258" s="25" t="n"/>
      <c r="R258" s="808" t="n"/>
      <c r="S258" s="809" t="n"/>
      <c r="T258" s="810" t="n"/>
    </row>
    <row r="259" ht="14.1" customHeight="1" s="797">
      <c r="A259" s="632" t="inlineStr">
        <is>
          <t>비고 / 갱신종류</t>
        </is>
      </c>
      <c r="B259" s="811" t="n"/>
      <c r="C259" s="642" t="n"/>
      <c r="D259" s="799" t="n"/>
      <c r="E259" s="642" t="n"/>
      <c r="F259" s="799" t="n"/>
      <c r="G259" s="642" t="n"/>
      <c r="H259" s="799" t="n"/>
      <c r="I259" s="642" t="n"/>
      <c r="J259" s="799" t="n"/>
      <c r="K259" s="642" t="n"/>
      <c r="L259" s="799" t="n"/>
      <c r="M259" s="642" t="n"/>
      <c r="N259" s="799" t="n"/>
      <c r="O259" s="642" t="n"/>
      <c r="P259" s="799" t="n"/>
      <c r="Q259" s="25" t="n"/>
      <c r="R259" s="950" t="n"/>
      <c r="S259" s="798" t="n"/>
      <c r="T259" s="27" t="inlineStr">
        <is>
          <t>총 보장 (원)</t>
        </is>
      </c>
    </row>
    <row r="260" ht="14.1" customHeight="1" s="797">
      <c r="A260" s="639" t="inlineStr">
        <is>
          <t>월 보험료</t>
        </is>
      </c>
      <c r="B260" s="798" t="n"/>
      <c r="C260" s="813" t="n"/>
      <c r="D260" s="799" t="n"/>
      <c r="E260" s="813" t="n"/>
      <c r="F260" s="799" t="n"/>
      <c r="G260" s="813" t="n"/>
      <c r="H260" s="799" t="n"/>
      <c r="I260" s="813" t="n"/>
      <c r="J260" s="799" t="n"/>
      <c r="K260" s="813" t="n"/>
      <c r="L260" s="799" t="n"/>
      <c r="M260" s="813" t="n"/>
      <c r="N260" s="799" t="n"/>
      <c r="O260" s="813" t="n"/>
      <c r="P260" s="799" t="n"/>
      <c r="Q260" s="814" t="n"/>
      <c r="R260" s="982" t="inlineStr">
        <is>
          <t>합산 월 보험료</t>
        </is>
      </c>
      <c r="S260" s="798" t="n"/>
      <c r="T260" s="951">
        <f>T197+C260+E260+G260+I260+K260+O260</f>
        <v/>
      </c>
    </row>
    <row r="261" ht="14.1" customHeight="1" s="797">
      <c r="A261" s="647" t="inlineStr">
        <is>
          <t>보험료 총액</t>
        </is>
      </c>
      <c r="B261" s="798" t="n"/>
      <c r="C261" s="817" t="n"/>
      <c r="D261" s="799" t="n"/>
      <c r="E261" s="817">
        <f>E260*E257*12</f>
        <v/>
      </c>
      <c r="F261" s="799" t="n"/>
      <c r="G261" s="817">
        <f>G260*G257*12</f>
        <v/>
      </c>
      <c r="H261" s="799" t="n"/>
      <c r="I261" s="817">
        <f>I260*I257*12</f>
        <v/>
      </c>
      <c r="J261" s="799" t="n"/>
      <c r="K261" s="817">
        <f>K260*K257*12</f>
        <v/>
      </c>
      <c r="L261" s="799" t="n"/>
      <c r="M261" s="817">
        <f>M260*M257*12</f>
        <v/>
      </c>
      <c r="N261" s="799" t="n"/>
      <c r="O261" s="817">
        <f>O260*O257*12</f>
        <v/>
      </c>
      <c r="P261" s="799" t="n"/>
      <c r="Q261" s="814" t="n"/>
      <c r="R261" s="982" t="inlineStr">
        <is>
          <t>합산 보험료 총액</t>
        </is>
      </c>
      <c r="S261" s="798" t="n"/>
      <c r="T261" s="952">
        <f>T198+C261+E261+G261+I261+K261+O261</f>
        <v/>
      </c>
    </row>
    <row r="262" ht="14.1" customHeight="1" s="797">
      <c r="A262" s="647" t="inlineStr">
        <is>
          <t>기 납입금</t>
        </is>
      </c>
      <c r="B262" s="798" t="n"/>
      <c r="C262" s="817" t="n"/>
      <c r="D262" s="799" t="n"/>
      <c r="E262" s="817">
        <f>E260*F257</f>
        <v/>
      </c>
      <c r="F262" s="799" t="n"/>
      <c r="G262" s="817">
        <f>G260*H257</f>
        <v/>
      </c>
      <c r="H262" s="799" t="n"/>
      <c r="I262" s="817">
        <f>I260*J257</f>
        <v/>
      </c>
      <c r="J262" s="799" t="n"/>
      <c r="K262" s="817">
        <f>K260*L257</f>
        <v/>
      </c>
      <c r="L262" s="799" t="n"/>
      <c r="M262" s="817">
        <f>M260*N257</f>
        <v/>
      </c>
      <c r="N262" s="799" t="n"/>
      <c r="O262" s="817">
        <f>O260*P257</f>
        <v/>
      </c>
      <c r="P262" s="799" t="n"/>
      <c r="Q262" s="814" t="n"/>
      <c r="R262" s="982" t="inlineStr">
        <is>
          <t>합산 기 납입금</t>
        </is>
      </c>
      <c r="S262" s="798" t="n"/>
      <c r="T262" s="952">
        <f>T199+C262+E262+G262+I262+K262+O262</f>
        <v/>
      </c>
    </row>
    <row r="263" ht="14.1" customHeight="1" s="797" thickBot="1">
      <c r="A263" s="632" t="inlineStr">
        <is>
          <t>미 납입금</t>
        </is>
      </c>
      <c r="B263" s="811" t="n"/>
      <c r="C263" s="817" t="n"/>
      <c r="D263" s="799" t="n"/>
      <c r="E263" s="817">
        <f>E261-E262</f>
        <v/>
      </c>
      <c r="F263" s="799" t="n"/>
      <c r="G263" s="817">
        <f>G261-G262</f>
        <v/>
      </c>
      <c r="H263" s="799" t="n"/>
      <c r="I263" s="817">
        <f>I261-I262</f>
        <v/>
      </c>
      <c r="J263" s="799" t="n"/>
      <c r="K263" s="817">
        <f>K261-K262</f>
        <v/>
      </c>
      <c r="L263" s="799" t="n"/>
      <c r="M263" s="817">
        <f>M261-M262</f>
        <v/>
      </c>
      <c r="N263" s="799" t="n"/>
      <c r="O263" s="817">
        <f>O261-O262</f>
        <v/>
      </c>
      <c r="P263" s="799" t="n"/>
      <c r="Q263" s="814" t="n"/>
      <c r="R263" s="983" t="inlineStr">
        <is>
          <t>합산 미 납입금</t>
        </is>
      </c>
      <c r="S263" s="954" t="n"/>
      <c r="T263" s="955">
        <f>T200+C263+E263+G263+I263+K263+O263</f>
        <v/>
      </c>
    </row>
    <row r="264" ht="14.1" customHeight="1" s="797">
      <c r="A264" s="821" t="inlineStr">
        <is>
          <t>실비
(갱신)</t>
        </is>
      </c>
      <c r="B264" s="457" t="inlineStr">
        <is>
          <t>질병입원의료비</t>
        </is>
      </c>
      <c r="C264" s="828" t="n"/>
      <c r="D264" s="829" t="n"/>
      <c r="E264" s="828" t="n"/>
      <c r="F264" s="956" t="n"/>
      <c r="G264" s="828" t="n"/>
      <c r="H264" s="880" t="n"/>
      <c r="I264" s="828" t="n"/>
      <c r="J264" s="880" t="n"/>
      <c r="K264" s="828" t="n"/>
      <c r="L264" s="829" t="n"/>
      <c r="M264" s="828" t="n"/>
      <c r="N264" s="827" t="n"/>
      <c r="O264" s="826" t="n"/>
      <c r="P264" s="827" t="n"/>
      <c r="Q264" s="830" t="n"/>
      <c r="R264" s="821" t="inlineStr">
        <is>
          <t>실비
(갱신)</t>
        </is>
      </c>
      <c r="S264" s="352" t="inlineStr">
        <is>
          <t>질병입원의료비</t>
        </is>
      </c>
      <c r="T264" s="957">
        <f>T201+C264+E264+G264+I264+K264+M264+O264</f>
        <v/>
      </c>
    </row>
    <row r="265" ht="14.1" customHeight="1" s="797">
      <c r="A265" s="832" t="n"/>
      <c r="B265" s="458" t="inlineStr">
        <is>
          <t>질병통원의료비</t>
        </is>
      </c>
      <c r="C265" s="838" t="n"/>
      <c r="D265" s="839" t="n"/>
      <c r="E265" s="838" t="n"/>
      <c r="F265" s="958" t="n"/>
      <c r="G265" s="838" t="n"/>
      <c r="H265" s="894" t="n"/>
      <c r="I265" s="838" t="n"/>
      <c r="J265" s="894" t="n"/>
      <c r="K265" s="838" t="n"/>
      <c r="L265" s="839" t="n"/>
      <c r="M265" s="838" t="n"/>
      <c r="N265" s="837" t="n"/>
      <c r="O265" s="836" t="n"/>
      <c r="P265" s="837" t="n"/>
      <c r="Q265" s="830" t="n"/>
      <c r="R265" s="832" t="n"/>
      <c r="S265" s="353" t="inlineStr">
        <is>
          <t>질병통원의료비</t>
        </is>
      </c>
      <c r="T265" s="959">
        <f>T202+C265+E265+G265+I265+K265+M265+O265</f>
        <v/>
      </c>
    </row>
    <row r="266" ht="14.1" customHeight="1" s="797">
      <c r="A266" s="832" t="n"/>
      <c r="B266" s="458" t="inlineStr">
        <is>
          <t>상해입원의료비</t>
        </is>
      </c>
      <c r="C266" s="838" t="n"/>
      <c r="D266" s="839" t="n"/>
      <c r="E266" s="838" t="n"/>
      <c r="F266" s="958" t="n"/>
      <c r="G266" s="838" t="n"/>
      <c r="H266" s="894" t="n"/>
      <c r="I266" s="838" t="n"/>
      <c r="J266" s="894" t="n"/>
      <c r="K266" s="838" t="n"/>
      <c r="L266" s="839" t="n"/>
      <c r="M266" s="838" t="n"/>
      <c r="N266" s="837" t="n"/>
      <c r="O266" s="836" t="n"/>
      <c r="P266" s="837" t="n"/>
      <c r="Q266" s="830" t="n"/>
      <c r="R266" s="832" t="n"/>
      <c r="S266" s="353" t="inlineStr">
        <is>
          <t>상해입원의료비</t>
        </is>
      </c>
      <c r="T266" s="959">
        <f>T203+C266+E266+G266+I266+K266+M266+O266</f>
        <v/>
      </c>
    </row>
    <row r="267" ht="14.1" customHeight="1" s="797">
      <c r="A267" s="832" t="n"/>
      <c r="B267" s="458" t="inlineStr">
        <is>
          <t>상해통원의료비</t>
        </is>
      </c>
      <c r="C267" s="838" t="n"/>
      <c r="D267" s="839" t="n"/>
      <c r="E267" s="838" t="n"/>
      <c r="F267" s="958" t="n"/>
      <c r="G267" s="838" t="n"/>
      <c r="H267" s="894" t="n"/>
      <c r="I267" s="838" t="n"/>
      <c r="J267" s="894" t="n"/>
      <c r="K267" s="838" t="n"/>
      <c r="L267" s="839" t="n"/>
      <c r="M267" s="838" t="n"/>
      <c r="N267" s="837" t="n"/>
      <c r="O267" s="836" t="n"/>
      <c r="P267" s="837" t="n"/>
      <c r="Q267" s="830" t="n"/>
      <c r="R267" s="832" t="n"/>
      <c r="S267" s="353" t="inlineStr">
        <is>
          <t>상해통원의료비</t>
        </is>
      </c>
      <c r="T267" s="959">
        <f>T204+C267+E267+G267+I267+K267+M267+O267</f>
        <v/>
      </c>
    </row>
    <row r="268" ht="14.1" customHeight="1" s="797" thickBot="1">
      <c r="A268" s="841" t="n"/>
      <c r="B268" s="459" t="inlineStr">
        <is>
          <t>3대비급여 의료비</t>
        </is>
      </c>
      <c r="C268" s="847" t="n"/>
      <c r="D268" s="848" t="n"/>
      <c r="E268" s="847" t="n"/>
      <c r="F268" s="960" t="n"/>
      <c r="G268" s="847" t="n"/>
      <c r="H268" s="885" t="n"/>
      <c r="I268" s="847" t="n"/>
      <c r="J268" s="885" t="n"/>
      <c r="K268" s="847" t="n"/>
      <c r="L268" s="848" t="n"/>
      <c r="M268" s="847" t="n"/>
      <c r="N268" s="846" t="n"/>
      <c r="O268" s="845" t="n"/>
      <c r="P268" s="846" t="n"/>
      <c r="Q268" s="830" t="n"/>
      <c r="R268" s="841" t="n"/>
      <c r="S268" s="354" t="inlineStr">
        <is>
          <t>3대비급여 의료비</t>
        </is>
      </c>
      <c r="T268" s="963">
        <f>T205+C268+E268+G268+I268+K268+M268+O268</f>
        <v/>
      </c>
    </row>
    <row r="269" ht="14.1" customHeight="1" s="797">
      <c r="A269" s="624" t="inlineStr">
        <is>
          <t>암</t>
        </is>
      </c>
      <c r="B269" s="460" t="inlineStr">
        <is>
          <t>암진단</t>
        </is>
      </c>
      <c r="C269" s="828" t="n"/>
      <c r="D269" s="908" t="n"/>
      <c r="E269" s="828" t="n"/>
      <c r="F269" s="880" t="n"/>
      <c r="G269" s="828" t="n"/>
      <c r="H269" s="880" t="n"/>
      <c r="I269" s="828" t="n"/>
      <c r="J269" s="880" t="n"/>
      <c r="K269" s="828" t="n"/>
      <c r="L269" s="913" t="n"/>
      <c r="M269" s="828" t="n"/>
      <c r="N269" s="829" t="n"/>
      <c r="O269" s="828" t="n"/>
      <c r="P269" s="827" t="n"/>
      <c r="Q269" s="830" t="n"/>
      <c r="R269" s="626" t="inlineStr">
        <is>
          <t>암</t>
        </is>
      </c>
      <c r="S269" s="490" t="inlineStr">
        <is>
          <t>암진단비</t>
        </is>
      </c>
      <c r="T269" s="957">
        <f>T206+C269+E269+G269+I269+K269+M269+O269</f>
        <v/>
      </c>
    </row>
    <row r="270" ht="14.1" customHeight="1" s="797">
      <c r="A270" s="832" t="n"/>
      <c r="B270" s="481" t="inlineStr">
        <is>
          <t>유사암진단</t>
        </is>
      </c>
      <c r="C270" s="838" t="n"/>
      <c r="D270" s="873" t="n"/>
      <c r="E270" s="838" t="n"/>
      <c r="F270" s="852" t="n"/>
      <c r="G270" s="838" t="n"/>
      <c r="H270" s="852" t="n"/>
      <c r="I270" s="838" t="n"/>
      <c r="J270" s="852" t="n"/>
      <c r="K270" s="838" t="n"/>
      <c r="L270" s="914" t="n"/>
      <c r="M270" s="838" t="n"/>
      <c r="N270" s="853" t="n"/>
      <c r="O270" s="856" t="n"/>
      <c r="P270" s="857" t="n"/>
      <c r="Q270" s="830" t="n"/>
      <c r="R270" s="832" t="n"/>
      <c r="S270" s="491" t="inlineStr">
        <is>
          <t>유사암진단</t>
        </is>
      </c>
      <c r="T270" s="959">
        <f>T207+C270+E270+G270+I270+K270+M270+O270</f>
        <v/>
      </c>
    </row>
    <row r="271" ht="14.1" customHeight="1" s="797" thickBot="1">
      <c r="A271" s="832" t="n"/>
      <c r="B271" s="553" t="inlineStr">
        <is>
          <t>전이암진단</t>
        </is>
      </c>
      <c r="C271" s="847" t="n"/>
      <c r="D271" s="961" t="n"/>
      <c r="E271" s="847" t="n"/>
      <c r="F271" s="910" t="n"/>
      <c r="G271" s="847" t="n"/>
      <c r="H271" s="910" t="n"/>
      <c r="I271" s="847" t="n"/>
      <c r="J271" s="910" t="n"/>
      <c r="K271" s="847" t="n"/>
      <c r="L271" s="916" t="n"/>
      <c r="M271" s="909" t="n"/>
      <c r="N271" s="877" t="n"/>
      <c r="O271" s="909" t="n"/>
      <c r="P271" s="962" t="n"/>
      <c r="Q271" s="830" t="n"/>
      <c r="R271" s="832" t="n"/>
      <c r="S271" s="566" t="inlineStr">
        <is>
          <t>전이암진단</t>
        </is>
      </c>
      <c r="T271" s="959">
        <f>T208+C271+E271+G271+I271+K271+M271+O271</f>
        <v/>
      </c>
    </row>
    <row r="272" ht="14.1" customHeight="1" s="797">
      <c r="A272" s="832" t="n"/>
      <c r="B272" s="554" t="inlineStr">
        <is>
          <t>암수술</t>
        </is>
      </c>
      <c r="C272" s="856" t="n"/>
      <c r="D272" s="873" t="n"/>
      <c r="E272" s="856" t="n"/>
      <c r="F272" s="852" t="n"/>
      <c r="G272" s="856" t="n"/>
      <c r="H272" s="852" t="n"/>
      <c r="I272" s="856" t="n"/>
      <c r="J272" s="852" t="n"/>
      <c r="K272" s="856" t="n"/>
      <c r="L272" s="914" t="n"/>
      <c r="M272" s="856" t="n"/>
      <c r="N272" s="853" t="n"/>
      <c r="O272" s="856" t="n"/>
      <c r="P272" s="857" t="n"/>
      <c r="Q272" s="830" t="n"/>
      <c r="R272" s="832" t="n"/>
      <c r="S272" s="343" t="inlineStr">
        <is>
          <t>암수술</t>
        </is>
      </c>
      <c r="T272" s="957">
        <f>T209+C272+E272+G272+I272+K272+M272+O272</f>
        <v/>
      </c>
    </row>
    <row r="273" ht="14.1" customHeight="1" s="797">
      <c r="A273" s="832" t="n"/>
      <c r="B273" s="555" t="inlineStr">
        <is>
          <t>다빈치로봇수술</t>
        </is>
      </c>
      <c r="C273" s="838" t="n"/>
      <c r="D273" s="873" t="n"/>
      <c r="E273" s="838" t="n"/>
      <c r="F273" s="852" t="n"/>
      <c r="G273" s="838" t="n"/>
      <c r="H273" s="852" t="n"/>
      <c r="I273" s="838" t="n"/>
      <c r="J273" s="852" t="n"/>
      <c r="K273" s="838" t="n"/>
      <c r="L273" s="914" t="n"/>
      <c r="M273" s="856" t="n"/>
      <c r="N273" s="853" t="n"/>
      <c r="O273" s="856" t="n"/>
      <c r="P273" s="857" t="n"/>
      <c r="Q273" s="830" t="n"/>
      <c r="R273" s="832" t="n"/>
      <c r="S273" s="326" t="inlineStr">
        <is>
          <t>다빈치로봇수술</t>
        </is>
      </c>
      <c r="T273" s="959">
        <f>T210+C273+E273+G273+I273+K273+M273+O273</f>
        <v/>
      </c>
    </row>
    <row r="274" ht="14.1" customHeight="1" s="797">
      <c r="A274" s="832" t="n"/>
      <c r="B274" s="556" t="inlineStr">
        <is>
          <t>항암방사선</t>
        </is>
      </c>
      <c r="C274" s="838" t="n"/>
      <c r="D274" s="873" t="n"/>
      <c r="E274" s="838" t="n"/>
      <c r="F274" s="852" t="n"/>
      <c r="G274" s="838" t="n"/>
      <c r="H274" s="852" t="n"/>
      <c r="I274" s="838" t="n"/>
      <c r="J274" s="852" t="n"/>
      <c r="K274" s="838" t="n"/>
      <c r="L274" s="914" t="n"/>
      <c r="M274" s="856" t="n"/>
      <c r="N274" s="853" t="n"/>
      <c r="O274" s="856" t="n"/>
      <c r="P274" s="857" t="n"/>
      <c r="Q274" s="830" t="n"/>
      <c r="R274" s="832" t="n"/>
      <c r="S274" s="343" t="inlineStr">
        <is>
          <t>항암방사선</t>
        </is>
      </c>
      <c r="T274" s="959">
        <f>T211+C274+E274+G274+I274+K274+M274+O274</f>
        <v/>
      </c>
    </row>
    <row r="275" ht="14.1" customHeight="1" s="797">
      <c r="A275" s="832" t="n"/>
      <c r="B275" s="555" t="inlineStr">
        <is>
          <t>중입자방사선</t>
        </is>
      </c>
      <c r="C275" s="838" t="n"/>
      <c r="D275" s="873" t="n"/>
      <c r="E275" s="838" t="n"/>
      <c r="F275" s="852" t="n"/>
      <c r="G275" s="838" t="n"/>
      <c r="H275" s="852" t="n"/>
      <c r="I275" s="838" t="n"/>
      <c r="J275" s="852" t="n"/>
      <c r="K275" s="838" t="n"/>
      <c r="L275" s="914" t="n"/>
      <c r="M275" s="856" t="n"/>
      <c r="N275" s="853" t="n"/>
      <c r="O275" s="856" t="n"/>
      <c r="P275" s="857" t="n"/>
      <c r="Q275" s="830" t="n"/>
      <c r="R275" s="832" t="n"/>
      <c r="S275" s="326" t="inlineStr">
        <is>
          <t>중입자방사선</t>
        </is>
      </c>
      <c r="T275" s="959">
        <f>T212+C275+E275+G275+I275+K275+M275+O275</f>
        <v/>
      </c>
    </row>
    <row r="276" ht="14.1" customHeight="1" s="797">
      <c r="A276" s="832" t="n"/>
      <c r="B276" s="555" t="inlineStr">
        <is>
          <t>양성자방사선</t>
        </is>
      </c>
      <c r="C276" s="838" t="n"/>
      <c r="D276" s="873" t="n"/>
      <c r="E276" s="838" t="n"/>
      <c r="F276" s="852" t="n"/>
      <c r="G276" s="838" t="n"/>
      <c r="H276" s="852" t="n"/>
      <c r="I276" s="838" t="n"/>
      <c r="J276" s="852" t="n"/>
      <c r="K276" s="838" t="n"/>
      <c r="L276" s="914" t="n"/>
      <c r="M276" s="856" t="n"/>
      <c r="N276" s="853" t="n"/>
      <c r="O276" s="856" t="n"/>
      <c r="P276" s="857" t="n"/>
      <c r="Q276" s="830" t="n"/>
      <c r="R276" s="832" t="n"/>
      <c r="S276" s="326" t="inlineStr">
        <is>
          <t>양성자방사선</t>
        </is>
      </c>
      <c r="T276" s="959">
        <f>T213+C276+E276+G276+I276+K276+M276+O276</f>
        <v/>
      </c>
    </row>
    <row r="277" ht="14.1" customHeight="1" s="797">
      <c r="A277" s="832" t="n"/>
      <c r="B277" s="555" t="inlineStr">
        <is>
          <t>세기조절방사선</t>
        </is>
      </c>
      <c r="C277" s="838" t="n"/>
      <c r="D277" s="873" t="n"/>
      <c r="E277" s="838" t="n"/>
      <c r="F277" s="852" t="n"/>
      <c r="G277" s="838" t="n"/>
      <c r="H277" s="852" t="n"/>
      <c r="I277" s="838" t="n"/>
      <c r="J277" s="852" t="n"/>
      <c r="K277" s="838" t="n"/>
      <c r="L277" s="914" t="n"/>
      <c r="M277" s="856" t="n"/>
      <c r="N277" s="853" t="n"/>
      <c r="O277" s="856" t="n"/>
      <c r="P277" s="857" t="n"/>
      <c r="Q277" s="830" t="n"/>
      <c r="R277" s="832" t="n"/>
      <c r="S277" s="326" t="inlineStr">
        <is>
          <t>세기조절방사선</t>
        </is>
      </c>
      <c r="T277" s="959">
        <f>T214+C277+E277+G277+I277+K277+M277+O277</f>
        <v/>
      </c>
    </row>
    <row r="278" ht="14.1" customHeight="1" s="797">
      <c r="A278" s="832" t="n"/>
      <c r="B278" s="556" t="inlineStr">
        <is>
          <t>항암약물</t>
        </is>
      </c>
      <c r="C278" s="838" t="n"/>
      <c r="D278" s="873" t="n"/>
      <c r="E278" s="862" t="n"/>
      <c r="F278" s="853" t="n"/>
      <c r="G278" s="862" t="n"/>
      <c r="H278" s="852" t="n"/>
      <c r="I278" s="862" t="n"/>
      <c r="J278" s="852" t="n"/>
      <c r="K278" s="862" t="n"/>
      <c r="L278" s="914" t="n"/>
      <c r="M278" s="859" t="n"/>
      <c r="N278" s="853" t="n"/>
      <c r="O278" s="856" t="n"/>
      <c r="P278" s="857" t="n"/>
      <c r="Q278" s="830" t="n"/>
      <c r="R278" s="832" t="n"/>
      <c r="S278" s="343" t="inlineStr">
        <is>
          <t>항암약물</t>
        </is>
      </c>
      <c r="T278" s="959">
        <f>T215+C278+E278+G278+I278+K278+M278+O278</f>
        <v/>
      </c>
    </row>
    <row r="279" ht="14.1" customHeight="1" s="797">
      <c r="A279" s="832" t="n"/>
      <c r="B279" s="555" t="inlineStr">
        <is>
          <t>표적항암약물</t>
        </is>
      </c>
      <c r="C279" s="862" t="n"/>
      <c r="D279" s="882" t="n"/>
      <c r="E279" s="862" t="n"/>
      <c r="F279" s="853" t="n"/>
      <c r="G279" s="862" t="n"/>
      <c r="H279" s="852" t="n"/>
      <c r="I279" s="862" t="n"/>
      <c r="J279" s="852" t="n"/>
      <c r="K279" s="862" t="n"/>
      <c r="L279" s="914" t="n"/>
      <c r="M279" s="859" t="n"/>
      <c r="N279" s="853" t="n"/>
      <c r="O279" s="859" t="n"/>
      <c r="P279" s="864" t="n"/>
      <c r="Q279" s="830" t="n"/>
      <c r="R279" s="832" t="n"/>
      <c r="S279" s="326" t="inlineStr">
        <is>
          <t>표적항암약물</t>
        </is>
      </c>
      <c r="T279" s="959">
        <f>T216+C279+E279+G279+I279+K279+M279+O279</f>
        <v/>
      </c>
    </row>
    <row r="280" ht="14.1" customHeight="1" s="797" thickBot="1">
      <c r="A280" s="832" t="n"/>
      <c r="B280" s="557" t="inlineStr">
        <is>
          <t>면역항암약물</t>
        </is>
      </c>
      <c r="C280" s="847" t="n"/>
      <c r="D280" s="848" t="n"/>
      <c r="E280" s="847" t="n"/>
      <c r="F280" s="871" t="n"/>
      <c r="G280" s="847" t="n"/>
      <c r="H280" s="852" t="n"/>
      <c r="I280" s="847" t="n"/>
      <c r="J280" s="852" t="n"/>
      <c r="K280" s="847" t="n"/>
      <c r="L280" s="914" t="n"/>
      <c r="M280" s="847" t="n"/>
      <c r="N280" s="853" t="n"/>
      <c r="O280" s="845" t="n"/>
      <c r="P280" s="846" t="n"/>
      <c r="Q280" s="830" t="n"/>
      <c r="R280" s="832" t="n"/>
      <c r="S280" s="327" t="inlineStr">
        <is>
          <t>면역항암약물</t>
        </is>
      </c>
      <c r="T280" s="963">
        <f>T217+C280+E280+G280+I280+K280+M280+O280</f>
        <v/>
      </c>
    </row>
    <row r="281" ht="14.1" customHeight="1" s="797">
      <c r="A281" s="628" t="inlineStr">
        <is>
          <t>2대
질병</t>
        </is>
      </c>
      <c r="B281" s="461" t="inlineStr">
        <is>
          <t>뇌혈관진단</t>
        </is>
      </c>
      <c r="C281" s="838" t="n"/>
      <c r="D281" s="829" t="n"/>
      <c r="E281" s="838" t="n"/>
      <c r="F281" s="880" t="n"/>
      <c r="G281" s="838" t="n"/>
      <c r="H281" s="880" t="n"/>
      <c r="I281" s="838" t="n"/>
      <c r="J281" s="880" t="n"/>
      <c r="K281" s="838" t="n"/>
      <c r="L281" s="913" t="n"/>
      <c r="M281" s="828" t="n"/>
      <c r="N281" s="829" t="n"/>
      <c r="O281" s="836" t="n"/>
      <c r="P281" s="827" t="n"/>
      <c r="Q281" s="830" t="n"/>
      <c r="R281" s="630" t="inlineStr">
        <is>
          <t>2대
질병</t>
        </is>
      </c>
      <c r="S281" s="379" t="inlineStr">
        <is>
          <t>뇌혈관</t>
        </is>
      </c>
      <c r="T281" s="957">
        <f>T218+C281+E281+G281+I281+K281+M281+O281</f>
        <v/>
      </c>
    </row>
    <row r="282" ht="14.1" customHeight="1" s="797">
      <c r="A282" s="832" t="n"/>
      <c r="B282" s="462" t="inlineStr">
        <is>
          <t>뇌졸증진단</t>
        </is>
      </c>
      <c r="C282" s="838" t="n"/>
      <c r="D282" s="853" t="n"/>
      <c r="E282" s="856" t="n"/>
      <c r="F282" s="852" t="n"/>
      <c r="G282" s="838" t="n"/>
      <c r="H282" s="852" t="n"/>
      <c r="I282" s="838" t="n"/>
      <c r="J282" s="852" t="n"/>
      <c r="K282" s="838" t="n"/>
      <c r="L282" s="914" t="n"/>
      <c r="M282" s="856" t="n"/>
      <c r="N282" s="853" t="n"/>
      <c r="O282" s="836" t="n"/>
      <c r="P282" s="857" t="n"/>
      <c r="Q282" s="830" t="n"/>
      <c r="R282" s="832" t="n"/>
      <c r="S282" s="380" t="inlineStr">
        <is>
          <t>뇌졸증</t>
        </is>
      </c>
      <c r="T282" s="959">
        <f>T219+C282+E282+G282+I282+K282+M282+O282</f>
        <v/>
      </c>
    </row>
    <row r="283" ht="14.1" customHeight="1" s="797" thickBot="1">
      <c r="A283" s="832" t="n"/>
      <c r="B283" s="463" t="inlineStr">
        <is>
          <t>뇌출혈진단</t>
        </is>
      </c>
      <c r="C283" s="859" t="n"/>
      <c r="D283" s="860" t="n"/>
      <c r="E283" s="859" t="n"/>
      <c r="F283" s="863" t="n"/>
      <c r="G283" s="859" t="n"/>
      <c r="H283" s="863" t="n"/>
      <c r="I283" s="859" t="n"/>
      <c r="J283" s="863" t="n"/>
      <c r="K283" s="859" t="n"/>
      <c r="L283" s="915" t="n"/>
      <c r="M283" s="859" t="n"/>
      <c r="N283" s="860" t="n"/>
      <c r="O283" s="883" t="n"/>
      <c r="P283" s="864" t="n"/>
      <c r="Q283" s="830" t="n"/>
      <c r="R283" s="832" t="n"/>
      <c r="S283" s="381" t="inlineStr">
        <is>
          <t>뇌출혈</t>
        </is>
      </c>
      <c r="T283" s="959">
        <f>T220+C283+E283+G283+I283+K283+M283+O283</f>
        <v/>
      </c>
    </row>
    <row r="284" ht="14.1" customHeight="1" s="797">
      <c r="A284" s="832" t="n"/>
      <c r="B284" s="461" t="inlineStr">
        <is>
          <t>심장질환진단</t>
        </is>
      </c>
      <c r="C284" s="828" t="n"/>
      <c r="D284" s="829" t="n"/>
      <c r="E284" s="828" t="n"/>
      <c r="F284" s="880" t="n"/>
      <c r="G284" s="828" t="n"/>
      <c r="H284" s="880" t="n"/>
      <c r="I284" s="828" t="n"/>
      <c r="J284" s="880" t="n"/>
      <c r="K284" s="828" t="n"/>
      <c r="L284" s="913" t="n"/>
      <c r="M284" s="828" t="n"/>
      <c r="N284" s="829" t="n"/>
      <c r="O284" s="826" t="n"/>
      <c r="P284" s="827" t="n"/>
      <c r="Q284" s="830" t="n"/>
      <c r="R284" s="832" t="n"/>
      <c r="S284" s="358" t="inlineStr">
        <is>
          <t>심장질환</t>
        </is>
      </c>
      <c r="T284" s="957">
        <f>T221+C284+E284+G284+I284+K284+M284+O284</f>
        <v/>
      </c>
    </row>
    <row r="285" ht="14.1" customHeight="1" s="797">
      <c r="A285" s="832" t="n"/>
      <c r="B285" s="488" t="inlineStr">
        <is>
          <t>허혈성심장진단</t>
        </is>
      </c>
      <c r="C285" s="838" t="n"/>
      <c r="D285" s="853" t="n"/>
      <c r="E285" s="838" t="n"/>
      <c r="F285" s="852" t="n"/>
      <c r="G285" s="838" t="n"/>
      <c r="H285" s="852" t="n"/>
      <c r="I285" s="838" t="n"/>
      <c r="J285" s="852" t="n"/>
      <c r="K285" s="838" t="n"/>
      <c r="L285" s="914" t="n"/>
      <c r="M285" s="838" t="n"/>
      <c r="N285" s="853" t="n"/>
      <c r="O285" s="836" t="n"/>
      <c r="P285" s="857" t="n"/>
      <c r="Q285" s="830" t="n"/>
      <c r="R285" s="832" t="n"/>
      <c r="S285" s="359" t="inlineStr">
        <is>
          <t>허혈성심장</t>
        </is>
      </c>
      <c r="T285" s="959">
        <f>T222+C285+E285+G285+I285+K285+M285+O285</f>
        <v/>
      </c>
    </row>
    <row r="286" ht="14.1" customHeight="1" s="797" thickBot="1">
      <c r="A286" s="832" t="n"/>
      <c r="B286" s="489" t="inlineStr">
        <is>
          <t>급성심근경색진단</t>
        </is>
      </c>
      <c r="C286" s="847" t="n"/>
      <c r="D286" s="848" t="n"/>
      <c r="E286" s="847" t="n"/>
      <c r="F286" s="885" t="n"/>
      <c r="G286" s="847" t="n"/>
      <c r="H286" s="885" t="n"/>
      <c r="I286" s="847" t="n"/>
      <c r="J286" s="885" t="n"/>
      <c r="K286" s="847" t="n"/>
      <c r="L286" s="891" t="n"/>
      <c r="M286" s="847" t="n"/>
      <c r="N286" s="848" t="n"/>
      <c r="O286" s="845" t="n"/>
      <c r="P286" s="887" t="n"/>
      <c r="Q286" s="830" t="n"/>
      <c r="R286" s="832" t="n"/>
      <c r="S286" s="360" t="inlineStr">
        <is>
          <t>급성심근경색</t>
        </is>
      </c>
      <c r="T286" s="959">
        <f>T223+C286+E286+G286+I286+K286+M286+O286</f>
        <v/>
      </c>
    </row>
    <row r="287" ht="14.1" customHeight="1" s="797">
      <c r="A287" s="832" t="n"/>
      <c r="B287" s="461" t="inlineStr">
        <is>
          <t>수술/시술비</t>
        </is>
      </c>
      <c r="C287" s="828" t="n"/>
      <c r="D287" s="829" t="n"/>
      <c r="E287" s="828" t="n"/>
      <c r="F287" s="880" t="n"/>
      <c r="G287" s="828" t="n"/>
      <c r="H287" s="880" t="n"/>
      <c r="I287" s="828" t="n"/>
      <c r="J287" s="880" t="n"/>
      <c r="K287" s="828" t="n"/>
      <c r="L287" s="913" t="n"/>
      <c r="M287" s="828" t="n"/>
      <c r="N287" s="829" t="n"/>
      <c r="O287" s="826" t="n"/>
      <c r="P287" s="827" t="n"/>
      <c r="Q287" s="830" t="n"/>
      <c r="R287" s="832" t="n"/>
      <c r="S287" s="361" t="inlineStr">
        <is>
          <t>수술비</t>
        </is>
      </c>
      <c r="T287" s="957">
        <f>T224+C287+E287+G287+I287+K287+M287+O287</f>
        <v/>
      </c>
    </row>
    <row r="288" ht="14.1" customHeight="1" s="797">
      <c r="A288" s="832" t="n"/>
      <c r="B288" s="488" t="inlineStr">
        <is>
          <t>혈전용해치료</t>
        </is>
      </c>
      <c r="C288" s="838" t="n"/>
      <c r="D288" s="853" t="n"/>
      <c r="E288" s="838" t="n"/>
      <c r="F288" s="852" t="n"/>
      <c r="G288" s="838" t="n"/>
      <c r="H288" s="852" t="n"/>
      <c r="I288" s="838" t="n"/>
      <c r="J288" s="852" t="n"/>
      <c r="K288" s="838" t="n"/>
      <c r="L288" s="914" t="n"/>
      <c r="M288" s="838" t="n"/>
      <c r="N288" s="853" t="n"/>
      <c r="O288" s="836" t="n"/>
      <c r="P288" s="857" t="n"/>
      <c r="Q288" s="830" t="n"/>
      <c r="R288" s="832" t="n"/>
      <c r="S288" s="362" t="inlineStr">
        <is>
          <t>혈전용해치료</t>
        </is>
      </c>
      <c r="T288" s="959">
        <f>T225+C288+E288+G288+I288+K288+M288+O288</f>
        <v/>
      </c>
    </row>
    <row r="289" ht="14.1" customHeight="1" s="797" thickBot="1">
      <c r="A289" s="832" t="n"/>
      <c r="B289" s="489" t="inlineStr">
        <is>
          <t>혈전제거치료</t>
        </is>
      </c>
      <c r="C289" s="847" t="n"/>
      <c r="D289" s="848" t="n"/>
      <c r="E289" s="847" t="n"/>
      <c r="F289" s="885" t="n"/>
      <c r="G289" s="847" t="n"/>
      <c r="H289" s="885" t="n"/>
      <c r="I289" s="847" t="n"/>
      <c r="J289" s="885" t="n"/>
      <c r="K289" s="847" t="n"/>
      <c r="L289" s="891" t="n"/>
      <c r="M289" s="847" t="n"/>
      <c r="N289" s="848" t="n"/>
      <c r="O289" s="845" t="n"/>
      <c r="P289" s="887" t="n"/>
      <c r="Q289" s="830" t="n"/>
      <c r="R289" s="832" t="n"/>
      <c r="S289" s="363" t="inlineStr">
        <is>
          <t>중환자실치료</t>
        </is>
      </c>
      <c r="T289" s="959">
        <f>T226+C289+E289+G289+I289+K289+M289+O289</f>
        <v/>
      </c>
    </row>
    <row r="290" ht="14.1" customHeight="1" s="797">
      <c r="A290" s="892" t="inlineStr">
        <is>
          <t>후유장해</t>
        </is>
      </c>
      <c r="B290" s="464" t="inlineStr">
        <is>
          <t>질병 80% 이상</t>
        </is>
      </c>
      <c r="C290" s="828" t="n"/>
      <c r="D290" s="966" t="n"/>
      <c r="E290" s="828" t="n"/>
      <c r="F290" s="880" t="n"/>
      <c r="G290" s="828" t="n"/>
      <c r="H290" s="880" t="n"/>
      <c r="I290" s="828" t="n"/>
      <c r="J290" s="880" t="n"/>
      <c r="K290" s="828" t="n"/>
      <c r="L290" s="913" t="n"/>
      <c r="M290" s="828" t="n"/>
      <c r="N290" s="829" t="n"/>
      <c r="O290" s="826" t="n"/>
      <c r="P290" s="827" t="n"/>
      <c r="Q290" s="830" t="n"/>
      <c r="R290" s="892" t="inlineStr">
        <is>
          <t>후유장해</t>
        </is>
      </c>
      <c r="S290" s="364" t="inlineStr">
        <is>
          <t>질병 80% 이상</t>
        </is>
      </c>
      <c r="T290" s="957">
        <f>T227+C290+E290+G290+I290+K290+M290+O290</f>
        <v/>
      </c>
    </row>
    <row r="291" ht="14.1" customHeight="1" s="797">
      <c r="A291" s="832" t="n"/>
      <c r="B291" s="465" t="inlineStr">
        <is>
          <t>질병 3% ~80%</t>
        </is>
      </c>
      <c r="C291" s="838" t="n"/>
      <c r="D291" s="967" t="n"/>
      <c r="E291" s="838" t="n"/>
      <c r="F291" s="931" t="n"/>
      <c r="G291" s="838" t="n"/>
      <c r="H291" s="894" t="n"/>
      <c r="I291" s="838" t="n"/>
      <c r="J291" s="894" t="n"/>
      <c r="K291" s="838" t="n"/>
      <c r="L291" s="968" t="n"/>
      <c r="M291" s="838" t="n"/>
      <c r="N291" s="839" t="n"/>
      <c r="O291" s="836" t="n"/>
      <c r="P291" s="837" t="n"/>
      <c r="Q291" s="830" t="n"/>
      <c r="R291" s="832" t="n"/>
      <c r="S291" s="365" t="inlineStr">
        <is>
          <t>질병 3% ~80%</t>
        </is>
      </c>
      <c r="T291" s="959">
        <f>T228+C291+E291+G291+I291+K291+M291+O291</f>
        <v/>
      </c>
    </row>
    <row r="292" ht="14.1" customHeight="1" s="797">
      <c r="A292" s="832" t="n"/>
      <c r="B292" s="465" t="inlineStr">
        <is>
          <t>상해 80% 이상</t>
        </is>
      </c>
      <c r="C292" s="838" t="n"/>
      <c r="D292" s="902" t="n"/>
      <c r="E292" s="838" t="n"/>
      <c r="F292" s="902" t="n"/>
      <c r="G292" s="838" t="n"/>
      <c r="H292" s="839" t="n"/>
      <c r="I292" s="838" t="n"/>
      <c r="J292" s="839" t="n"/>
      <c r="K292" s="838" t="n"/>
      <c r="L292" s="968" t="n"/>
      <c r="M292" s="838" t="n"/>
      <c r="N292" s="839" t="n"/>
      <c r="O292" s="836" t="n"/>
      <c r="P292" s="837" t="n"/>
      <c r="Q292" s="830" t="n"/>
      <c r="R292" s="832" t="n"/>
      <c r="S292" s="365" t="inlineStr">
        <is>
          <t>상해 80% 이상</t>
        </is>
      </c>
      <c r="T292" s="959">
        <f>T229+C292+E292+G292+I292+K292+M292+O292</f>
        <v/>
      </c>
    </row>
    <row r="293" ht="14.1" customHeight="1" s="797" thickBot="1">
      <c r="A293" s="841" t="n"/>
      <c r="B293" s="466" t="inlineStr">
        <is>
          <t>상해 3% ~ 80%</t>
        </is>
      </c>
      <c r="C293" s="847" t="n"/>
      <c r="D293" s="899" t="n"/>
      <c r="E293" s="847" t="n"/>
      <c r="F293" s="899" t="n"/>
      <c r="G293" s="838" t="n"/>
      <c r="H293" s="848" t="n"/>
      <c r="I293" s="838" t="n"/>
      <c r="J293" s="848" t="n"/>
      <c r="K293" s="838" t="n"/>
      <c r="L293" s="891" t="n"/>
      <c r="M293" s="847" t="n"/>
      <c r="N293" s="848" t="n"/>
      <c r="O293" s="845" t="n"/>
      <c r="P293" s="846" t="n"/>
      <c r="Q293" s="830" t="n"/>
      <c r="R293" s="841" t="n"/>
      <c r="S293" s="366" t="inlineStr">
        <is>
          <t>상해 3% ~ 80%</t>
        </is>
      </c>
      <c r="T293" s="959">
        <f>T230+C293+E293+G293+I293+K293+M293+O293</f>
        <v/>
      </c>
    </row>
    <row r="294" ht="14.1" customHeight="1" s="797">
      <c r="A294" s="897" t="inlineStr">
        <is>
          <t>사망</t>
        </is>
      </c>
      <c r="B294" s="467" t="inlineStr">
        <is>
          <t>일반</t>
        </is>
      </c>
      <c r="C294" s="856" t="n"/>
      <c r="D294" s="939" t="n"/>
      <c r="E294" s="828" t="n"/>
      <c r="F294" s="880" t="n"/>
      <c r="G294" s="828" t="n"/>
      <c r="H294" s="829" t="n"/>
      <c r="I294" s="828" t="n"/>
      <c r="J294" s="829" t="n"/>
      <c r="K294" s="828" t="n"/>
      <c r="L294" s="913" t="n"/>
      <c r="M294" s="828" t="n"/>
      <c r="N294" s="829" t="n"/>
      <c r="O294" s="826" t="n"/>
      <c r="P294" s="827" t="n"/>
      <c r="Q294" s="830" t="n"/>
      <c r="R294" s="897" t="inlineStr">
        <is>
          <t>사망</t>
        </is>
      </c>
      <c r="S294" s="367" t="inlineStr">
        <is>
          <t>일반</t>
        </is>
      </c>
      <c r="T294" s="957">
        <f>T231+C294+E294+G294+I294+K294+M294+O294</f>
        <v/>
      </c>
    </row>
    <row r="295" ht="14.1" customHeight="1" s="797">
      <c r="A295" s="832" t="n"/>
      <c r="B295" s="468" t="inlineStr">
        <is>
          <t>질병</t>
        </is>
      </c>
      <c r="C295" s="838" t="n"/>
      <c r="D295" s="931" t="n"/>
      <c r="E295" s="838" t="n"/>
      <c r="F295" s="894" t="n"/>
      <c r="G295" s="838" t="n"/>
      <c r="H295" s="839" t="n"/>
      <c r="I295" s="838" t="n"/>
      <c r="J295" s="839" t="n"/>
      <c r="K295" s="838" t="n"/>
      <c r="L295" s="968" t="n"/>
      <c r="M295" s="838" t="n"/>
      <c r="N295" s="839" t="n"/>
      <c r="O295" s="836" t="n"/>
      <c r="P295" s="837" t="n"/>
      <c r="Q295" s="830" t="n"/>
      <c r="R295" s="832" t="n"/>
      <c r="S295" s="368" t="inlineStr">
        <is>
          <t>질병</t>
        </is>
      </c>
      <c r="T295" s="959">
        <f>T232+C295+E295+G295+I295+K295+M295+O295</f>
        <v/>
      </c>
    </row>
    <row r="296" ht="14.1" customHeight="1" s="797" thickBot="1">
      <c r="A296" s="841" t="n"/>
      <c r="B296" s="469" t="inlineStr">
        <is>
          <t>상해</t>
        </is>
      </c>
      <c r="C296" s="847" t="n"/>
      <c r="D296" s="900" t="n"/>
      <c r="E296" s="847" t="n"/>
      <c r="F296" s="885" t="n"/>
      <c r="G296" s="847" t="n"/>
      <c r="H296" s="848" t="n"/>
      <c r="I296" s="847" t="n"/>
      <c r="J296" s="848" t="n"/>
      <c r="K296" s="847" t="n"/>
      <c r="L296" s="891" t="n"/>
      <c r="M296" s="847" t="n"/>
      <c r="N296" s="848" t="n"/>
      <c r="O296" s="901" t="n"/>
      <c r="P296" s="857" t="n"/>
      <c r="Q296" s="830" t="n"/>
      <c r="R296" s="841" t="n"/>
      <c r="S296" s="369" t="inlineStr">
        <is>
          <t>상해</t>
        </is>
      </c>
      <c r="T296" s="959">
        <f>T233+C296+E296+G296+I296+K296+M296+O296</f>
        <v/>
      </c>
    </row>
    <row r="297" ht="14.1" customHeight="1" s="797">
      <c r="A297" s="617" t="inlineStr">
        <is>
          <t>수술비</t>
        </is>
      </c>
      <c r="B297" s="470" t="inlineStr">
        <is>
          <t>질병</t>
        </is>
      </c>
      <c r="C297" s="828" t="n"/>
      <c r="D297" s="908" t="n"/>
      <c r="E297" s="828" t="n"/>
      <c r="F297" s="852" t="n"/>
      <c r="G297" s="828" t="n"/>
      <c r="H297" s="853" t="n"/>
      <c r="I297" s="828" t="n"/>
      <c r="J297" s="853" t="n"/>
      <c r="K297" s="828" t="n"/>
      <c r="L297" s="913" t="n"/>
      <c r="M297" s="856" t="n"/>
      <c r="N297" s="853" t="n"/>
      <c r="O297" s="826" t="n"/>
      <c r="P297" s="827" t="n"/>
      <c r="Q297" s="830" t="n"/>
      <c r="R297" s="617" t="inlineStr">
        <is>
          <t>수술비</t>
        </is>
      </c>
      <c r="S297" s="480" t="inlineStr">
        <is>
          <t>질병</t>
        </is>
      </c>
      <c r="T297" s="957">
        <f>T234+C297+E297+G297+I297+K297+M297+O297</f>
        <v/>
      </c>
    </row>
    <row r="298" ht="14.1" customHeight="1" s="797">
      <c r="A298" s="832" t="n"/>
      <c r="B298" s="470" t="inlineStr">
        <is>
          <t>상해</t>
        </is>
      </c>
      <c r="C298" s="838" t="n"/>
      <c r="D298" s="902" t="n"/>
      <c r="E298" s="838" t="n"/>
      <c r="F298" s="894" t="n"/>
      <c r="G298" s="838" t="n"/>
      <c r="H298" s="839" t="n"/>
      <c r="I298" s="838" t="n"/>
      <c r="J298" s="839" t="n"/>
      <c r="K298" s="838" t="n"/>
      <c r="L298" s="968" t="n"/>
      <c r="M298" s="838" t="n"/>
      <c r="N298" s="853" t="n"/>
      <c r="O298" s="836" t="n"/>
      <c r="P298" s="837" t="n"/>
      <c r="Q298" s="830" t="n"/>
      <c r="R298" s="832" t="n"/>
      <c r="S298" s="480" t="inlineStr">
        <is>
          <t>상해</t>
        </is>
      </c>
      <c r="T298" s="959">
        <f>T235+C298+E298+G298+I298+K298+M298+O298</f>
        <v/>
      </c>
    </row>
    <row r="299" ht="14.1" customHeight="1" s="797">
      <c r="A299" s="832" t="n"/>
      <c r="B299" s="470" t="inlineStr">
        <is>
          <t>1-5종</t>
        </is>
      </c>
      <c r="C299" s="838" t="n"/>
      <c r="D299" s="902" t="n"/>
      <c r="E299" s="838" t="n"/>
      <c r="F299" s="852" t="n"/>
      <c r="G299" s="838" t="n"/>
      <c r="H299" s="853" t="n"/>
      <c r="I299" s="838" t="n"/>
      <c r="J299" s="853" t="n"/>
      <c r="K299" s="838" t="n"/>
      <c r="L299" s="914" t="n"/>
      <c r="M299" s="838" t="n"/>
      <c r="N299" s="853" t="n"/>
      <c r="O299" s="836" t="n"/>
      <c r="P299" s="837" t="n"/>
      <c r="Q299" s="830" t="n"/>
      <c r="R299" s="832" t="n"/>
      <c r="S299" s="480" t="inlineStr">
        <is>
          <t>1-5종</t>
        </is>
      </c>
      <c r="T299" s="959">
        <f>T236+C299+E299+G299+I299+K299+M299+O299</f>
        <v/>
      </c>
    </row>
    <row r="300" ht="14.1" customHeight="1" s="797" thickBot="1">
      <c r="A300" s="832" t="n"/>
      <c r="B300" s="471" t="inlineStr">
        <is>
          <t>N대질병</t>
        </is>
      </c>
      <c r="C300" s="862" t="n"/>
      <c r="D300" s="899" t="n"/>
      <c r="E300" s="862" t="n"/>
      <c r="F300" s="863" t="n"/>
      <c r="G300" s="862" t="n"/>
      <c r="H300" s="860" t="n"/>
      <c r="I300" s="862" t="n"/>
      <c r="J300" s="860" t="n"/>
      <c r="K300" s="862" t="n"/>
      <c r="L300" s="969" t="n"/>
      <c r="M300" s="862" t="n"/>
      <c r="N300" s="905" t="n"/>
      <c r="O300" s="907" t="n"/>
      <c r="P300" s="887" t="n"/>
      <c r="Q300" s="830" t="n"/>
      <c r="R300" s="832" t="n"/>
      <c r="S300" s="513" t="inlineStr">
        <is>
          <t>N대질병</t>
        </is>
      </c>
      <c r="T300" s="959">
        <f>T237+C300+E300+G300+I300+K300+M300+O300</f>
        <v/>
      </c>
    </row>
    <row r="301" ht="14.1" customHeight="1" s="797">
      <c r="A301" s="603" t="inlineStr">
        <is>
          <t>상해진단</t>
        </is>
      </c>
      <c r="B301" s="472" t="inlineStr">
        <is>
          <t>골절</t>
        </is>
      </c>
      <c r="C301" s="828" t="n"/>
      <c r="D301" s="908" t="n"/>
      <c r="E301" s="828" t="n"/>
      <c r="F301" s="880" t="n"/>
      <c r="G301" s="828" t="n"/>
      <c r="H301" s="829" t="n"/>
      <c r="I301" s="828" t="n"/>
      <c r="J301" s="829" t="n"/>
      <c r="K301" s="828" t="n"/>
      <c r="L301" s="913" t="n"/>
      <c r="M301" s="828" t="n"/>
      <c r="N301" s="829" t="n"/>
      <c r="O301" s="826" t="n"/>
      <c r="P301" s="827" t="n"/>
      <c r="Q301" s="830" t="n"/>
      <c r="R301" s="603" t="inlineStr">
        <is>
          <t>상해진단</t>
        </is>
      </c>
      <c r="S301" s="483" t="inlineStr">
        <is>
          <t>골절</t>
        </is>
      </c>
      <c r="T301" s="957">
        <f>T238+C301+E301+G301+I301+K301+M301+O301</f>
        <v/>
      </c>
    </row>
    <row r="302" ht="14.1" customHeight="1" s="797" thickBot="1">
      <c r="A302" s="832" t="n"/>
      <c r="B302" s="482" t="inlineStr">
        <is>
          <t>화상</t>
        </is>
      </c>
      <c r="C302" s="909" t="n"/>
      <c r="D302" s="970" t="n"/>
      <c r="E302" s="909" t="n"/>
      <c r="F302" s="885" t="n"/>
      <c r="G302" s="909" t="n"/>
      <c r="H302" s="848" t="n"/>
      <c r="I302" s="909" t="n"/>
      <c r="J302" s="848" t="n"/>
      <c r="K302" s="909" t="n"/>
      <c r="L302" s="916" t="n"/>
      <c r="M302" s="909" t="n"/>
      <c r="N302" s="877" t="n"/>
      <c r="O302" s="911" t="n"/>
      <c r="P302" s="846" t="n"/>
      <c r="Q302" s="830" t="n"/>
      <c r="R302" s="832" t="n"/>
      <c r="S302" s="503" t="inlineStr">
        <is>
          <t>화상</t>
        </is>
      </c>
      <c r="T302" s="959">
        <f>T239+C302+E302+G302+I302+K302+M302+O302</f>
        <v/>
      </c>
    </row>
    <row r="303" ht="14.1" customHeight="1" s="797">
      <c r="A303" s="605" t="inlineStr">
        <is>
          <t>입원비</t>
        </is>
      </c>
      <c r="B303" s="484" t="inlineStr">
        <is>
          <t>질병</t>
        </is>
      </c>
      <c r="C303" s="859" t="n"/>
      <c r="D303" s="971" t="n"/>
      <c r="E303" s="859" t="n"/>
      <c r="F303" s="863" t="n"/>
      <c r="G303" s="859" t="n"/>
      <c r="H303" s="860" t="n"/>
      <c r="I303" s="859" t="n"/>
      <c r="J303" s="860" t="n"/>
      <c r="K303" s="859" t="n"/>
      <c r="L303" s="915" t="n"/>
      <c r="M303" s="859" t="n"/>
      <c r="N303" s="860" t="n"/>
      <c r="O303" s="883" t="n"/>
      <c r="P303" s="864" t="n"/>
      <c r="Q303" s="830" t="n"/>
      <c r="R303" s="605" t="inlineStr">
        <is>
          <t>입원비</t>
        </is>
      </c>
      <c r="S303" s="486" t="inlineStr">
        <is>
          <t>질병</t>
        </is>
      </c>
      <c r="T303" s="957">
        <f>T240+C303+E303+G303+I303+K303+M303+O303</f>
        <v/>
      </c>
    </row>
    <row r="304" ht="14.1" customHeight="1" s="797" thickBot="1">
      <c r="A304" s="912" t="n"/>
      <c r="B304" s="485" t="inlineStr">
        <is>
          <t>상해</t>
        </is>
      </c>
      <c r="C304" s="859" t="n"/>
      <c r="D304" s="971" t="n"/>
      <c r="E304" s="859" t="n"/>
      <c r="F304" s="863" t="n"/>
      <c r="G304" s="859" t="n"/>
      <c r="H304" s="860" t="n"/>
      <c r="I304" s="859" t="n"/>
      <c r="J304" s="860" t="n"/>
      <c r="K304" s="859" t="n"/>
      <c r="L304" s="915" t="n"/>
      <c r="M304" s="859" t="n"/>
      <c r="N304" s="860" t="n"/>
      <c r="O304" s="883" t="n"/>
      <c r="P304" s="864" t="n"/>
      <c r="Q304" s="830" t="n"/>
      <c r="R304" s="912" t="n"/>
      <c r="S304" s="559" t="inlineStr">
        <is>
          <t>상해</t>
        </is>
      </c>
      <c r="T304" s="959">
        <f>T241+C304+E304+G304+I304+K304+M304+O304</f>
        <v/>
      </c>
    </row>
    <row r="305" ht="14.1" customHeight="1" s="797">
      <c r="A305" s="609" t="inlineStr">
        <is>
          <t>간병인</t>
        </is>
      </c>
      <c r="B305" s="473" t="inlineStr">
        <is>
          <t>병원사용</t>
        </is>
      </c>
      <c r="C305" s="828" t="n"/>
      <c r="D305" s="966" t="n"/>
      <c r="E305" s="828" t="n"/>
      <c r="F305" s="880" t="n"/>
      <c r="G305" s="828" t="n"/>
      <c r="H305" s="913" t="n"/>
      <c r="I305" s="828" t="n"/>
      <c r="J305" s="829" t="n"/>
      <c r="K305" s="828" t="n"/>
      <c r="L305" s="913" t="n"/>
      <c r="M305" s="828" t="n"/>
      <c r="N305" s="829" t="n"/>
      <c r="O305" s="826" t="n"/>
      <c r="P305" s="827" t="n"/>
      <c r="Q305" s="830" t="n"/>
      <c r="R305" s="973" t="inlineStr">
        <is>
          <t>간병인</t>
        </is>
      </c>
      <c r="S305" s="562" t="inlineStr">
        <is>
          <t>병원사용</t>
        </is>
      </c>
      <c r="T305" s="957">
        <f>T242+C305+E305+G305+I305+K305+M305+O305</f>
        <v/>
      </c>
    </row>
    <row r="306" ht="14.1" customHeight="1" s="797">
      <c r="A306" s="832" t="n"/>
      <c r="B306" s="474" t="inlineStr">
        <is>
          <t>요양병원사용</t>
        </is>
      </c>
      <c r="C306" s="859" t="n"/>
      <c r="D306" s="971" t="n"/>
      <c r="E306" s="859" t="n"/>
      <c r="F306" s="852" t="n"/>
      <c r="G306" s="859" t="n"/>
      <c r="H306" s="914" t="n"/>
      <c r="I306" s="859" t="n"/>
      <c r="J306" s="853" t="n"/>
      <c r="K306" s="859" t="n"/>
      <c r="L306" s="915" t="n"/>
      <c r="M306" s="859" t="n"/>
      <c r="N306" s="860" t="n"/>
      <c r="O306" s="883" t="n"/>
      <c r="P306" s="864" t="n"/>
      <c r="Q306" s="830" t="n"/>
      <c r="R306" s="832" t="n"/>
      <c r="S306" s="504" t="inlineStr">
        <is>
          <t>요양병원사용</t>
        </is>
      </c>
      <c r="T306" s="959">
        <f>T243+C306+E306+G306+I306+K306+M306+O306</f>
        <v/>
      </c>
    </row>
    <row r="307" ht="14.1" customHeight="1" s="797" thickBot="1">
      <c r="A307" s="841" t="n"/>
      <c r="B307" s="475" t="inlineStr">
        <is>
          <t>간호간병통합사용</t>
        </is>
      </c>
      <c r="C307" s="847" t="n"/>
      <c r="D307" s="974" t="n"/>
      <c r="E307" s="847" t="n"/>
      <c r="F307" s="852" t="n"/>
      <c r="G307" s="847" t="n"/>
      <c r="H307" s="914" t="n"/>
      <c r="I307" s="847" t="n"/>
      <c r="J307" s="853" t="n"/>
      <c r="K307" s="847" t="n"/>
      <c r="L307" s="891" t="n"/>
      <c r="M307" s="847" t="n"/>
      <c r="N307" s="848" t="n"/>
      <c r="O307" s="845" t="n"/>
      <c r="P307" s="846" t="n"/>
      <c r="Q307" s="830" t="n"/>
      <c r="R307" s="841" t="n"/>
      <c r="S307" s="505" t="inlineStr">
        <is>
          <t>간호간병통합사용</t>
        </is>
      </c>
      <c r="T307" s="959">
        <f>T244+C307+E307+G307+I307+K307+M307+O307</f>
        <v/>
      </c>
    </row>
    <row r="308" ht="14.1" customHeight="1" s="797">
      <c r="A308" s="917" t="inlineStr">
        <is>
          <t>운전자</t>
        </is>
      </c>
      <c r="B308" s="476" t="inlineStr">
        <is>
          <t>벌금</t>
        </is>
      </c>
      <c r="C308" s="828" t="n"/>
      <c r="D308" s="975" t="n"/>
      <c r="E308" s="826" t="n"/>
      <c r="F308" s="880" t="n"/>
      <c r="G308" s="828" t="n"/>
      <c r="H308" s="913" t="n"/>
      <c r="I308" s="828" t="n"/>
      <c r="J308" s="829" t="n"/>
      <c r="K308" s="828" t="n"/>
      <c r="L308" s="913" t="n"/>
      <c r="M308" s="828" t="n"/>
      <c r="N308" s="829" t="n"/>
      <c r="O308" s="836" t="n"/>
      <c r="P308" s="827" t="n"/>
      <c r="Q308" s="830" t="n"/>
      <c r="R308" s="917" t="inlineStr">
        <is>
          <t>운전자</t>
        </is>
      </c>
      <c r="S308" s="377" t="inlineStr">
        <is>
          <t>벌금</t>
        </is>
      </c>
      <c r="T308" s="957">
        <f>T245+C308+E308+G308+I308+K308+M308+O308</f>
        <v/>
      </c>
    </row>
    <row r="309" ht="14.1" customHeight="1" s="797">
      <c r="A309" s="832" t="n"/>
      <c r="B309" s="476" t="inlineStr">
        <is>
          <t>변호사선임</t>
        </is>
      </c>
      <c r="C309" s="838" t="n"/>
      <c r="D309" s="976" t="n"/>
      <c r="E309" s="836" t="n"/>
      <c r="F309" s="894" t="n"/>
      <c r="G309" s="838" t="n"/>
      <c r="H309" s="968" t="n"/>
      <c r="I309" s="838" t="n"/>
      <c r="J309" s="443" t="n"/>
      <c r="K309" s="838" t="n"/>
      <c r="L309" s="968" t="n"/>
      <c r="M309" s="838" t="n"/>
      <c r="N309" s="839" t="n"/>
      <c r="O309" s="836" t="n"/>
      <c r="P309" s="837" t="n"/>
      <c r="Q309" s="830" t="n"/>
      <c r="R309" s="832" t="n"/>
      <c r="S309" s="377" t="inlineStr">
        <is>
          <t>변호사선임</t>
        </is>
      </c>
      <c r="T309" s="959">
        <f>T246+C309+E309+G309+I309+K309+M309+O309</f>
        <v/>
      </c>
    </row>
    <row r="310" ht="14.1" customHeight="1" s="797" thickBot="1">
      <c r="A310" s="841" t="n"/>
      <c r="B310" s="477" t="inlineStr">
        <is>
          <t>교통사고처리지원</t>
        </is>
      </c>
      <c r="C310" s="856" t="n"/>
      <c r="D310" s="967" t="n"/>
      <c r="E310" s="901" t="n"/>
      <c r="F310" s="852" t="n"/>
      <c r="G310" s="856" t="n"/>
      <c r="H310" s="914" t="n"/>
      <c r="I310" s="856" t="n"/>
      <c r="J310" s="839" t="n"/>
      <c r="K310" s="856" t="n"/>
      <c r="L310" s="914" t="n"/>
      <c r="M310" s="856" t="n"/>
      <c r="N310" s="853" t="n"/>
      <c r="O310" s="836" t="n"/>
      <c r="P310" s="837" t="n"/>
      <c r="Q310" s="830" t="n"/>
      <c r="R310" s="841" t="n"/>
      <c r="S310" s="378" t="inlineStr">
        <is>
          <t>교통사고처리지원</t>
        </is>
      </c>
      <c r="T310" s="959">
        <f>T247+C310+E310+G310+I310+K310+M310+O310</f>
        <v/>
      </c>
    </row>
    <row r="311" ht="14.1" customHeight="1" s="797" thickBot="1">
      <c r="A311" s="585" t="inlineStr">
        <is>
          <t>일상생활배상책임</t>
        </is>
      </c>
      <c r="B311" s="919" t="n"/>
      <c r="C311" s="920" t="n"/>
      <c r="D311" s="977" t="n"/>
      <c r="E311" s="920" t="n"/>
      <c r="F311" s="922" t="n"/>
      <c r="G311" s="920" t="n"/>
      <c r="H311" s="978" t="n"/>
      <c r="I311" s="920" t="n"/>
      <c r="J311" s="923" t="n"/>
      <c r="K311" s="920" t="n"/>
      <c r="L311" s="978" t="n"/>
      <c r="M311" s="920" t="n"/>
      <c r="N311" s="923" t="n"/>
      <c r="O311" s="925" t="n"/>
      <c r="P311" s="926" t="n"/>
      <c r="Q311" s="830" t="n"/>
      <c r="R311" s="585" t="inlineStr">
        <is>
          <t>일상생활배상책임</t>
        </is>
      </c>
      <c r="S311" s="919" t="n"/>
      <c r="T311" s="957">
        <f>T248+C311+E311+G311+I311+K311+M311+O311</f>
        <v/>
      </c>
    </row>
    <row r="312" ht="14.1" customHeight="1" s="797">
      <c r="A312" s="928" t="inlineStr">
        <is>
          <t>기타</t>
        </is>
      </c>
      <c r="B312" s="929" t="n"/>
      <c r="C312" s="930" t="n"/>
      <c r="D312" s="829" t="n"/>
      <c r="E312" s="930" t="n"/>
      <c r="F312" s="839" t="n"/>
      <c r="G312" s="930" t="n"/>
      <c r="H312" s="913" t="n"/>
      <c r="I312" s="930" t="n"/>
      <c r="J312" s="979" t="n"/>
      <c r="K312" s="938" t="n"/>
      <c r="L312" s="913" t="n"/>
      <c r="M312" s="930" t="n"/>
      <c r="N312" s="914" t="n"/>
      <c r="O312" s="930" t="n"/>
      <c r="P312" s="827" t="n"/>
      <c r="Q312" s="830" t="n"/>
      <c r="R312" s="935" t="inlineStr">
        <is>
          <t>기타</t>
        </is>
      </c>
      <c r="S312" s="980" t="n"/>
      <c r="T312" s="937" t="n"/>
    </row>
    <row r="313" ht="14.1" customHeight="1" s="797">
      <c r="A313" s="804" t="n"/>
      <c r="C313" s="938" t="n"/>
      <c r="D313" s="839" t="n"/>
      <c r="E313" s="938" t="n"/>
      <c r="F313" s="853" t="n"/>
      <c r="G313" s="938" t="n"/>
      <c r="H313" s="968" t="n"/>
      <c r="I313" s="938" t="n"/>
      <c r="J313" s="839" t="n"/>
      <c r="K313" s="454" t="n"/>
      <c r="L313" s="968" t="n"/>
      <c r="M313" s="938" t="n"/>
      <c r="N313" s="968" t="n"/>
      <c r="O313" s="938" t="n"/>
      <c r="P313" s="837" t="n"/>
      <c r="Q313" s="830" t="n"/>
      <c r="R313" s="804" t="n"/>
      <c r="S313" s="804" t="n"/>
      <c r="T313" s="805" t="n"/>
    </row>
    <row r="314" ht="14.1" customHeight="1" s="797">
      <c r="A314" s="804" t="n"/>
      <c r="C314" s="938" t="n"/>
      <c r="D314" s="839" t="n"/>
      <c r="E314" s="938" t="n"/>
      <c r="F314" s="853" t="n"/>
      <c r="G314" s="938" t="n"/>
      <c r="H314" s="968" t="n"/>
      <c r="I314" s="938" t="n"/>
      <c r="J314" s="853" t="n"/>
      <c r="K314" s="938" t="n"/>
      <c r="L314" s="839" t="n"/>
      <c r="M314" s="938" t="n"/>
      <c r="N314" s="914" t="n"/>
      <c r="O314" s="938" t="n"/>
      <c r="P314" s="837" t="n"/>
      <c r="Q314" s="830" t="n"/>
      <c r="R314" s="804" t="n"/>
      <c r="S314" s="804" t="n"/>
      <c r="T314" s="805" t="n"/>
    </row>
    <row r="315" ht="14.1" customHeight="1" s="797" thickBot="1">
      <c r="A315" s="942" t="n"/>
      <c r="B315" s="943" t="n"/>
      <c r="C315" s="944" t="n"/>
      <c r="D315" s="848" t="n"/>
      <c r="E315" s="944" t="n"/>
      <c r="F315" s="981" t="n"/>
      <c r="G315" s="944" t="n"/>
      <c r="H315" s="891" t="n"/>
      <c r="I315" s="944" t="n"/>
      <c r="J315" s="885" t="n"/>
      <c r="K315" s="944" t="n"/>
      <c r="L315" s="885" t="n"/>
      <c r="M315" s="944" t="n"/>
      <c r="N315" s="848" t="n"/>
      <c r="O315" s="944" t="n"/>
      <c r="P315" s="846" t="n"/>
      <c r="Q315" s="830" t="n"/>
      <c r="R315" s="942" t="n"/>
      <c r="S315" s="942" t="n"/>
      <c r="T315" s="946" t="n"/>
    </row>
  </sheetData>
  <mergeCells count="559">
    <mergeCell ref="R116:R118"/>
    <mergeCell ref="A64:B64"/>
    <mergeCell ref="A257:B257"/>
    <mergeCell ref="A191:B191"/>
    <mergeCell ref="C191:D191"/>
    <mergeCell ref="E71:F71"/>
    <mergeCell ref="G71:H71"/>
    <mergeCell ref="E8:F8"/>
    <mergeCell ref="C73:D73"/>
    <mergeCell ref="R196:S196"/>
    <mergeCell ref="E73:F73"/>
    <mergeCell ref="M70:N70"/>
    <mergeCell ref="M10:N10"/>
    <mergeCell ref="R133:S133"/>
    <mergeCell ref="O259:P259"/>
    <mergeCell ref="E137:F137"/>
    <mergeCell ref="R198:S198"/>
    <mergeCell ref="O197:P197"/>
    <mergeCell ref="G137:H137"/>
    <mergeCell ref="G66:H66"/>
    <mergeCell ref="I66:J66"/>
    <mergeCell ref="M74:N74"/>
    <mergeCell ref="O74:P74"/>
    <mergeCell ref="R135:S135"/>
    <mergeCell ref="O261:P261"/>
    <mergeCell ref="A297:A300"/>
    <mergeCell ref="R262:S262"/>
    <mergeCell ref="R175:R176"/>
    <mergeCell ref="A164:A167"/>
    <mergeCell ref="R92:R100"/>
    <mergeCell ref="A262:B262"/>
    <mergeCell ref="I193:J193"/>
    <mergeCell ref="C262:D262"/>
    <mergeCell ref="C3:D3"/>
    <mergeCell ref="E3:F3"/>
    <mergeCell ref="A59:B59"/>
    <mergeCell ref="E67:F67"/>
    <mergeCell ref="G67:H67"/>
    <mergeCell ref="A128:B128"/>
    <mergeCell ref="A312:B315"/>
    <mergeCell ref="O193:P193"/>
    <mergeCell ref="R182:R184"/>
    <mergeCell ref="A136:B136"/>
    <mergeCell ref="A192:B192"/>
    <mergeCell ref="G127:H127"/>
    <mergeCell ref="I127:J127"/>
    <mergeCell ref="A249:B252"/>
    <mergeCell ref="C192:D192"/>
    <mergeCell ref="M7:N7"/>
    <mergeCell ref="O134:P134"/>
    <mergeCell ref="R119:R121"/>
    <mergeCell ref="A129:B129"/>
    <mergeCell ref="A194:B194"/>
    <mergeCell ref="O71:P71"/>
    <mergeCell ref="A131:B131"/>
    <mergeCell ref="R72:S72"/>
    <mergeCell ref="A305:A307"/>
    <mergeCell ref="R199:S199"/>
    <mergeCell ref="A105:A107"/>
    <mergeCell ref="O73:P73"/>
    <mergeCell ref="A38:A41"/>
    <mergeCell ref="R136:S136"/>
    <mergeCell ref="A269:A280"/>
    <mergeCell ref="G9:H9"/>
    <mergeCell ref="I9:J9"/>
    <mergeCell ref="R1:S1"/>
    <mergeCell ref="I196:J196"/>
    <mergeCell ref="A294:A296"/>
    <mergeCell ref="K196:L196"/>
    <mergeCell ref="G11:H11"/>
    <mergeCell ref="I11:J11"/>
    <mergeCell ref="A231:A233"/>
    <mergeCell ref="I198:J198"/>
    <mergeCell ref="A1:B1"/>
    <mergeCell ref="K198:L198"/>
    <mergeCell ref="C128:D128"/>
    <mergeCell ref="R56:R58"/>
    <mergeCell ref="R49:R50"/>
    <mergeCell ref="M2:N2"/>
    <mergeCell ref="R105:R107"/>
    <mergeCell ref="A65:B65"/>
    <mergeCell ref="K262:L262"/>
    <mergeCell ref="C65:D65"/>
    <mergeCell ref="M262:N262"/>
    <mergeCell ref="E69:F69"/>
    <mergeCell ref="G69:H69"/>
    <mergeCell ref="C129:D129"/>
    <mergeCell ref="E6:F6"/>
    <mergeCell ref="E133:F133"/>
    <mergeCell ref="G133:H133"/>
    <mergeCell ref="R234:R237"/>
    <mergeCell ref="G64:H64"/>
    <mergeCell ref="G135:H135"/>
    <mergeCell ref="A200:B200"/>
    <mergeCell ref="I64:J64"/>
    <mergeCell ref="A4:B4"/>
    <mergeCell ref="I191:J191"/>
    <mergeCell ref="K191:L191"/>
    <mergeCell ref="A242:A244"/>
    <mergeCell ref="E72:F72"/>
    <mergeCell ref="G1:H1"/>
    <mergeCell ref="I128:J128"/>
    <mergeCell ref="I255:J255"/>
    <mergeCell ref="A258:B258"/>
    <mergeCell ref="K128:L128"/>
    <mergeCell ref="K255:L255"/>
    <mergeCell ref="C258:D258"/>
    <mergeCell ref="R9:S9"/>
    <mergeCell ref="E258:F258"/>
    <mergeCell ref="I65:J65"/>
    <mergeCell ref="I192:J192"/>
    <mergeCell ref="R290:R293"/>
    <mergeCell ref="S249:T252"/>
    <mergeCell ref="C195:D195"/>
    <mergeCell ref="A260:B260"/>
    <mergeCell ref="E195:F195"/>
    <mergeCell ref="C260:D260"/>
    <mergeCell ref="R11:S11"/>
    <mergeCell ref="O10:P10"/>
    <mergeCell ref="A197:B197"/>
    <mergeCell ref="C259:D259"/>
    <mergeCell ref="A206:A217"/>
    <mergeCell ref="C197:D197"/>
    <mergeCell ref="E259:F259"/>
    <mergeCell ref="E253:F253"/>
    <mergeCell ref="G253:H253"/>
    <mergeCell ref="C261:D261"/>
    <mergeCell ref="E190:F190"/>
    <mergeCell ref="A308:A310"/>
    <mergeCell ref="A301:A302"/>
    <mergeCell ref="G190:H190"/>
    <mergeCell ref="G6:H6"/>
    <mergeCell ref="G254:H254"/>
    <mergeCell ref="A303:A304"/>
    <mergeCell ref="M3:N3"/>
    <mergeCell ref="A168:A170"/>
    <mergeCell ref="K70:L70"/>
    <mergeCell ref="I1:J1"/>
    <mergeCell ref="O67:P67"/>
    <mergeCell ref="M134:N134"/>
    <mergeCell ref="G72:H72"/>
    <mergeCell ref="O6:P6"/>
    <mergeCell ref="G136:H136"/>
    <mergeCell ref="I136:J136"/>
    <mergeCell ref="A143:A154"/>
    <mergeCell ref="K192:L192"/>
    <mergeCell ref="A70:B70"/>
    <mergeCell ref="I129:J129"/>
    <mergeCell ref="I200:J200"/>
    <mergeCell ref="S186:T189"/>
    <mergeCell ref="K129:L129"/>
    <mergeCell ref="A7:B7"/>
    <mergeCell ref="A245:A247"/>
    <mergeCell ref="C134:D134"/>
    <mergeCell ref="R108:R111"/>
    <mergeCell ref="O1:P1"/>
    <mergeCell ref="A74:B74"/>
    <mergeCell ref="R238:R239"/>
    <mergeCell ref="I71:J71"/>
    <mergeCell ref="R155:R163"/>
    <mergeCell ref="K258:L258"/>
    <mergeCell ref="E261:F261"/>
    <mergeCell ref="M258:N258"/>
    <mergeCell ref="R248:S248"/>
    <mergeCell ref="R240:R241"/>
    <mergeCell ref="K2:L2"/>
    <mergeCell ref="K195:L195"/>
    <mergeCell ref="M195:N195"/>
    <mergeCell ref="K260:L260"/>
    <mergeCell ref="A311:B311"/>
    <mergeCell ref="E196:F196"/>
    <mergeCell ref="E256:F256"/>
    <mergeCell ref="O11:P11"/>
    <mergeCell ref="M253:N253"/>
    <mergeCell ref="G256:H256"/>
    <mergeCell ref="O253:P253"/>
    <mergeCell ref="A80:A91"/>
    <mergeCell ref="E193:F193"/>
    <mergeCell ref="M190:N190"/>
    <mergeCell ref="E198:F198"/>
    <mergeCell ref="G193:H193"/>
    <mergeCell ref="G198:H198"/>
    <mergeCell ref="A42:A44"/>
    <mergeCell ref="M129:N129"/>
    <mergeCell ref="A177:A178"/>
    <mergeCell ref="R59:S59"/>
    <mergeCell ref="M73:N73"/>
    <mergeCell ref="R227:R230"/>
    <mergeCell ref="R231:R233"/>
    <mergeCell ref="R164:R167"/>
    <mergeCell ref="M137:N137"/>
    <mergeCell ref="O137:P137"/>
    <mergeCell ref="A71:B71"/>
    <mergeCell ref="C71:D71"/>
    <mergeCell ref="I8:J8"/>
    <mergeCell ref="A8:B8"/>
    <mergeCell ref="C8:D8"/>
    <mergeCell ref="I10:J10"/>
    <mergeCell ref="A10:B10"/>
    <mergeCell ref="K66:L66"/>
    <mergeCell ref="K10:L10"/>
    <mergeCell ref="K259:L259"/>
    <mergeCell ref="M66:N66"/>
    <mergeCell ref="K197:L197"/>
    <mergeCell ref="C66:D66"/>
    <mergeCell ref="E66:F66"/>
    <mergeCell ref="M197:N197"/>
    <mergeCell ref="R127:S127"/>
    <mergeCell ref="M259:N259"/>
    <mergeCell ref="I74:J74"/>
    <mergeCell ref="R38:R41"/>
    <mergeCell ref="K3:L3"/>
    <mergeCell ref="K74:L74"/>
    <mergeCell ref="M130:N130"/>
    <mergeCell ref="R64:S64"/>
    <mergeCell ref="E130:F130"/>
    <mergeCell ref="O130:P130"/>
    <mergeCell ref="O190:P190"/>
    <mergeCell ref="G130:H130"/>
    <mergeCell ref="M261:N261"/>
    <mergeCell ref="M67:N67"/>
    <mergeCell ref="E135:F135"/>
    <mergeCell ref="M132:N132"/>
    <mergeCell ref="O254:P254"/>
    <mergeCell ref="O132:P132"/>
    <mergeCell ref="E132:F132"/>
    <mergeCell ref="G132:H132"/>
    <mergeCell ref="R114:R115"/>
    <mergeCell ref="M69:N69"/>
    <mergeCell ref="G199:H199"/>
    <mergeCell ref="O256:P256"/>
    <mergeCell ref="R51:R52"/>
    <mergeCell ref="A255:B255"/>
    <mergeCell ref="C255:D255"/>
    <mergeCell ref="A3:B3"/>
    <mergeCell ref="G263:H263"/>
    <mergeCell ref="O127:P127"/>
    <mergeCell ref="I263:J263"/>
    <mergeCell ref="A101:A104"/>
    <mergeCell ref="K8:L8"/>
    <mergeCell ref="A5:B5"/>
    <mergeCell ref="R303:R304"/>
    <mergeCell ref="A12:A16"/>
    <mergeCell ref="C74:D74"/>
    <mergeCell ref="C9:D9"/>
    <mergeCell ref="E9:F9"/>
    <mergeCell ref="O69:P69"/>
    <mergeCell ref="R263:S263"/>
    <mergeCell ref="R308:R310"/>
    <mergeCell ref="G196:H196"/>
    <mergeCell ref="M6:N6"/>
    <mergeCell ref="C11:D11"/>
    <mergeCell ref="M133:N133"/>
    <mergeCell ref="O133:P133"/>
    <mergeCell ref="E11:F11"/>
    <mergeCell ref="O198:P198"/>
    <mergeCell ref="A263:B263"/>
    <mergeCell ref="M135:N135"/>
    <mergeCell ref="G200:H200"/>
    <mergeCell ref="O64:P64"/>
    <mergeCell ref="O135:P135"/>
    <mergeCell ref="G4:H4"/>
    <mergeCell ref="I4:J4"/>
    <mergeCell ref="O262:P262"/>
    <mergeCell ref="A134:B134"/>
    <mergeCell ref="R305:R307"/>
    <mergeCell ref="I262:J262"/>
    <mergeCell ref="M72:N72"/>
    <mergeCell ref="O72:P72"/>
    <mergeCell ref="O199:P199"/>
    <mergeCell ref="R128:T132"/>
    <mergeCell ref="R260:S260"/>
    <mergeCell ref="R269:R280"/>
    <mergeCell ref="S312:T315"/>
    <mergeCell ref="R201:R205"/>
    <mergeCell ref="C6:D6"/>
    <mergeCell ref="R206:R217"/>
    <mergeCell ref="A73:B73"/>
    <mergeCell ref="I260:J260"/>
    <mergeCell ref="C64:D64"/>
    <mergeCell ref="I197:J197"/>
    <mergeCell ref="E64:F64"/>
    <mergeCell ref="C1:D1"/>
    <mergeCell ref="E1:F1"/>
    <mergeCell ref="E128:F128"/>
    <mergeCell ref="K261:L261"/>
    <mergeCell ref="G128:H128"/>
    <mergeCell ref="A29:A37"/>
    <mergeCell ref="A201:A205"/>
    <mergeCell ref="E65:F65"/>
    <mergeCell ref="A138:A142"/>
    <mergeCell ref="A195:B195"/>
    <mergeCell ref="A171:A174"/>
    <mergeCell ref="A259:B259"/>
    <mergeCell ref="A253:B253"/>
    <mergeCell ref="C253:D253"/>
    <mergeCell ref="R200:S200"/>
    <mergeCell ref="R249:R252"/>
    <mergeCell ref="R242:R244"/>
    <mergeCell ref="A190:B190"/>
    <mergeCell ref="A68:B68"/>
    <mergeCell ref="C190:D190"/>
    <mergeCell ref="R186:R189"/>
    <mergeCell ref="R8:S8"/>
    <mergeCell ref="C254:D254"/>
    <mergeCell ref="R73:S73"/>
    <mergeCell ref="I199:J199"/>
    <mergeCell ref="A264:A268"/>
    <mergeCell ref="R10:S10"/>
    <mergeCell ref="R137:S137"/>
    <mergeCell ref="O136:P136"/>
    <mergeCell ref="R197:S197"/>
    <mergeCell ref="O263:P263"/>
    <mergeCell ref="G70:H70"/>
    <mergeCell ref="R65:T69"/>
    <mergeCell ref="M1:N1"/>
    <mergeCell ref="I70:J70"/>
    <mergeCell ref="O200:P200"/>
    <mergeCell ref="G7:H7"/>
    <mergeCell ref="I7:J7"/>
    <mergeCell ref="O65:P65"/>
    <mergeCell ref="A137:B137"/>
    <mergeCell ref="R301:R302"/>
    <mergeCell ref="I134:J134"/>
    <mergeCell ref="C137:D137"/>
    <mergeCell ref="K134:L134"/>
    <mergeCell ref="R245:R247"/>
    <mergeCell ref="R179:R181"/>
    <mergeCell ref="R2:T6"/>
    <mergeCell ref="G65:H65"/>
    <mergeCell ref="C132:D132"/>
    <mergeCell ref="G192:H192"/>
    <mergeCell ref="R168:R170"/>
    <mergeCell ref="R80:R91"/>
    <mergeCell ref="R297:R300"/>
    <mergeCell ref="G129:H129"/>
    <mergeCell ref="A179:A181"/>
    <mergeCell ref="A49:A50"/>
    <mergeCell ref="A281:A289"/>
    <mergeCell ref="A261:B261"/>
    <mergeCell ref="A116:A118"/>
    <mergeCell ref="G2:H2"/>
    <mergeCell ref="A218:A226"/>
    <mergeCell ref="I2:J2"/>
    <mergeCell ref="K9:L9"/>
    <mergeCell ref="M9:N9"/>
    <mergeCell ref="E254:F254"/>
    <mergeCell ref="R143:R154"/>
    <mergeCell ref="O9:P9"/>
    <mergeCell ref="A69:B69"/>
    <mergeCell ref="A256:B256"/>
    <mergeCell ref="K11:L11"/>
    <mergeCell ref="C256:D256"/>
    <mergeCell ref="K253:L253"/>
    <mergeCell ref="M11:N11"/>
    <mergeCell ref="R7:S7"/>
    <mergeCell ref="R294:R296"/>
    <mergeCell ref="A133:B133"/>
    <mergeCell ref="A193:B193"/>
    <mergeCell ref="C133:D133"/>
    <mergeCell ref="C193:D193"/>
    <mergeCell ref="C127:D127"/>
    <mergeCell ref="R74:S74"/>
    <mergeCell ref="O4:P4"/>
    <mergeCell ref="A175:A176"/>
    <mergeCell ref="E191:F191"/>
    <mergeCell ref="A92:A100"/>
    <mergeCell ref="K71:L71"/>
    <mergeCell ref="A112:A113"/>
    <mergeCell ref="R311:S311"/>
    <mergeCell ref="G73:H73"/>
    <mergeCell ref="O70:P70"/>
    <mergeCell ref="I73:J73"/>
    <mergeCell ref="K73:L73"/>
    <mergeCell ref="I137:J137"/>
    <mergeCell ref="K137:L137"/>
    <mergeCell ref="A67:B67"/>
    <mergeCell ref="R42:R44"/>
    <mergeCell ref="R312:R315"/>
    <mergeCell ref="R218:R226"/>
    <mergeCell ref="R53:R55"/>
    <mergeCell ref="G8:H8"/>
    <mergeCell ref="R177:R178"/>
    <mergeCell ref="A6:B6"/>
    <mergeCell ref="I195:J195"/>
    <mergeCell ref="E262:F262"/>
    <mergeCell ref="A53:A55"/>
    <mergeCell ref="G262:H262"/>
    <mergeCell ref="C10:D10"/>
    <mergeCell ref="E10:F10"/>
    <mergeCell ref="G10:H10"/>
    <mergeCell ref="A66:B66"/>
    <mergeCell ref="A182:A184"/>
    <mergeCell ref="E74:F74"/>
    <mergeCell ref="G3:H3"/>
    <mergeCell ref="G74:H74"/>
    <mergeCell ref="I3:J3"/>
    <mergeCell ref="I130:J130"/>
    <mergeCell ref="I190:J190"/>
    <mergeCell ref="K130:L130"/>
    <mergeCell ref="K190:L190"/>
    <mergeCell ref="C130:D130"/>
    <mergeCell ref="A119:A121"/>
    <mergeCell ref="I67:J67"/>
    <mergeCell ref="R112:R113"/>
    <mergeCell ref="A135:B135"/>
    <mergeCell ref="I132:J132"/>
    <mergeCell ref="R29:R37"/>
    <mergeCell ref="K254:L254"/>
    <mergeCell ref="C135:D135"/>
    <mergeCell ref="K132:L132"/>
    <mergeCell ref="A122:B122"/>
    <mergeCell ref="M254:N254"/>
    <mergeCell ref="A72:B72"/>
    <mergeCell ref="A199:B199"/>
    <mergeCell ref="C72:D72"/>
    <mergeCell ref="C199:D199"/>
    <mergeCell ref="E199:F199"/>
    <mergeCell ref="E255:F255"/>
    <mergeCell ref="M256:N256"/>
    <mergeCell ref="G255:H255"/>
    <mergeCell ref="C136:D136"/>
    <mergeCell ref="A75:A79"/>
    <mergeCell ref="K193:L193"/>
    <mergeCell ref="C263:D263"/>
    <mergeCell ref="R191:T195"/>
    <mergeCell ref="E192:F192"/>
    <mergeCell ref="E263:F263"/>
    <mergeCell ref="K127:L127"/>
    <mergeCell ref="M127:N127"/>
    <mergeCell ref="A114:A115"/>
    <mergeCell ref="O7:P7"/>
    <mergeCell ref="E129:F129"/>
    <mergeCell ref="A51:A52"/>
    <mergeCell ref="A45:A48"/>
    <mergeCell ref="R101:R104"/>
    <mergeCell ref="R70:S70"/>
    <mergeCell ref="K67:L67"/>
    <mergeCell ref="M196:N196"/>
    <mergeCell ref="O196:P196"/>
    <mergeCell ref="A186:B189"/>
    <mergeCell ref="R134:S134"/>
    <mergeCell ref="M198:N198"/>
    <mergeCell ref="A234:A237"/>
    <mergeCell ref="M8:N8"/>
    <mergeCell ref="O8:P8"/>
    <mergeCell ref="O2:P2"/>
    <mergeCell ref="C67:D67"/>
    <mergeCell ref="E136:F136"/>
    <mergeCell ref="O66:P66"/>
    <mergeCell ref="I69:J69"/>
    <mergeCell ref="A9:B9"/>
    <mergeCell ref="K69:L69"/>
    <mergeCell ref="C69:D69"/>
    <mergeCell ref="R12:R16"/>
    <mergeCell ref="O3:P3"/>
    <mergeCell ref="I6:J6"/>
    <mergeCell ref="I133:J133"/>
    <mergeCell ref="K133:L133"/>
    <mergeCell ref="A11:B11"/>
    <mergeCell ref="M193:N193"/>
    <mergeCell ref="E127:F127"/>
    <mergeCell ref="I135:J135"/>
    <mergeCell ref="C200:D200"/>
    <mergeCell ref="K64:L64"/>
    <mergeCell ref="K135:L135"/>
    <mergeCell ref="E200:F200"/>
    <mergeCell ref="M64:N64"/>
    <mergeCell ref="R264:R268"/>
    <mergeCell ref="C4:D4"/>
    <mergeCell ref="E4:F4"/>
    <mergeCell ref="M191:N191"/>
    <mergeCell ref="O191:P191"/>
    <mergeCell ref="G191:H191"/>
    <mergeCell ref="I72:J72"/>
    <mergeCell ref="K1:L1"/>
    <mergeCell ref="K72:L72"/>
    <mergeCell ref="M128:N128"/>
    <mergeCell ref="O128:P128"/>
    <mergeCell ref="M255:N255"/>
    <mergeCell ref="G258:H258"/>
    <mergeCell ref="O255:P255"/>
    <mergeCell ref="I258:J258"/>
    <mergeCell ref="M65:N65"/>
    <mergeCell ref="M192:N192"/>
    <mergeCell ref="G195:H195"/>
    <mergeCell ref="O192:P192"/>
    <mergeCell ref="E260:F260"/>
    <mergeCell ref="R253:S253"/>
    <mergeCell ref="G260:H260"/>
    <mergeCell ref="E197:F197"/>
    <mergeCell ref="G259:H259"/>
    <mergeCell ref="G197:H197"/>
    <mergeCell ref="I259:J259"/>
    <mergeCell ref="I253:J253"/>
    <mergeCell ref="R171:R174"/>
    <mergeCell ref="G261:H261"/>
    <mergeCell ref="R71:S71"/>
    <mergeCell ref="K6:L6"/>
    <mergeCell ref="I256:J256"/>
    <mergeCell ref="A108:A111"/>
    <mergeCell ref="A238:A239"/>
    <mergeCell ref="A155:A163"/>
    <mergeCell ref="A248:B248"/>
    <mergeCell ref="K199:L199"/>
    <mergeCell ref="R138:R142"/>
    <mergeCell ref="M199:N199"/>
    <mergeCell ref="A240:A241"/>
    <mergeCell ref="A185:B185"/>
    <mergeCell ref="K136:L136"/>
    <mergeCell ref="K263:L263"/>
    <mergeCell ref="C70:D70"/>
    <mergeCell ref="M136:N136"/>
    <mergeCell ref="M263:N263"/>
    <mergeCell ref="R259:S259"/>
    <mergeCell ref="E70:F70"/>
    <mergeCell ref="K7:L7"/>
    <mergeCell ref="K200:L200"/>
    <mergeCell ref="C7:D7"/>
    <mergeCell ref="M200:N200"/>
    <mergeCell ref="O129:P129"/>
    <mergeCell ref="E7:F7"/>
    <mergeCell ref="R190:S190"/>
    <mergeCell ref="E134:F134"/>
    <mergeCell ref="R261:S261"/>
    <mergeCell ref="K65:L65"/>
    <mergeCell ref="G134:H134"/>
    <mergeCell ref="A290:A293"/>
    <mergeCell ref="M71:N71"/>
    <mergeCell ref="A56:A58"/>
    <mergeCell ref="O258:P258"/>
    <mergeCell ref="A130:B130"/>
    <mergeCell ref="I261:J261"/>
    <mergeCell ref="A17:A28"/>
    <mergeCell ref="O195:P195"/>
    <mergeCell ref="M260:N260"/>
    <mergeCell ref="O260:P260"/>
    <mergeCell ref="A132:B132"/>
    <mergeCell ref="R75:R79"/>
    <mergeCell ref="A227:A230"/>
    <mergeCell ref="A196:B196"/>
    <mergeCell ref="K256:L256"/>
    <mergeCell ref="C196:D196"/>
    <mergeCell ref="I254:J254"/>
    <mergeCell ref="R45:R48"/>
    <mergeCell ref="A198:B198"/>
    <mergeCell ref="C198:D198"/>
    <mergeCell ref="A2:B2"/>
    <mergeCell ref="C2:D2"/>
    <mergeCell ref="E2:F2"/>
    <mergeCell ref="R185:S185"/>
    <mergeCell ref="A254:B254"/>
    <mergeCell ref="R122:S122"/>
    <mergeCell ref="R254:T258"/>
    <mergeCell ref="A127:B127"/>
    <mergeCell ref="K4:L4"/>
    <mergeCell ref="R281:R289"/>
    <mergeCell ref="M4:N4"/>
    <mergeCell ref="R17:R28"/>
  </mergeCells>
  <printOptions horizontalCentered="1" verticalCentered="1"/>
  <pageMargins left="0" right="0" top="0" bottom="0" header="0" footer="0"/>
  <pageSetup orientation="landscape" paperSize="9" scale="63"/>
  <rowBreaks count="4" manualBreakCount="4">
    <brk id="63" min="0" max="19" man="1"/>
    <brk id="126" min="0" max="19" man="1"/>
    <brk id="189" min="0" max="19" man="1"/>
    <brk id="252" min="0" max="19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17375E"/>
    <outlinePr summaryBelow="1" summaryRight="1"/>
    <pageSetUpPr/>
  </sheetPr>
  <dimension ref="A1:S266"/>
  <sheetViews>
    <sheetView view="pageBreakPreview" zoomScale="85" zoomScaleNormal="100" zoomScaleSheetLayoutView="85" workbookViewId="0">
      <pane ySplit="11" topLeftCell="A12" activePane="bottomLeft" state="frozen"/>
      <selection pane="bottomLeft" activeCell="I42" sqref="I42"/>
    </sheetView>
  </sheetViews>
  <sheetFormatPr baseColWidth="8" defaultColWidth="8.625" defaultRowHeight="16.5"/>
  <cols>
    <col width="7.75" customWidth="1" style="5" min="1" max="1"/>
    <col width="13.625" customWidth="1" style="3" min="2" max="2"/>
    <col width="15.125" customWidth="1" style="3" min="3" max="3"/>
    <col width="5.25" customWidth="1" style="16" min="4" max="4"/>
    <col width="15.125" customWidth="1" style="3" min="5" max="5"/>
    <col width="5.25" customWidth="1" style="16" min="6" max="6"/>
    <col width="15.125" customWidth="1" style="3" min="7" max="7"/>
    <col width="5.25" customWidth="1" style="16" min="8" max="8"/>
    <col width="15.125" customWidth="1" style="4" min="9" max="9"/>
    <col width="5.25" customWidth="1" style="16" min="10" max="10"/>
    <col width="15.125" customWidth="1" style="185" min="11" max="11"/>
    <col width="5.25" customWidth="1" style="16" min="12" max="12"/>
    <col width="15.125" customWidth="1" style="4" min="13" max="13"/>
    <col width="5.25" customWidth="1" style="78" min="14" max="14"/>
    <col width="3.625" customWidth="1" style="4" min="15" max="15"/>
    <col width="6.625" customWidth="1" style="5" min="16" max="16"/>
    <col width="12.5" customWidth="1" style="3" min="17" max="17"/>
    <col width="11.625" customWidth="1" style="17" min="18" max="18"/>
  </cols>
  <sheetData>
    <row r="1" ht="19.5" customFormat="1" customHeight="1" s="1">
      <c r="A1" s="947" t="inlineStr">
        <is>
          <t>이민호님 보장분석(후)</t>
        </is>
      </c>
      <c r="B1" s="796" t="n"/>
      <c r="C1" s="688" t="inlineStr">
        <is>
          <t>메리츠화재</t>
        </is>
      </c>
      <c r="D1" s="793" t="n"/>
      <c r="E1" s="688" t="inlineStr">
        <is>
          <t>메리츠화재</t>
        </is>
      </c>
      <c r="F1" s="793" t="n"/>
      <c r="G1" s="688" t="inlineStr">
        <is>
          <t>한화손해보험</t>
        </is>
      </c>
      <c r="H1" s="793" t="n"/>
      <c r="I1" s="994" t="inlineStr">
        <is>
          <t>삼성화재</t>
        </is>
      </c>
      <c r="J1" s="796" t="n"/>
      <c r="K1" s="694" t="n"/>
      <c r="L1" s="793" t="n"/>
      <c r="M1" s="995" t="n"/>
      <c r="N1" s="996" t="n"/>
      <c r="O1" s="136" t="n"/>
      <c r="P1" s="795" t="inlineStr">
        <is>
          <t>평가 기준일</t>
        </is>
      </c>
      <c r="Q1" s="796" t="n"/>
      <c r="R1" s="137" t="n">
        <v>45898</v>
      </c>
    </row>
    <row r="2" ht="15" customHeight="1" s="797">
      <c r="A2" s="647" t="inlineStr">
        <is>
          <t>상품명</t>
        </is>
      </c>
      <c r="B2" s="798" t="n"/>
      <c r="C2" s="696" t="inlineStr">
        <is>
          <t>실손의료비보험</t>
        </is>
      </c>
      <c r="D2" s="798" t="n"/>
      <c r="E2" s="696" t="inlineStr">
        <is>
          <t>더건강한보장보험</t>
        </is>
      </c>
      <c r="F2" s="798" t="n"/>
      <c r="G2" s="696" t="inlineStr">
        <is>
          <t>더건강한한아름종합보험</t>
        </is>
      </c>
      <c r="H2" s="798" t="n"/>
      <c r="I2" s="696" t="inlineStr">
        <is>
          <t>운전자보험</t>
        </is>
      </c>
      <c r="J2" s="798" t="n"/>
      <c r="K2" s="691" t="n"/>
      <c r="L2" s="798" t="n"/>
      <c r="M2" s="717" t="n"/>
      <c r="N2" s="799" t="n"/>
      <c r="O2" s="25" t="n"/>
      <c r="P2" s="800" t="n"/>
      <c r="Q2" s="801" t="n"/>
      <c r="R2" s="802" t="n"/>
    </row>
    <row r="3" ht="15" customHeight="1" s="797">
      <c r="A3" s="647" t="inlineStr">
        <is>
          <t>계약자 / 피보험자</t>
        </is>
      </c>
      <c r="B3" s="798" t="n"/>
      <c r="C3" s="696" t="inlineStr">
        <is>
          <t>이민호/이민호</t>
        </is>
      </c>
      <c r="D3" s="798" t="n"/>
      <c r="E3" s="696" t="inlineStr">
        <is>
          <t>이민호/이민호</t>
        </is>
      </c>
      <c r="F3" s="798" t="n"/>
      <c r="G3" s="696" t="inlineStr">
        <is>
          <t>이민호/이민호</t>
        </is>
      </c>
      <c r="H3" s="798" t="n"/>
      <c r="I3" s="696" t="inlineStr">
        <is>
          <t>이민호/이민호</t>
        </is>
      </c>
      <c r="J3" s="798" t="n"/>
      <c r="K3" s="691" t="n"/>
      <c r="L3" s="798" t="n"/>
      <c r="M3" s="717" t="n"/>
      <c r="N3" s="799" t="n"/>
      <c r="O3" s="25" t="n"/>
      <c r="P3" s="804" t="n"/>
      <c r="R3" s="805" t="n"/>
    </row>
    <row r="4" ht="15" customHeight="1" s="797">
      <c r="A4" s="647" t="inlineStr">
        <is>
          <t>계약일자</t>
        </is>
      </c>
      <c r="B4" s="798" t="n"/>
      <c r="C4" s="718" t="n">
        <v>45898</v>
      </c>
      <c r="D4" s="798" t="n"/>
      <c r="E4" s="718" t="n">
        <v>45898</v>
      </c>
      <c r="F4" s="798" t="n"/>
      <c r="G4" s="718" t="n">
        <v>45898</v>
      </c>
      <c r="H4" s="798" t="n"/>
      <c r="I4" s="718" t="n">
        <v>45898</v>
      </c>
      <c r="J4" s="798" t="n"/>
      <c r="K4" s="698" t="n"/>
      <c r="L4" s="798" t="n"/>
      <c r="M4" s="719" t="n"/>
      <c r="N4" s="799" t="n"/>
      <c r="O4" s="25" t="n"/>
      <c r="P4" s="804" t="n"/>
      <c r="R4" s="805" t="n"/>
    </row>
    <row r="5" ht="15" customHeight="1" s="797">
      <c r="A5" s="647" t="inlineStr">
        <is>
          <t>납입기간 / 기납입기간</t>
        </is>
      </c>
      <c r="B5" s="798" t="n"/>
      <c r="C5" s="997" t="n">
        <v>1</v>
      </c>
      <c r="D5" s="998">
        <f>IF(DATEDIF(C4,$R$1,"m")&lt;C5*12,DATEDIF(C4,$R$1,"m"),C5*12)</f>
        <v/>
      </c>
      <c r="E5" s="997" t="n">
        <v>20</v>
      </c>
      <c r="F5" s="998">
        <f>IF(DATEDIF(E4,$R$1,"m")&lt;E5*12,DATEDIF(E4,$R$1,"m"),E5*12)</f>
        <v/>
      </c>
      <c r="G5" s="999" t="n">
        <v>20</v>
      </c>
      <c r="H5" s="998">
        <f>IF(DATEDIF(G4,$R$1,"m")&lt;G5*12,DATEDIF(G4,$R$1,"m"),G5*12)</f>
        <v/>
      </c>
      <c r="I5" s="997" t="n">
        <v>20</v>
      </c>
      <c r="J5" s="1000">
        <f>IF(DATEDIF(I4,$R$1,"m")&lt;I5*12,DATEDIF(I4,$R$1,"m"),I5*12)</f>
        <v/>
      </c>
      <c r="K5" s="999" t="n"/>
      <c r="L5" s="998" t="n"/>
      <c r="M5" s="997" t="n"/>
      <c r="N5" s="1001" t="n"/>
      <c r="O5" s="25" t="n"/>
      <c r="P5" s="804" t="n"/>
      <c r="R5" s="805" t="n"/>
    </row>
    <row r="6" ht="15" customHeight="1" s="797">
      <c r="A6" s="647" t="inlineStr">
        <is>
          <t>보장기간</t>
        </is>
      </c>
      <c r="B6" s="798" t="n"/>
      <c r="C6" s="696" t="inlineStr">
        <is>
          <t>100세</t>
        </is>
      </c>
      <c r="D6" s="798" t="n"/>
      <c r="E6" s="696" t="inlineStr">
        <is>
          <t>90세</t>
        </is>
      </c>
      <c r="F6" s="798" t="n"/>
      <c r="G6" s="696" t="inlineStr">
        <is>
          <t>90세</t>
        </is>
      </c>
      <c r="H6" s="798" t="n"/>
      <c r="I6" s="696" t="inlineStr">
        <is>
          <t>77세</t>
        </is>
      </c>
      <c r="J6" s="798" t="n"/>
      <c r="K6" s="691" t="n"/>
      <c r="L6" s="798" t="n"/>
      <c r="M6" s="717" t="n"/>
      <c r="N6" s="799" t="n"/>
      <c r="O6" s="25" t="n"/>
      <c r="P6" s="808" t="n"/>
      <c r="Q6" s="809" t="n"/>
      <c r="R6" s="810" t="n"/>
    </row>
    <row r="7" ht="15" customHeight="1" s="797">
      <c r="A7" s="632" t="inlineStr">
        <is>
          <t>비고 / 갱신종류</t>
        </is>
      </c>
      <c r="B7" s="811" t="n"/>
      <c r="C7" s="1002" t="inlineStr">
        <is>
          <t>실비/1년갱신5년재가입</t>
        </is>
      </c>
      <c r="D7" s="798" t="n"/>
      <c r="E7" s="1002" t="inlineStr">
        <is>
          <t>종합/비갱신</t>
        </is>
      </c>
      <c r="F7" s="798" t="n"/>
      <c r="G7" s="1002" t="inlineStr">
        <is>
          <t>종합/비갱신</t>
        </is>
      </c>
      <c r="H7" s="798" t="n"/>
      <c r="I7" s="1002" t="inlineStr">
        <is>
          <t>운전자+상해/20년만기</t>
        </is>
      </c>
      <c r="J7" s="798" t="n"/>
      <c r="K7" s="702" t="n"/>
      <c r="L7" s="798" t="n"/>
      <c r="M7" s="1003" t="n"/>
      <c r="N7" s="799" t="n"/>
      <c r="O7" s="25" t="n"/>
      <c r="P7" s="950" t="n"/>
      <c r="Q7" s="798" t="n"/>
      <c r="R7" s="27" t="inlineStr">
        <is>
          <t>총 보장 (원)</t>
        </is>
      </c>
    </row>
    <row r="8" ht="15" customHeight="1" s="797">
      <c r="A8" s="639" t="inlineStr">
        <is>
          <t>월 보험료</t>
        </is>
      </c>
      <c r="B8" s="798" t="n"/>
      <c r="C8" s="1004" t="n">
        <v>33040</v>
      </c>
      <c r="D8" s="798" t="n"/>
      <c r="E8" s="1004" t="n">
        <v>176891</v>
      </c>
      <c r="F8" s="798" t="n"/>
      <c r="G8" s="1004" t="n">
        <v>187104</v>
      </c>
      <c r="H8" s="798" t="n"/>
      <c r="I8" s="1004" t="n">
        <v>16951</v>
      </c>
      <c r="J8" s="798" t="n"/>
      <c r="K8" s="1005" t="n"/>
      <c r="L8" s="798" t="n"/>
      <c r="M8" s="1006" t="n"/>
      <c r="N8" s="799" t="n"/>
      <c r="O8" s="814" t="n"/>
      <c r="P8" s="647" t="inlineStr">
        <is>
          <t>합산 월 보험료</t>
        </is>
      </c>
      <c r="Q8" s="798" t="n"/>
      <c r="R8" s="816">
        <f>SUM(B8:N8)</f>
        <v/>
      </c>
    </row>
    <row r="9" ht="15" customHeight="1" s="797">
      <c r="A9" s="647" t="inlineStr">
        <is>
          <t>보험료 총액</t>
        </is>
      </c>
      <c r="B9" s="798" t="n"/>
      <c r="C9" s="1007">
        <f>C8*C5*12</f>
        <v/>
      </c>
      <c r="D9" s="798" t="n"/>
      <c r="E9" s="1007">
        <f>E8*E5*12</f>
        <v/>
      </c>
      <c r="F9" s="798" t="n"/>
      <c r="G9" s="1007">
        <f>G8*G5*12</f>
        <v/>
      </c>
      <c r="H9" s="798" t="n"/>
      <c r="I9" s="1007">
        <f>I8*I5*12</f>
        <v/>
      </c>
      <c r="J9" s="798" t="n"/>
      <c r="K9" s="1008" t="n"/>
      <c r="L9" s="798" t="n"/>
      <c r="M9" s="1009" t="n"/>
      <c r="N9" s="799" t="n"/>
      <c r="O9" s="814" t="n"/>
      <c r="P9" s="647" t="inlineStr">
        <is>
          <t>합산 보험료 총액</t>
        </is>
      </c>
      <c r="Q9" s="798" t="n"/>
      <c r="R9" s="818">
        <f>SUM(B9:N9)</f>
        <v/>
      </c>
    </row>
    <row r="10" ht="15" customHeight="1" s="797">
      <c r="A10" s="647" t="inlineStr">
        <is>
          <t>기 납입금</t>
        </is>
      </c>
      <c r="B10" s="798" t="n"/>
      <c r="C10" s="1007">
        <f>C8*D5</f>
        <v/>
      </c>
      <c r="D10" s="798" t="n"/>
      <c r="E10" s="1007">
        <f>E8*F5</f>
        <v/>
      </c>
      <c r="F10" s="798" t="n"/>
      <c r="G10" s="1007">
        <f>G8*H5</f>
        <v/>
      </c>
      <c r="H10" s="798" t="n"/>
      <c r="I10" s="1007">
        <f>I8*J5</f>
        <v/>
      </c>
      <c r="J10" s="798" t="n"/>
      <c r="K10" s="1008" t="n"/>
      <c r="L10" s="798" t="n"/>
      <c r="M10" s="1009" t="n"/>
      <c r="N10" s="799" t="n"/>
      <c r="O10" s="814" t="n"/>
      <c r="P10" s="647" t="inlineStr">
        <is>
          <t>합산 기 납입금</t>
        </is>
      </c>
      <c r="Q10" s="798" t="n"/>
      <c r="R10" s="818">
        <f>SUM(B10:N10)</f>
        <v/>
      </c>
    </row>
    <row r="11" ht="15" customHeight="1" s="797" thickBot="1">
      <c r="A11" s="632" t="inlineStr">
        <is>
          <t>미 납입금</t>
        </is>
      </c>
      <c r="B11" s="811" t="n"/>
      <c r="C11" s="1007">
        <f>C9-C10</f>
        <v/>
      </c>
      <c r="D11" s="798" t="n"/>
      <c r="E11" s="1007">
        <f>E9-E10</f>
        <v/>
      </c>
      <c r="F11" s="798" t="n"/>
      <c r="G11" s="1007">
        <f>G9-G10</f>
        <v/>
      </c>
      <c r="H11" s="798" t="n"/>
      <c r="I11" s="1007">
        <f>I9-I10</f>
        <v/>
      </c>
      <c r="J11" s="798" t="n"/>
      <c r="K11" s="1008" t="n"/>
      <c r="L11" s="798" t="n"/>
      <c r="M11" s="1009" t="n"/>
      <c r="N11" s="799" t="n"/>
      <c r="O11" s="814" t="n"/>
      <c r="P11" s="953" t="inlineStr">
        <is>
          <t>합산 미 납입금</t>
        </is>
      </c>
      <c r="Q11" s="954" t="n"/>
      <c r="R11" s="818">
        <f>SUM(B11:N11)</f>
        <v/>
      </c>
    </row>
    <row r="12" ht="15" customHeight="1" s="797">
      <c r="A12" s="821" t="inlineStr">
        <is>
          <t>실비
(갱신)</t>
        </is>
      </c>
      <c r="B12" s="352" t="inlineStr">
        <is>
          <t>질병입원의료비</t>
        </is>
      </c>
      <c r="C12" s="1010" t="n">
        <v>50000000</v>
      </c>
      <c r="D12" s="1011" t="inlineStr">
        <is>
          <t>1년갱신</t>
        </is>
      </c>
      <c r="E12" s="1010" t="n"/>
      <c r="F12" s="1012" t="n"/>
      <c r="G12" s="1010" t="n"/>
      <c r="H12" s="1011" t="n"/>
      <c r="I12" s="1013" t="n"/>
      <c r="J12" s="1014" t="n"/>
      <c r="K12" s="1015" t="n"/>
      <c r="L12" s="1011" t="n"/>
      <c r="M12" s="1013" t="n"/>
      <c r="N12" s="1016" t="n"/>
      <c r="O12" s="830" t="n"/>
      <c r="P12" s="821" t="inlineStr">
        <is>
          <t>실비
(갱신)</t>
        </is>
      </c>
      <c r="Q12" s="352" t="inlineStr">
        <is>
          <t>질병입원의료비</t>
        </is>
      </c>
      <c r="R12" s="831">
        <f>C12+E12+G12+I12+K12+M12</f>
        <v/>
      </c>
    </row>
    <row r="13" ht="15" customHeight="1" s="797">
      <c r="A13" s="832" t="n"/>
      <c r="B13" s="353" t="inlineStr">
        <is>
          <t>질병통원의료비</t>
        </is>
      </c>
      <c r="C13" s="1017" t="n">
        <v>200000</v>
      </c>
      <c r="D13" s="1018" t="inlineStr">
        <is>
          <t>1년갱신</t>
        </is>
      </c>
      <c r="E13" s="1017" t="n"/>
      <c r="F13" s="1019" t="n"/>
      <c r="G13" s="1017" t="n"/>
      <c r="H13" s="1018" t="n"/>
      <c r="I13" s="1020" t="n"/>
      <c r="J13" s="1021" t="n"/>
      <c r="K13" s="1022" t="n"/>
      <c r="L13" s="1018" t="n"/>
      <c r="M13" s="1020" t="n"/>
      <c r="N13" s="1023" t="n"/>
      <c r="O13" s="830" t="n"/>
      <c r="P13" s="832" t="n"/>
      <c r="Q13" s="353" t="inlineStr">
        <is>
          <t>질병통원의료비</t>
        </is>
      </c>
      <c r="R13" s="840">
        <f>C13+E13+G13+I13+K13+M13</f>
        <v/>
      </c>
    </row>
    <row r="14" ht="15" customHeight="1" s="797">
      <c r="A14" s="832" t="n"/>
      <c r="B14" s="353" t="inlineStr">
        <is>
          <t>상해입원의료비</t>
        </is>
      </c>
      <c r="C14" s="1017" t="n">
        <v>50000000</v>
      </c>
      <c r="D14" s="1018" t="inlineStr">
        <is>
          <t>1년갱신</t>
        </is>
      </c>
      <c r="E14" s="1017" t="n"/>
      <c r="F14" s="1019" t="n"/>
      <c r="G14" s="1017" t="n"/>
      <c r="H14" s="1018" t="n"/>
      <c r="I14" s="1020" t="n"/>
      <c r="J14" s="1021" t="n"/>
      <c r="K14" s="1022" t="n"/>
      <c r="L14" s="1018" t="n"/>
      <c r="M14" s="1020" t="n"/>
      <c r="N14" s="1023" t="n"/>
      <c r="O14" s="830" t="n"/>
      <c r="P14" s="832" t="n"/>
      <c r="Q14" s="353" t="inlineStr">
        <is>
          <t>상해입원의료비</t>
        </is>
      </c>
      <c r="R14" s="840">
        <f>C14+E14+G14+I14+K14+M14</f>
        <v/>
      </c>
    </row>
    <row r="15" ht="15" customHeight="1" s="797">
      <c r="A15" s="832" t="n"/>
      <c r="B15" s="353" t="inlineStr">
        <is>
          <t>상해통원의료비</t>
        </is>
      </c>
      <c r="C15" s="1017" t="n">
        <v>200000</v>
      </c>
      <c r="D15" s="1018" t="inlineStr">
        <is>
          <t>1년갱신</t>
        </is>
      </c>
      <c r="E15" s="1017" t="n"/>
      <c r="F15" s="1019" t="n"/>
      <c r="G15" s="1017" t="n"/>
      <c r="H15" s="1018" t="n"/>
      <c r="I15" s="1020" t="n"/>
      <c r="J15" s="1021" t="n"/>
      <c r="K15" s="1022" t="n"/>
      <c r="L15" s="1018" t="n"/>
      <c r="M15" s="1020" t="n"/>
      <c r="N15" s="1023" t="n"/>
      <c r="O15" s="830" t="n"/>
      <c r="P15" s="832" t="n"/>
      <c r="Q15" s="353" t="inlineStr">
        <is>
          <t>상해통원의료비</t>
        </is>
      </c>
      <c r="R15" s="840">
        <f>C15+E15+G15+I15+K15+M15</f>
        <v/>
      </c>
    </row>
    <row r="16" ht="15" customHeight="1" s="797" thickBot="1">
      <c r="A16" s="841" t="n"/>
      <c r="B16" s="354" t="inlineStr">
        <is>
          <t>3대비급여 의료비</t>
        </is>
      </c>
      <c r="C16" s="1024" t="n">
        <v>3500000</v>
      </c>
      <c r="D16" s="1025" t="inlineStr">
        <is>
          <t>1년갱신</t>
        </is>
      </c>
      <c r="E16" s="1024" t="n"/>
      <c r="F16" s="1026" t="n"/>
      <c r="G16" s="1027" t="n"/>
      <c r="H16" s="1025" t="n"/>
      <c r="I16" s="1028" t="n"/>
      <c r="J16" s="1029" t="n"/>
      <c r="K16" s="1027" t="n"/>
      <c r="L16" s="1025" t="n"/>
      <c r="M16" s="1028" t="n"/>
      <c r="N16" s="1030" t="n"/>
      <c r="O16" s="830" t="n"/>
      <c r="P16" s="841" t="n"/>
      <c r="Q16" s="354" t="inlineStr">
        <is>
          <t>3대비급여 의료비</t>
        </is>
      </c>
      <c r="R16" s="1031">
        <f>C16+E16+G16+I16+K16+M16</f>
        <v/>
      </c>
    </row>
    <row r="17" ht="15" customHeight="1" s="797">
      <c r="A17" s="624" t="inlineStr">
        <is>
          <t>암</t>
        </is>
      </c>
      <c r="B17" s="344" t="inlineStr">
        <is>
          <t>암진단비</t>
        </is>
      </c>
      <c r="C17" s="1010" t="n"/>
      <c r="D17" s="1032" t="n"/>
      <c r="E17" s="1010" t="n">
        <v>50000000</v>
      </c>
      <c r="F17" s="1033" t="inlineStr">
        <is>
          <t>90세</t>
        </is>
      </c>
      <c r="G17" s="1010" t="n">
        <v>10000000</v>
      </c>
      <c r="H17" s="1034" t="inlineStr">
        <is>
          <t>90세</t>
        </is>
      </c>
      <c r="I17" s="1010" t="n"/>
      <c r="J17" s="1014" t="n"/>
      <c r="K17" s="1015" t="n"/>
      <c r="L17" s="1034" t="n"/>
      <c r="M17" s="1010" t="n"/>
      <c r="N17" s="1016" t="n"/>
      <c r="O17" s="830" t="n"/>
      <c r="P17" s="626" t="inlineStr">
        <is>
          <t>암</t>
        </is>
      </c>
      <c r="Q17" s="342" t="inlineStr">
        <is>
          <t>암진단비</t>
        </is>
      </c>
      <c r="R17" s="831">
        <f>C17+E17+G17+I17+K17+M17</f>
        <v/>
      </c>
    </row>
    <row r="18" ht="15" customHeight="1" s="797">
      <c r="A18" s="832" t="n"/>
      <c r="B18" s="343" t="inlineStr">
        <is>
          <t>암수술</t>
        </is>
      </c>
      <c r="C18" s="1017" t="n"/>
      <c r="D18" s="1035" t="n"/>
      <c r="E18" s="1017" t="n">
        <v>10000000</v>
      </c>
      <c r="F18" s="1036" t="inlineStr">
        <is>
          <t>연간1회</t>
        </is>
      </c>
      <c r="G18" s="1017" t="n"/>
      <c r="H18" s="1037" t="n"/>
      <c r="I18" s="1038" t="n"/>
      <c r="J18" s="1039" t="n"/>
      <c r="K18" s="1022" t="n"/>
      <c r="L18" s="1037" t="n"/>
      <c r="M18" s="1038" t="n"/>
      <c r="N18" s="1040" t="n"/>
      <c r="O18" s="830" t="n"/>
      <c r="P18" s="832" t="n"/>
      <c r="Q18" s="343" t="inlineStr">
        <is>
          <t>암수술</t>
        </is>
      </c>
      <c r="R18" s="840">
        <f>C18+E18+G18+I18+K18+M18</f>
        <v/>
      </c>
    </row>
    <row r="19" ht="15" customHeight="1" s="797">
      <c r="A19" s="832" t="n"/>
      <c r="B19" s="326" t="inlineStr">
        <is>
          <t>다빈치로봇수술</t>
        </is>
      </c>
      <c r="C19" s="1017" t="n"/>
      <c r="D19" s="1041" t="n"/>
      <c r="E19" s="1017" t="n">
        <v>20000000</v>
      </c>
      <c r="F19" s="1036" t="inlineStr">
        <is>
          <t>연간1회</t>
        </is>
      </c>
      <c r="G19" s="1017" t="n"/>
      <c r="H19" s="1036" t="n"/>
      <c r="I19" s="1038" t="n"/>
      <c r="J19" s="1039" t="n"/>
      <c r="K19" s="1022" t="n"/>
      <c r="L19" s="1036" t="n"/>
      <c r="M19" s="1038" t="n"/>
      <c r="N19" s="1040" t="n"/>
      <c r="O19" s="830" t="n"/>
      <c r="P19" s="832" t="n"/>
      <c r="Q19" s="326" t="inlineStr">
        <is>
          <t>다빈치로봇수술</t>
        </is>
      </c>
      <c r="R19" s="840">
        <f>C19+E19+G19+I19+K19+M19</f>
        <v/>
      </c>
    </row>
    <row r="20" ht="15" customHeight="1" s="797">
      <c r="A20" s="832" t="n"/>
      <c r="B20" s="343" t="inlineStr">
        <is>
          <t>항암방사선</t>
        </is>
      </c>
      <c r="C20" s="1017" t="n"/>
      <c r="D20" s="1042" t="n"/>
      <c r="E20" s="1017" t="n">
        <v>10000000</v>
      </c>
      <c r="F20" s="1036" t="inlineStr">
        <is>
          <t>연간1회</t>
        </is>
      </c>
      <c r="G20" s="1017" t="n"/>
      <c r="H20" s="1037" t="n"/>
      <c r="I20" s="1038" t="n"/>
      <c r="J20" s="1039" t="n"/>
      <c r="K20" s="1022" t="n"/>
      <c r="L20" s="1037" t="n"/>
      <c r="M20" s="1038" t="n"/>
      <c r="N20" s="1040" t="n"/>
      <c r="O20" s="830" t="n"/>
      <c r="P20" s="832" t="n"/>
      <c r="Q20" s="343" t="inlineStr">
        <is>
          <t>항암방사선</t>
        </is>
      </c>
      <c r="R20" s="840">
        <f>C20+E20+G20+I20+K20+M20</f>
        <v/>
      </c>
    </row>
    <row r="21" ht="15" customHeight="1" s="797">
      <c r="A21" s="832" t="n"/>
      <c r="B21" s="326" t="inlineStr">
        <is>
          <t>중입자방사선</t>
        </is>
      </c>
      <c r="C21" s="1017" t="n"/>
      <c r="D21" s="1042" t="n"/>
      <c r="E21" s="1017" t="n">
        <v>60000000</v>
      </c>
      <c r="F21" s="1036" t="inlineStr">
        <is>
          <t>연간1회</t>
        </is>
      </c>
      <c r="G21" s="1017" t="n"/>
      <c r="H21" s="1037" t="n"/>
      <c r="I21" s="1038" t="n"/>
      <c r="J21" s="1039" t="n"/>
      <c r="K21" s="1022" t="n"/>
      <c r="L21" s="1037" t="n"/>
      <c r="M21" s="1038" t="n"/>
      <c r="N21" s="1040" t="n"/>
      <c r="O21" s="830" t="n"/>
      <c r="P21" s="832" t="n"/>
      <c r="Q21" s="326" t="inlineStr">
        <is>
          <t>중입자방사선</t>
        </is>
      </c>
      <c r="R21" s="840">
        <f>C21+E21+G21+I21+K21+M21</f>
        <v/>
      </c>
    </row>
    <row r="22" ht="15" customHeight="1" s="797">
      <c r="A22" s="832" t="n"/>
      <c r="B22" s="326" t="inlineStr">
        <is>
          <t>양성자방사선</t>
        </is>
      </c>
      <c r="C22" s="1017" t="n"/>
      <c r="D22" s="1042" t="n"/>
      <c r="E22" s="1017" t="n">
        <v>40000000</v>
      </c>
      <c r="F22" s="1036" t="inlineStr">
        <is>
          <t>연간1회</t>
        </is>
      </c>
      <c r="G22" s="1017" t="n"/>
      <c r="H22" s="1037" t="n"/>
      <c r="I22" s="1038" t="n"/>
      <c r="J22" s="1039" t="n"/>
      <c r="K22" s="1022" t="n"/>
      <c r="L22" s="1037" t="n"/>
      <c r="M22" s="1038" t="n"/>
      <c r="N22" s="1040" t="n"/>
      <c r="O22" s="830" t="n"/>
      <c r="P22" s="832" t="n"/>
      <c r="Q22" s="326" t="inlineStr">
        <is>
          <t>양성자방사선</t>
        </is>
      </c>
      <c r="R22" s="840">
        <f>C22+E22+G22+I22+K22+M22</f>
        <v/>
      </c>
    </row>
    <row r="23" ht="15" customHeight="1" s="797">
      <c r="A23" s="832" t="n"/>
      <c r="B23" s="326" t="inlineStr">
        <is>
          <t>세기조절방사선</t>
        </is>
      </c>
      <c r="C23" s="1017" t="n"/>
      <c r="D23" s="1042" t="n"/>
      <c r="E23" s="1017" t="n">
        <v>20000000</v>
      </c>
      <c r="F23" s="1042" t="inlineStr">
        <is>
          <t>90세</t>
        </is>
      </c>
      <c r="G23" s="1017" t="n"/>
      <c r="H23" s="1037" t="n"/>
      <c r="I23" s="1038" t="n"/>
      <c r="J23" s="1039" t="n"/>
      <c r="K23" s="1022" t="n"/>
      <c r="L23" s="1037" t="n"/>
      <c r="M23" s="1038" t="n"/>
      <c r="N23" s="1040" t="n"/>
      <c r="O23" s="830" t="n"/>
      <c r="P23" s="832" t="n"/>
      <c r="Q23" s="326" t="inlineStr">
        <is>
          <t>세기조절방사선</t>
        </is>
      </c>
      <c r="R23" s="840">
        <f>C23+E23+G23+I23+K23+M23</f>
        <v/>
      </c>
    </row>
    <row r="24" ht="15" customHeight="1" s="797">
      <c r="A24" s="832" t="n"/>
      <c r="B24" s="343" t="inlineStr">
        <is>
          <t>항암약물</t>
        </is>
      </c>
      <c r="C24" s="1017" t="n"/>
      <c r="D24" s="1042" t="n"/>
      <c r="E24" s="1043" t="n">
        <v>10000000</v>
      </c>
      <c r="F24" s="1036" t="inlineStr">
        <is>
          <t>연간1회</t>
        </is>
      </c>
      <c r="G24" s="1043" t="n"/>
      <c r="H24" s="1037" t="n"/>
      <c r="I24" s="1044" t="n"/>
      <c r="J24" s="1036" t="n"/>
      <c r="K24" s="1045" t="n"/>
      <c r="L24" s="1037" t="n"/>
      <c r="M24" s="1044" t="n"/>
      <c r="N24" s="1046" t="n"/>
      <c r="O24" s="830" t="n"/>
      <c r="P24" s="832" t="n"/>
      <c r="Q24" s="343" t="inlineStr">
        <is>
          <t>항암약물</t>
        </is>
      </c>
      <c r="R24" s="840">
        <f>C24+E24+G24+I24+K24+M24</f>
        <v/>
      </c>
    </row>
    <row r="25" ht="15" customHeight="1" s="797">
      <c r="A25" s="832" t="n"/>
      <c r="B25" s="326" t="inlineStr">
        <is>
          <t>표적항암약물</t>
        </is>
      </c>
      <c r="C25" s="1043" t="n"/>
      <c r="D25" s="1047" t="n"/>
      <c r="E25" s="1043" t="n">
        <v>40000000</v>
      </c>
      <c r="F25" s="1048" t="inlineStr">
        <is>
          <t>연간1회</t>
        </is>
      </c>
      <c r="G25" s="1043" t="n"/>
      <c r="H25" s="1037" t="n"/>
      <c r="I25" s="1044" t="n"/>
      <c r="J25" s="1036" t="n"/>
      <c r="K25" s="1045" t="n"/>
      <c r="L25" s="1037" t="n"/>
      <c r="M25" s="1044" t="n"/>
      <c r="N25" s="1046" t="n"/>
      <c r="O25" s="830" t="n"/>
      <c r="P25" s="832" t="n"/>
      <c r="Q25" s="326" t="inlineStr">
        <is>
          <t>표적항암약물</t>
        </is>
      </c>
      <c r="R25" s="840">
        <f>C25+E25+G25+I25+K25+M25</f>
        <v/>
      </c>
    </row>
    <row r="26" ht="15" customHeight="1" s="797" thickBot="1">
      <c r="A26" s="832" t="n"/>
      <c r="B26" s="327" t="inlineStr">
        <is>
          <t>면역항암약물</t>
        </is>
      </c>
      <c r="C26" s="1024" t="n"/>
      <c r="D26" s="1049" t="n"/>
      <c r="E26" s="1024" t="n">
        <v>40000000</v>
      </c>
      <c r="F26" s="1049" t="inlineStr">
        <is>
          <t>연간1회</t>
        </is>
      </c>
      <c r="G26" s="1024" t="n"/>
      <c r="H26" s="1037" t="n"/>
      <c r="I26" s="1024" t="n"/>
      <c r="J26" s="1036" t="n"/>
      <c r="K26" s="1027" t="n"/>
      <c r="L26" s="1037" t="n"/>
      <c r="M26" s="1024" t="n"/>
      <c r="N26" s="1046" t="n"/>
      <c r="O26" s="830" t="n"/>
      <c r="P26" s="832" t="n"/>
      <c r="Q26" s="327" t="inlineStr">
        <is>
          <t>면역항암약물</t>
        </is>
      </c>
      <c r="R26" s="1031">
        <f>C26+E26+G26+I26+K26+M26</f>
        <v/>
      </c>
    </row>
    <row r="27" ht="15" customHeight="1" s="797">
      <c r="A27" s="630" t="inlineStr">
        <is>
          <t>2대
질병</t>
        </is>
      </c>
      <c r="B27" s="355" t="inlineStr">
        <is>
          <t>뇌혈관</t>
        </is>
      </c>
      <c r="C27" s="1017" t="n"/>
      <c r="D27" s="1011" t="n"/>
      <c r="E27" s="1017" t="n"/>
      <c r="F27" s="1012" t="n"/>
      <c r="G27" s="1017" t="n">
        <v>10000000</v>
      </c>
      <c r="H27" s="1034" t="inlineStr">
        <is>
          <t>90세</t>
        </is>
      </c>
      <c r="I27" s="1010" t="n"/>
      <c r="J27" s="1011" t="n"/>
      <c r="K27" s="1022" t="n"/>
      <c r="L27" s="1034" t="n"/>
      <c r="M27" s="1010" t="n"/>
      <c r="N27" s="1050" t="n"/>
      <c r="O27" s="830" t="n"/>
      <c r="P27" s="630" t="inlineStr">
        <is>
          <t>2대
질병</t>
        </is>
      </c>
      <c r="Q27" s="355" t="inlineStr">
        <is>
          <t>뇌혈관</t>
        </is>
      </c>
      <c r="R27" s="831">
        <f>C27+E27+G27+I27+K27+M27</f>
        <v/>
      </c>
    </row>
    <row r="28" ht="15" customHeight="1" s="797">
      <c r="A28" s="832" t="n"/>
      <c r="B28" s="356" t="inlineStr">
        <is>
          <t>뇌졸증</t>
        </is>
      </c>
      <c r="C28" s="1017" t="n"/>
      <c r="D28" s="1036" t="n"/>
      <c r="E28" s="1017" t="n"/>
      <c r="F28" s="1033" t="n"/>
      <c r="G28" s="1017" t="n">
        <v>20000000</v>
      </c>
      <c r="H28" s="1037" t="inlineStr">
        <is>
          <t>90세</t>
        </is>
      </c>
      <c r="I28" s="1038" t="n"/>
      <c r="J28" s="1036" t="n"/>
      <c r="K28" s="1022" t="n"/>
      <c r="L28" s="1037" t="n"/>
      <c r="M28" s="1038" t="n"/>
      <c r="N28" s="1046" t="n"/>
      <c r="O28" s="830" t="n"/>
      <c r="P28" s="832" t="n"/>
      <c r="Q28" s="356" t="inlineStr">
        <is>
          <t>뇌졸증</t>
        </is>
      </c>
      <c r="R28" s="840">
        <f>C28+E28+G28+I28+K28+M28</f>
        <v/>
      </c>
    </row>
    <row r="29" ht="15" customHeight="1" s="797" thickBot="1">
      <c r="A29" s="832" t="n"/>
      <c r="B29" s="357" t="inlineStr">
        <is>
          <t>뇌출혈</t>
        </is>
      </c>
      <c r="C29" s="1044" t="n"/>
      <c r="D29" s="1051" t="n"/>
      <c r="E29" s="1044" t="n"/>
      <c r="F29" s="1052" t="n"/>
      <c r="G29" s="1044" t="n">
        <v>20000000</v>
      </c>
      <c r="H29" s="1053" t="inlineStr">
        <is>
          <t>90세</t>
        </is>
      </c>
      <c r="I29" s="1044" t="n"/>
      <c r="J29" s="1051" t="n"/>
      <c r="K29" s="1054" t="n"/>
      <c r="L29" s="1053" t="n"/>
      <c r="M29" s="1044" t="n"/>
      <c r="N29" s="1055" t="n"/>
      <c r="O29" s="830" t="n"/>
      <c r="P29" s="832" t="n"/>
      <c r="Q29" s="357" t="inlineStr">
        <is>
          <t>뇌출혈</t>
        </is>
      </c>
      <c r="R29" s="849">
        <f>C29+E29+G29+I29+K29+M29</f>
        <v/>
      </c>
    </row>
    <row r="30" ht="15" customHeight="1" s="797">
      <c r="A30" s="832" t="n"/>
      <c r="B30" s="358" t="inlineStr">
        <is>
          <t>심장질환</t>
        </is>
      </c>
      <c r="C30" s="1010" t="n"/>
      <c r="D30" s="1011" t="n"/>
      <c r="E30" s="1010" t="n"/>
      <c r="F30" s="1012" t="n"/>
      <c r="G30" s="1010" t="n">
        <v>10000000</v>
      </c>
      <c r="H30" s="1034" t="inlineStr">
        <is>
          <t>90세</t>
        </is>
      </c>
      <c r="I30" s="1010" t="n"/>
      <c r="J30" s="1011" t="n"/>
      <c r="K30" s="1015" t="n"/>
      <c r="L30" s="1034" t="n"/>
      <c r="M30" s="1010" t="n"/>
      <c r="N30" s="1050" t="n"/>
      <c r="O30" s="830" t="n"/>
      <c r="P30" s="832" t="n"/>
      <c r="Q30" s="358" t="inlineStr">
        <is>
          <t>심장질환</t>
        </is>
      </c>
      <c r="R30" s="831">
        <f>C30+E30+G30+I30+K30+M30</f>
        <v/>
      </c>
    </row>
    <row r="31" ht="15" customHeight="1" s="797">
      <c r="A31" s="832" t="n"/>
      <c r="B31" s="359" t="inlineStr">
        <is>
          <t>허혈성심장</t>
        </is>
      </c>
      <c r="C31" s="1017" t="n"/>
      <c r="D31" s="1036" t="n"/>
      <c r="E31" s="1017" t="n"/>
      <c r="F31" s="1033" t="n"/>
      <c r="G31" s="1017" t="n">
        <v>20000000</v>
      </c>
      <c r="H31" s="1037" t="inlineStr">
        <is>
          <t>90세</t>
        </is>
      </c>
      <c r="I31" s="1017" t="n"/>
      <c r="J31" s="1036" t="n"/>
      <c r="K31" s="1022" t="n"/>
      <c r="L31" s="1037" t="n"/>
      <c r="M31" s="1017" t="n"/>
      <c r="N31" s="1046" t="n"/>
      <c r="O31" s="830" t="n"/>
      <c r="P31" s="832" t="n"/>
      <c r="Q31" s="359" t="inlineStr">
        <is>
          <t>허혈성심장</t>
        </is>
      </c>
      <c r="R31" s="840">
        <f>C31+E31+G31+I31+K31+M31</f>
        <v/>
      </c>
    </row>
    <row r="32" ht="15" customHeight="1" s="797" thickBot="1">
      <c r="A32" s="832" t="n"/>
      <c r="B32" s="360" t="inlineStr">
        <is>
          <t>급성심근경색</t>
        </is>
      </c>
      <c r="C32" s="1024" t="n"/>
      <c r="D32" s="1025" t="n"/>
      <c r="E32" s="1024" t="n"/>
      <c r="F32" s="1026" t="n"/>
      <c r="G32" s="1027" t="n">
        <v>20000000</v>
      </c>
      <c r="H32" s="1056" t="inlineStr">
        <is>
          <t>90세</t>
        </is>
      </c>
      <c r="I32" s="1024" t="n"/>
      <c r="J32" s="1025" t="n"/>
      <c r="K32" s="1027" t="n"/>
      <c r="L32" s="1056" t="n"/>
      <c r="M32" s="1024" t="n"/>
      <c r="N32" s="1057" t="n"/>
      <c r="O32" s="830" t="n"/>
      <c r="P32" s="832" t="n"/>
      <c r="Q32" s="360" t="inlineStr">
        <is>
          <t>급성심근경색</t>
        </is>
      </c>
      <c r="R32" s="1031">
        <f>C32+E32+G32+I32+K32+M32</f>
        <v/>
      </c>
    </row>
    <row r="33" ht="15" customHeight="1" s="797">
      <c r="A33" s="832" t="n"/>
      <c r="B33" s="361" t="inlineStr">
        <is>
          <t>수술비</t>
        </is>
      </c>
      <c r="C33" s="1010" t="n"/>
      <c r="D33" s="1011" t="n"/>
      <c r="E33" s="1010" t="n"/>
      <c r="F33" s="1012" t="n"/>
      <c r="G33" s="1010" t="n"/>
      <c r="H33" s="1034" t="n"/>
      <c r="I33" s="1010" t="n"/>
      <c r="J33" s="1011" t="n"/>
      <c r="K33" s="1015" t="n"/>
      <c r="L33" s="1034" t="n"/>
      <c r="M33" s="1010" t="n"/>
      <c r="N33" s="1050" t="n"/>
      <c r="O33" s="830" t="n"/>
      <c r="P33" s="832" t="n"/>
      <c r="Q33" s="361" t="inlineStr">
        <is>
          <t>수술비</t>
        </is>
      </c>
      <c r="R33" s="831">
        <f>C33+E33+G33+I33+K33+M33</f>
        <v/>
      </c>
    </row>
    <row r="34" ht="15" customHeight="1" s="797">
      <c r="A34" s="832" t="n"/>
      <c r="B34" s="362" t="inlineStr">
        <is>
          <t>혈전용해치료</t>
        </is>
      </c>
      <c r="C34" s="1017" t="n"/>
      <c r="D34" s="1036" t="n"/>
      <c r="E34" s="1017" t="n"/>
      <c r="F34" s="1033" t="n"/>
      <c r="G34" s="1017" t="n"/>
      <c r="H34" s="1037" t="n"/>
      <c r="I34" s="1017" t="n"/>
      <c r="J34" s="1036" t="n"/>
      <c r="K34" s="1022" t="n"/>
      <c r="L34" s="1037" t="n"/>
      <c r="M34" s="1017" t="n"/>
      <c r="N34" s="1046" t="n"/>
      <c r="O34" s="830" t="n"/>
      <c r="P34" s="832" t="n"/>
      <c r="Q34" s="362" t="inlineStr">
        <is>
          <t>혈전용해치료</t>
        </is>
      </c>
      <c r="R34" s="840">
        <f>C34+E34+G34+I34+K34+M34</f>
        <v/>
      </c>
    </row>
    <row r="35" ht="15" customHeight="1" s="797" thickBot="1">
      <c r="A35" s="832" t="n"/>
      <c r="B35" s="363" t="inlineStr">
        <is>
          <t>중환자실치료</t>
        </is>
      </c>
      <c r="C35" s="1024" t="n"/>
      <c r="D35" s="1025" t="n"/>
      <c r="E35" s="1024" t="n"/>
      <c r="F35" s="1026" t="n"/>
      <c r="G35" s="1027" t="n"/>
      <c r="H35" s="1056" t="n"/>
      <c r="I35" s="1024" t="n"/>
      <c r="J35" s="1025" t="n"/>
      <c r="K35" s="1027" t="n"/>
      <c r="L35" s="1056" t="n"/>
      <c r="M35" s="1024" t="n"/>
      <c r="N35" s="1057" t="n"/>
      <c r="O35" s="830" t="n"/>
      <c r="P35" s="832" t="n"/>
      <c r="Q35" s="363" t="inlineStr">
        <is>
          <t>중환자실치료</t>
        </is>
      </c>
      <c r="R35" s="1031">
        <f>C35+E35+G35+I35+K35+M35</f>
        <v/>
      </c>
    </row>
    <row r="36" ht="15" customHeight="1" s="797">
      <c r="A36" s="892" t="inlineStr">
        <is>
          <t>후유장해</t>
        </is>
      </c>
      <c r="B36" s="364" t="inlineStr">
        <is>
          <t>질병 80% 이상</t>
        </is>
      </c>
      <c r="C36" s="1010" t="n"/>
      <c r="D36" s="1058" t="n"/>
      <c r="E36" s="1010" t="n"/>
      <c r="F36" s="1012" t="n"/>
      <c r="G36" s="1010" t="n"/>
      <c r="H36" s="1034" t="n"/>
      <c r="I36" s="1010" t="n"/>
      <c r="J36" s="1011" t="n"/>
      <c r="K36" s="1015" t="n"/>
      <c r="L36" s="1034" t="n"/>
      <c r="M36" s="1010" t="n"/>
      <c r="N36" s="1050" t="n"/>
      <c r="O36" s="830" t="n"/>
      <c r="P36" s="892" t="inlineStr">
        <is>
          <t>후유장해</t>
        </is>
      </c>
      <c r="Q36" s="364" t="inlineStr">
        <is>
          <t>질병 80% 이상</t>
        </is>
      </c>
      <c r="R36" s="831">
        <f>C36+E36+G36+I36+K36+M36</f>
        <v/>
      </c>
    </row>
    <row r="37" ht="15" customHeight="1" s="797">
      <c r="A37" s="832" t="n"/>
      <c r="B37" s="365" t="inlineStr">
        <is>
          <t>질병 3% ~80%</t>
        </is>
      </c>
      <c r="C37" s="1017" t="n"/>
      <c r="D37" s="1059" t="n"/>
      <c r="E37" s="1017" t="n"/>
      <c r="F37" s="1019" t="n"/>
      <c r="G37" s="1017" t="n"/>
      <c r="H37" s="1019" t="n"/>
      <c r="I37" s="1017" t="n"/>
      <c r="J37" s="1018" t="n"/>
      <c r="K37" s="1022" t="n"/>
      <c r="L37" s="1060" t="n"/>
      <c r="M37" s="1017" t="n"/>
      <c r="N37" s="1061" t="n"/>
      <c r="O37" s="830" t="n"/>
      <c r="P37" s="832" t="n"/>
      <c r="Q37" s="365" t="inlineStr">
        <is>
          <t>질병 3% ~80%</t>
        </is>
      </c>
      <c r="R37" s="840">
        <f>C37+E37+G37+I37+K37+M37</f>
        <v/>
      </c>
    </row>
    <row r="38" ht="15" customHeight="1" s="797">
      <c r="A38" s="832" t="n"/>
      <c r="B38" s="365" t="inlineStr">
        <is>
          <t>상해 80% 이상</t>
        </is>
      </c>
      <c r="C38" s="1017" t="n"/>
      <c r="D38" s="1062" t="n"/>
      <c r="E38" s="1017" t="n"/>
      <c r="F38" s="1062" t="n"/>
      <c r="G38" s="1017" t="n"/>
      <c r="H38" s="1018" t="n"/>
      <c r="I38" s="1017" t="n"/>
      <c r="J38" s="1018" t="n"/>
      <c r="K38" s="1022" t="n"/>
      <c r="L38" s="1060" t="n"/>
      <c r="M38" s="1017" t="n"/>
      <c r="N38" s="1061" t="n"/>
      <c r="O38" s="830" t="n"/>
      <c r="P38" s="832" t="n"/>
      <c r="Q38" s="365" t="inlineStr">
        <is>
          <t>상해 80% 이상</t>
        </is>
      </c>
      <c r="R38" s="840">
        <f>C38+E38+G38+I38+K38+M38</f>
        <v/>
      </c>
    </row>
    <row r="39" ht="15" customHeight="1" s="797" thickBot="1">
      <c r="A39" s="841" t="n"/>
      <c r="B39" s="366" t="inlineStr">
        <is>
          <t>상해 3% ~ 80%</t>
        </is>
      </c>
      <c r="C39" s="1024" t="n"/>
      <c r="D39" s="1063" t="n"/>
      <c r="E39" s="1024" t="n"/>
      <c r="F39" s="1063" t="n"/>
      <c r="G39" s="1017" t="n"/>
      <c r="H39" s="1025" t="n"/>
      <c r="I39" s="1024" t="n"/>
      <c r="J39" s="1025" t="n"/>
      <c r="K39" s="1022" t="n"/>
      <c r="L39" s="1056" t="n"/>
      <c r="M39" s="1024" t="n"/>
      <c r="N39" s="1057" t="n"/>
      <c r="O39" s="830" t="n"/>
      <c r="P39" s="841" t="n"/>
      <c r="Q39" s="366" t="inlineStr">
        <is>
          <t>상해 3% ~ 80%</t>
        </is>
      </c>
      <c r="R39" s="1031">
        <f>C39+E39+G39+I39+K39+M39</f>
        <v/>
      </c>
    </row>
    <row r="40" ht="15" customHeight="1" s="797">
      <c r="A40" s="897" t="inlineStr">
        <is>
          <t>사망</t>
        </is>
      </c>
      <c r="B40" s="367" t="inlineStr">
        <is>
          <t>일반</t>
        </is>
      </c>
      <c r="C40" s="1038" t="n"/>
      <c r="D40" s="1064" t="n"/>
      <c r="E40" s="1038" t="n"/>
      <c r="F40" s="1064" t="n"/>
      <c r="G40" s="1010" t="n"/>
      <c r="H40" s="1011" t="n"/>
      <c r="I40" s="1010" t="n"/>
      <c r="J40" s="1011" t="n"/>
      <c r="K40" s="1015" t="n"/>
      <c r="L40" s="1034" t="n"/>
      <c r="M40" s="1010" t="n"/>
      <c r="N40" s="1050" t="n"/>
      <c r="O40" s="830" t="n"/>
      <c r="P40" s="897" t="inlineStr">
        <is>
          <t>사망</t>
        </is>
      </c>
      <c r="Q40" s="367" t="inlineStr">
        <is>
          <t>일반</t>
        </is>
      </c>
      <c r="R40" s="831">
        <f>C40+E40+G40+I40+K40+M40</f>
        <v/>
      </c>
    </row>
    <row r="41" ht="15" customHeight="1" s="797">
      <c r="A41" s="832" t="n"/>
      <c r="B41" s="368" t="inlineStr">
        <is>
          <t>질병</t>
        </is>
      </c>
      <c r="C41" s="1017" t="n"/>
      <c r="D41" s="1065" t="n"/>
      <c r="E41" s="1017" t="n"/>
      <c r="F41" s="1065" t="n"/>
      <c r="G41" s="1017" t="n"/>
      <c r="H41" s="1018" t="n"/>
      <c r="I41" s="1017" t="n"/>
      <c r="J41" s="1018" t="n"/>
      <c r="K41" s="1022" t="n"/>
      <c r="L41" s="1060" t="n"/>
      <c r="M41" s="1017" t="n"/>
      <c r="N41" s="1061" t="n"/>
      <c r="O41" s="830" t="n"/>
      <c r="P41" s="832" t="n"/>
      <c r="Q41" s="368" t="inlineStr">
        <is>
          <t>질병</t>
        </is>
      </c>
      <c r="R41" s="840">
        <f>C41+E41+G41+I41+K41+M41</f>
        <v/>
      </c>
    </row>
    <row r="42" ht="15" customHeight="1" s="797" thickBot="1">
      <c r="A42" s="841" t="n"/>
      <c r="B42" s="369" t="inlineStr">
        <is>
          <t>상해</t>
        </is>
      </c>
      <c r="C42" s="1024" t="n"/>
      <c r="D42" s="1066" t="n"/>
      <c r="E42" s="1024" t="n"/>
      <c r="F42" s="1066" t="n"/>
      <c r="G42" s="1024" t="n">
        <v>30000000</v>
      </c>
      <c r="H42" s="1067" t="inlineStr">
        <is>
          <t>90세</t>
        </is>
      </c>
      <c r="I42" s="1024" t="n"/>
      <c r="J42" s="1025" t="n"/>
      <c r="K42" s="1027" t="n"/>
      <c r="L42" s="1056" t="n"/>
      <c r="M42" s="1024" t="n"/>
      <c r="N42" s="1057" t="n"/>
      <c r="O42" s="830" t="n"/>
      <c r="P42" s="841" t="n"/>
      <c r="Q42" s="369" t="inlineStr">
        <is>
          <t>상해</t>
        </is>
      </c>
      <c r="R42" s="1031">
        <f>C42+E42+G42+I42+K42+M42</f>
        <v/>
      </c>
      <c r="S42" s="2" t="n"/>
    </row>
    <row r="43" ht="15" customHeight="1" s="797">
      <c r="A43" s="617" t="inlineStr">
        <is>
          <t>수술비</t>
        </is>
      </c>
      <c r="B43" s="370" t="inlineStr">
        <is>
          <t>질병</t>
        </is>
      </c>
      <c r="C43" s="1015" t="n"/>
      <c r="D43" s="1032" t="n"/>
      <c r="E43" s="1015" t="n"/>
      <c r="F43" s="1032" t="n"/>
      <c r="G43" s="1015" t="n">
        <v>500000</v>
      </c>
      <c r="H43" s="1032" t="inlineStr">
        <is>
          <t>90세</t>
        </is>
      </c>
      <c r="I43" s="1038" t="n"/>
      <c r="J43" s="1036" t="n"/>
      <c r="K43" s="1015" t="n"/>
      <c r="L43" s="1034" t="n"/>
      <c r="M43" s="1038" t="n"/>
      <c r="N43" s="1046" t="n"/>
      <c r="O43" s="830" t="n"/>
      <c r="P43" s="617" t="inlineStr">
        <is>
          <t>수술비</t>
        </is>
      </c>
      <c r="Q43" s="370" t="inlineStr">
        <is>
          <t>질병</t>
        </is>
      </c>
      <c r="R43" s="831">
        <f>C43+E43+G43+I43+K43+M43</f>
        <v/>
      </c>
    </row>
    <row r="44" ht="15" customHeight="1" s="797">
      <c r="A44" s="832" t="n"/>
      <c r="B44" s="370" t="inlineStr">
        <is>
          <t>상해</t>
        </is>
      </c>
      <c r="C44" s="1022" t="n"/>
      <c r="D44" s="1068" t="n"/>
      <c r="E44" s="1022" t="n"/>
      <c r="F44" s="1068" t="n"/>
      <c r="G44" s="1022" t="n">
        <v>1200000</v>
      </c>
      <c r="H44" s="1068" t="inlineStr">
        <is>
          <t>90세</t>
        </is>
      </c>
      <c r="I44" s="1017" t="n"/>
      <c r="J44" s="1036" t="n"/>
      <c r="K44" s="1022" t="n"/>
      <c r="L44" s="1060" t="n"/>
      <c r="M44" s="1017" t="n"/>
      <c r="N44" s="1046" t="n"/>
      <c r="O44" s="830" t="n"/>
      <c r="P44" s="832" t="n"/>
      <c r="Q44" s="370" t="inlineStr">
        <is>
          <t>상해</t>
        </is>
      </c>
      <c r="R44" s="881">
        <f>C44+E44+G44+I44+K44+M44</f>
        <v/>
      </c>
    </row>
    <row r="45" ht="15" customHeight="1" s="797">
      <c r="A45" s="832" t="n"/>
      <c r="B45" s="370" t="inlineStr">
        <is>
          <t>질병1-5종</t>
        </is>
      </c>
      <c r="C45" s="1022" t="n"/>
      <c r="D45" s="1068" t="n"/>
      <c r="E45" s="1022" t="n"/>
      <c r="F45" s="1068" t="n"/>
      <c r="G45" s="1022" t="n">
        <v>5300000</v>
      </c>
      <c r="H45" s="1068" t="inlineStr">
        <is>
          <t>90세</t>
        </is>
      </c>
      <c r="I45" s="1017" t="n"/>
      <c r="J45" s="1036" t="n"/>
      <c r="K45" s="1022" t="n"/>
      <c r="L45" s="1037" t="n"/>
      <c r="M45" s="1017" t="n"/>
      <c r="N45" s="1046" t="n"/>
      <c r="O45" s="830" t="n"/>
      <c r="P45" s="832" t="n"/>
      <c r="Q45" s="370" t="inlineStr">
        <is>
          <t>질병1-5종</t>
        </is>
      </c>
      <c r="R45" s="840">
        <f>C45+E45+G45+I45+K45+M45</f>
        <v/>
      </c>
    </row>
    <row r="46" ht="15" customHeight="1" s="797" thickBot="1">
      <c r="A46" s="832" t="n"/>
      <c r="B46" s="371" t="inlineStr">
        <is>
          <t>N대질병</t>
        </is>
      </c>
      <c r="C46" s="1045" t="n"/>
      <c r="D46" s="1067" t="n"/>
      <c r="E46" s="1045" t="n"/>
      <c r="F46" s="1067" t="n"/>
      <c r="G46" s="1045" t="n"/>
      <c r="H46" s="1067" t="n"/>
      <c r="I46" s="1043" t="n"/>
      <c r="J46" s="1069" t="n"/>
      <c r="K46" s="1045" t="n"/>
      <c r="L46" s="1070" t="n"/>
      <c r="M46" s="1045" t="n"/>
      <c r="N46" s="1071" t="n"/>
      <c r="O46" s="830" t="n"/>
      <c r="P46" s="832" t="n"/>
      <c r="Q46" s="371" t="inlineStr">
        <is>
          <t>N대질병</t>
        </is>
      </c>
      <c r="R46" s="1031">
        <f>C46+E46+G46+I46+K46+M46</f>
        <v/>
      </c>
    </row>
    <row r="47" ht="15" customHeight="1" s="797">
      <c r="A47" s="1072" t="inlineStr">
        <is>
          <t>진단비</t>
        </is>
      </c>
      <c r="B47" s="372" t="inlineStr">
        <is>
          <t>골절</t>
        </is>
      </c>
      <c r="C47" s="1010" t="n"/>
      <c r="D47" s="1073" t="n"/>
      <c r="E47" s="1010" t="n"/>
      <c r="F47" s="1073" t="n"/>
      <c r="G47" s="1010" t="n">
        <v>500000</v>
      </c>
      <c r="H47" s="1074" t="inlineStr">
        <is>
          <t>90세</t>
        </is>
      </c>
      <c r="I47" s="1010" t="n"/>
      <c r="J47" s="1011" t="n"/>
      <c r="K47" s="1015" t="n"/>
      <c r="L47" s="1074" t="n"/>
      <c r="M47" s="1010" t="n"/>
      <c r="N47" s="1050" t="n"/>
      <c r="O47" s="830" t="n"/>
      <c r="P47" s="1072" t="inlineStr">
        <is>
          <t>진단비</t>
        </is>
      </c>
      <c r="Q47" s="372" t="inlineStr">
        <is>
          <t>골절</t>
        </is>
      </c>
      <c r="R47" s="831">
        <f>C47+E47+G47+I47+K47+M47</f>
        <v/>
      </c>
    </row>
    <row r="48" ht="15" customHeight="1" s="797" thickBot="1">
      <c r="A48" s="841" t="n"/>
      <c r="B48" s="373" t="inlineStr">
        <is>
          <t>화상</t>
        </is>
      </c>
      <c r="C48" s="1075" t="n"/>
      <c r="D48" s="1076" t="n"/>
      <c r="E48" s="1075" t="n"/>
      <c r="F48" s="1076" t="n"/>
      <c r="G48" s="1075" t="n">
        <v>200000</v>
      </c>
      <c r="H48" s="1077" t="inlineStr">
        <is>
          <t>90세</t>
        </is>
      </c>
      <c r="I48" s="1024" t="n"/>
      <c r="J48" s="1025" t="n"/>
      <c r="K48" s="1078" t="n"/>
      <c r="L48" s="1077" t="n"/>
      <c r="M48" s="1024" t="n"/>
      <c r="N48" s="1057" t="n"/>
      <c r="O48" s="830" t="n"/>
      <c r="P48" s="841" t="n"/>
      <c r="Q48" s="373" t="inlineStr">
        <is>
          <t>화상</t>
        </is>
      </c>
      <c r="R48" s="1031">
        <f>C48+E48+G48+I48+K48+M48</f>
        <v/>
      </c>
    </row>
    <row r="49" ht="15" customHeight="1" s="797">
      <c r="A49" s="609" t="inlineStr">
        <is>
          <t>간병인</t>
        </is>
      </c>
      <c r="B49" s="374" t="inlineStr">
        <is>
          <t>병원사용</t>
        </is>
      </c>
      <c r="C49" s="1038" t="n"/>
      <c r="D49" s="1059" t="n"/>
      <c r="E49" s="1038" t="n"/>
      <c r="F49" s="1036" t="n"/>
      <c r="G49" s="1038" t="n">
        <v>150000</v>
      </c>
      <c r="H49" s="1037" t="inlineStr">
        <is>
          <t>90세</t>
        </is>
      </c>
      <c r="I49" s="1038" t="n"/>
      <c r="J49" s="1036" t="n"/>
      <c r="K49" s="1079" t="n"/>
      <c r="L49" s="1080" t="n"/>
      <c r="M49" s="1038" t="n"/>
      <c r="N49" s="1046" t="n"/>
      <c r="O49" s="830" t="n"/>
      <c r="P49" s="609" t="inlineStr">
        <is>
          <t>간병인</t>
        </is>
      </c>
      <c r="Q49" s="374" t="inlineStr">
        <is>
          <t>병원사용</t>
        </is>
      </c>
      <c r="R49" s="831">
        <f>C49+E49+G49+I49+K49+M49</f>
        <v/>
      </c>
    </row>
    <row r="50" ht="15" customHeight="1" s="797">
      <c r="A50" s="832" t="n"/>
      <c r="B50" s="375" t="inlineStr">
        <is>
          <t>요양병원사용</t>
        </is>
      </c>
      <c r="C50" s="1044" t="n"/>
      <c r="D50" s="1081" t="n"/>
      <c r="E50" s="1044" t="n"/>
      <c r="F50" s="1036" t="n"/>
      <c r="G50" s="1044" t="n">
        <v>60000</v>
      </c>
      <c r="H50" s="1037" t="inlineStr">
        <is>
          <t>90세</t>
        </is>
      </c>
      <c r="I50" s="1044" t="n"/>
      <c r="J50" s="1051" t="n"/>
      <c r="K50" s="1054" t="n"/>
      <c r="L50" s="1080" t="n"/>
      <c r="M50" s="1044" t="n"/>
      <c r="N50" s="1055" t="n"/>
      <c r="O50" s="830" t="n"/>
      <c r="P50" s="832" t="n"/>
      <c r="Q50" s="375" t="inlineStr">
        <is>
          <t>요양병원사용</t>
        </is>
      </c>
      <c r="R50" s="1082">
        <f>C50+E50+G50+I50+K50+M50</f>
        <v/>
      </c>
    </row>
    <row r="51" ht="15" customHeight="1" s="797" thickBot="1">
      <c r="A51" s="841" t="n"/>
      <c r="B51" s="376" t="inlineStr">
        <is>
          <t>간호간병통합사용</t>
        </is>
      </c>
      <c r="C51" s="1024" t="n"/>
      <c r="D51" s="1083" t="n"/>
      <c r="E51" s="1024" t="n"/>
      <c r="F51" s="1036" t="n"/>
      <c r="G51" s="1024" t="n">
        <v>70000</v>
      </c>
      <c r="H51" s="1037" t="inlineStr">
        <is>
          <t>90세</t>
        </is>
      </c>
      <c r="I51" s="1024" t="n"/>
      <c r="J51" s="1025" t="n"/>
      <c r="K51" s="1027" t="n"/>
      <c r="L51" s="1080" t="n"/>
      <c r="M51" s="1024" t="n"/>
      <c r="N51" s="1057" t="n"/>
      <c r="O51" s="830" t="n"/>
      <c r="P51" s="841" t="n"/>
      <c r="Q51" s="376" t="inlineStr">
        <is>
          <t>간호간병통합사용</t>
        </is>
      </c>
      <c r="R51" s="1031">
        <f>C51+E51+G51+I51+K51+M51</f>
        <v/>
      </c>
    </row>
    <row r="52" ht="15" customHeight="1" s="797">
      <c r="A52" s="917" t="inlineStr">
        <is>
          <t>운전자</t>
        </is>
      </c>
      <c r="B52" s="377" t="inlineStr">
        <is>
          <t>벌금</t>
        </is>
      </c>
      <c r="C52" s="1010" t="n"/>
      <c r="D52" s="1084" t="n"/>
      <c r="E52" s="1010" t="n"/>
      <c r="F52" s="1011" t="n"/>
      <c r="G52" s="1010" t="n"/>
      <c r="H52" s="1034" t="n"/>
      <c r="I52" s="1010" t="n">
        <v>30000000</v>
      </c>
      <c r="J52" s="1074" t="inlineStr">
        <is>
          <t>20년</t>
        </is>
      </c>
      <c r="K52" s="1015" t="n"/>
      <c r="L52" s="1074" t="n"/>
      <c r="M52" s="1010" t="n"/>
      <c r="N52" s="1085" t="n"/>
      <c r="O52" s="830" t="n"/>
      <c r="P52" s="917" t="inlineStr">
        <is>
          <t>운전자</t>
        </is>
      </c>
      <c r="Q52" s="377" t="inlineStr">
        <is>
          <t>벌금</t>
        </is>
      </c>
      <c r="R52" s="831">
        <f>C52+E52+G52+I52+K52+M52</f>
        <v/>
      </c>
    </row>
    <row r="53" ht="15" customHeight="1" s="797">
      <c r="A53" s="832" t="n"/>
      <c r="B53" s="377" t="inlineStr">
        <is>
          <t>변호사선임</t>
        </is>
      </c>
      <c r="C53" s="1017" t="n"/>
      <c r="D53" s="1086" t="n"/>
      <c r="E53" s="1017" t="n"/>
      <c r="G53" s="1017" t="n"/>
      <c r="H53" s="1060" t="n"/>
      <c r="I53" s="1017" t="n">
        <v>50000000</v>
      </c>
      <c r="J53" s="337" t="inlineStr">
        <is>
          <t>20년</t>
        </is>
      </c>
      <c r="K53" s="1022" t="n"/>
      <c r="M53" s="1017" t="n"/>
      <c r="N53" s="332" t="n"/>
      <c r="O53" s="830" t="n"/>
      <c r="P53" s="832" t="n"/>
      <c r="Q53" s="377" t="inlineStr">
        <is>
          <t>변호사선임</t>
        </is>
      </c>
      <c r="R53" s="840">
        <f>C53+E53+G53+I53+K53+M53</f>
        <v/>
      </c>
    </row>
    <row r="54" ht="15" customHeight="1" s="797" thickBot="1">
      <c r="A54" s="841" t="n"/>
      <c r="B54" s="378" t="inlineStr">
        <is>
          <t>교통사고처리지원</t>
        </is>
      </c>
      <c r="C54" s="1038" t="n"/>
      <c r="D54" s="1059" t="n"/>
      <c r="E54" s="1038" t="n"/>
      <c r="F54" s="1018" t="n"/>
      <c r="G54" s="1038" t="n"/>
      <c r="H54" s="1037" t="n"/>
      <c r="I54" s="1038" t="n">
        <v>200000000</v>
      </c>
      <c r="J54" s="1087" t="inlineStr">
        <is>
          <t>20년</t>
        </is>
      </c>
      <c r="K54" s="1079" t="n"/>
      <c r="L54" s="1018" t="n"/>
      <c r="M54" s="1038" t="n"/>
      <c r="N54" s="1088" t="n"/>
      <c r="O54" s="830" t="n"/>
      <c r="P54" s="841" t="n"/>
      <c r="Q54" s="378" t="inlineStr">
        <is>
          <t>교통사고처리지원</t>
        </is>
      </c>
      <c r="R54" s="1031">
        <f>C54+E54+G54+I54+K54+M54</f>
        <v/>
      </c>
    </row>
    <row r="55" ht="15" customHeight="1" s="797" thickBot="1">
      <c r="A55" s="585" t="inlineStr">
        <is>
          <t>일상생활배상책임</t>
        </is>
      </c>
      <c r="B55" s="919" t="n"/>
      <c r="C55" s="1089" t="n"/>
      <c r="D55" s="1090" t="n"/>
      <c r="E55" s="1089" t="n"/>
      <c r="F55" s="1091" t="n"/>
      <c r="G55" s="1089" t="n"/>
      <c r="H55" s="1092" t="n"/>
      <c r="I55" s="1089" t="n">
        <v>100000000</v>
      </c>
      <c r="J55" s="1093" t="inlineStr">
        <is>
          <t>20년</t>
        </is>
      </c>
      <c r="K55" s="1094" t="n"/>
      <c r="L55" s="1095" t="n"/>
      <c r="M55" s="1089" t="n"/>
      <c r="N55" s="1096" t="n"/>
      <c r="O55" s="830" t="n"/>
      <c r="P55" s="585" t="inlineStr">
        <is>
          <t>일상생활배상책임</t>
        </is>
      </c>
      <c r="Q55" s="919" t="n"/>
      <c r="R55" s="1031">
        <f>C55+E55+G55+I55+K55+M55</f>
        <v/>
      </c>
    </row>
    <row r="56" ht="15" customHeight="1" s="797">
      <c r="A56" s="1097" t="inlineStr">
        <is>
          <t>기타</t>
        </is>
      </c>
      <c r="B56" s="937" t="n"/>
      <c r="C56" s="1098" t="n"/>
      <c r="D56" s="1099" t="n"/>
      <c r="E56" s="1098" t="inlineStr">
        <is>
          <t>면역항암약물4000만</t>
        </is>
      </c>
      <c r="F56" s="1099" t="inlineStr">
        <is>
          <t>연간1회</t>
        </is>
      </c>
      <c r="G56" s="1098" t="inlineStr">
        <is>
          <t>질병중환자실입원1000만</t>
        </is>
      </c>
      <c r="H56" s="1034" t="inlineStr">
        <is>
          <t>90세</t>
        </is>
      </c>
      <c r="I56" s="1098" t="inlineStr">
        <is>
          <t>자동차부상치료30만원</t>
        </is>
      </c>
      <c r="J56" s="1074" t="inlineStr">
        <is>
          <t>20년</t>
        </is>
      </c>
      <c r="K56" s="1100" t="n"/>
      <c r="L56" s="1034" t="n"/>
      <c r="M56" s="1098" t="n"/>
      <c r="N56" s="1085" t="n"/>
      <c r="O56" s="830" t="n"/>
      <c r="P56" s="935" t="inlineStr">
        <is>
          <t>기타</t>
        </is>
      </c>
      <c r="Q56" s="936" t="n"/>
      <c r="R56" s="937" t="n"/>
    </row>
    <row r="57" ht="15" customHeight="1" s="797">
      <c r="A57" s="804" t="n"/>
      <c r="B57" s="805" t="n"/>
      <c r="C57" s="1101" t="n"/>
      <c r="D57" s="1041" t="n"/>
      <c r="E57" s="1101" t="inlineStr">
        <is>
          <t>암통합치료비1억</t>
        </is>
      </c>
      <c r="F57" s="1041" t="inlineStr">
        <is>
          <t>연간한도</t>
        </is>
      </c>
      <c r="G57" s="1101" t="n"/>
      <c r="H57" s="1060" t="n"/>
      <c r="I57" s="1101" t="inlineStr">
        <is>
          <t>6주미만합의1000만</t>
        </is>
      </c>
      <c r="J57" s="339" t="inlineStr">
        <is>
          <t>20년</t>
        </is>
      </c>
      <c r="K57" s="316" t="n"/>
      <c r="L57" s="1060" t="n"/>
      <c r="M57" s="1101" t="n"/>
      <c r="N57" s="332" t="n"/>
      <c r="O57" s="830" t="n"/>
      <c r="P57" s="804" t="n"/>
      <c r="Q57" s="804" t="n"/>
      <c r="R57" s="805" t="n"/>
    </row>
    <row r="58" ht="15" customHeight="1" s="797">
      <c r="A58" s="804" t="n"/>
      <c r="B58" s="805" t="n"/>
      <c r="C58" s="1101" t="n"/>
      <c r="D58" s="1041" t="n"/>
      <c r="E58" s="1101" t="n"/>
      <c r="F58" s="1041" t="n"/>
      <c r="G58" s="1101" t="n"/>
      <c r="H58" s="1060" t="n"/>
      <c r="I58" s="1101" t="inlineStr">
        <is>
          <t>민소소송법률비용2000만</t>
        </is>
      </c>
      <c r="J58" s="339" t="inlineStr">
        <is>
          <t>20년</t>
        </is>
      </c>
      <c r="K58" s="1102" t="n"/>
      <c r="L58" s="1060" t="n"/>
      <c r="M58" s="1101" t="n"/>
      <c r="N58" s="1088" t="n"/>
      <c r="O58" s="830" t="n"/>
      <c r="P58" s="804" t="n"/>
      <c r="Q58" s="804" t="n"/>
      <c r="R58" s="805" t="n"/>
    </row>
    <row r="59" ht="15" customHeight="1" s="797" thickBot="1">
      <c r="A59" s="942" t="n"/>
      <c r="B59" s="946" t="n"/>
      <c r="C59" s="1103" t="n"/>
      <c r="D59" s="1049" t="n"/>
      <c r="E59" s="1103" t="n"/>
      <c r="F59" s="1049" t="n"/>
      <c r="G59" s="1103" t="n"/>
      <c r="H59" s="1056" t="n"/>
      <c r="I59" s="1103" t="inlineStr">
        <is>
          <t>업무상과실치상법률2000만</t>
        </is>
      </c>
      <c r="J59" s="1056" t="inlineStr">
        <is>
          <t>20년</t>
        </is>
      </c>
      <c r="K59" s="1104" t="n"/>
      <c r="L59" s="1056" t="n"/>
      <c r="M59" s="1103" t="n"/>
      <c r="N59" s="1105" t="n"/>
      <c r="O59" s="830" t="n"/>
      <c r="P59" s="942" t="n"/>
      <c r="Q59" s="942" t="n"/>
      <c r="R59" s="946" t="n"/>
    </row>
    <row r="60" ht="17.25" customHeight="1" s="797">
      <c r="A60" s="947">
        <f>A1</f>
        <v/>
      </c>
      <c r="B60" s="796" t="n"/>
      <c r="C60" s="994" t="inlineStr">
        <is>
          <t>푸본현대생명</t>
        </is>
      </c>
      <c r="D60" s="796" t="n"/>
      <c r="E60" s="994" t="n"/>
      <c r="F60" s="796" t="n"/>
      <c r="G60" s="994" t="n"/>
      <c r="H60" s="796" t="n"/>
      <c r="I60" s="994" t="n"/>
      <c r="J60" s="796" t="n"/>
      <c r="K60" s="994" t="n"/>
      <c r="L60" s="796" t="n"/>
      <c r="M60" s="995" t="n"/>
      <c r="N60" s="996" t="n"/>
      <c r="O60" s="138" t="n"/>
      <c r="P60" s="795" t="inlineStr">
        <is>
          <t>평가 기준일</t>
        </is>
      </c>
      <c r="Q60" s="796" t="n"/>
      <c r="R60" s="137">
        <f>R1</f>
        <v/>
      </c>
    </row>
    <row r="61" ht="15" customHeight="1" s="797">
      <c r="A61" s="647" t="inlineStr">
        <is>
          <t>상품명</t>
        </is>
      </c>
      <c r="B61" s="798" t="n"/>
      <c r="C61" s="696" t="inlineStr">
        <is>
          <t>건강보험마이픽</t>
        </is>
      </c>
      <c r="D61" s="798" t="n"/>
      <c r="E61" s="696" t="n"/>
      <c r="F61" s="798" t="n"/>
      <c r="G61" s="696" t="n"/>
      <c r="H61" s="798" t="n"/>
      <c r="I61" s="696" t="n"/>
      <c r="J61" s="798" t="n"/>
      <c r="K61" s="696" t="n"/>
      <c r="L61" s="798" t="n"/>
      <c r="M61" s="696" t="n"/>
      <c r="N61" s="798" t="n"/>
      <c r="O61" s="25" t="n"/>
      <c r="P61" s="948" t="n"/>
      <c r="Q61" s="801" t="n"/>
      <c r="R61" s="802" t="n"/>
    </row>
    <row r="62" ht="15" customHeight="1" s="797">
      <c r="A62" s="647" t="inlineStr">
        <is>
          <t>계약자 / 피보험자</t>
        </is>
      </c>
      <c r="B62" s="798" t="n"/>
      <c r="C62" s="718" t="inlineStr">
        <is>
          <t>이민호/이민호</t>
        </is>
      </c>
      <c r="D62" s="798" t="n"/>
      <c r="E62" s="718" t="n"/>
      <c r="F62" s="798" t="n"/>
      <c r="G62" s="718" t="n"/>
      <c r="H62" s="798" t="n"/>
      <c r="I62" s="718" t="n"/>
      <c r="J62" s="798" t="n"/>
      <c r="K62" s="718" t="n"/>
      <c r="L62" s="798" t="n"/>
      <c r="M62" s="718" t="n"/>
      <c r="N62" s="798" t="n"/>
      <c r="O62" s="25" t="n"/>
      <c r="P62" s="804" t="n"/>
      <c r="R62" s="805" t="n"/>
    </row>
    <row r="63" ht="15" customHeight="1" s="797">
      <c r="A63" s="647" t="inlineStr">
        <is>
          <t>계약일자</t>
        </is>
      </c>
      <c r="B63" s="798" t="n"/>
      <c r="C63" s="718" t="n">
        <v>45895</v>
      </c>
      <c r="D63" s="798" t="n"/>
      <c r="E63" s="718" t="n"/>
      <c r="F63" s="798" t="n"/>
      <c r="G63" s="718" t="n"/>
      <c r="H63" s="798" t="n"/>
      <c r="I63" s="718" t="n"/>
      <c r="J63" s="798" t="n"/>
      <c r="K63" s="718" t="n"/>
      <c r="L63" s="798" t="n"/>
      <c r="M63" s="718" t="n"/>
      <c r="N63" s="798" t="n"/>
      <c r="O63" s="25" t="n"/>
      <c r="P63" s="804" t="n"/>
      <c r="R63" s="805" t="n"/>
    </row>
    <row r="64" ht="15" customHeight="1" s="797">
      <c r="A64" s="647" t="inlineStr">
        <is>
          <t>납입기간 / 기납입기간</t>
        </is>
      </c>
      <c r="B64" s="798" t="n"/>
      <c r="C64" s="997" t="n">
        <v>20</v>
      </c>
      <c r="D64" s="1000">
        <f>IF(DATEDIF(C63,$R$1,"m")&lt;C64*12,DATEDIF(C63,$R$1,"m"),C64*12)</f>
        <v/>
      </c>
      <c r="E64" s="997" t="n"/>
      <c r="F64" s="1000">
        <f>IF(DATEDIF(E63,$R$1,"m")&lt;E64*12,DATEDIF(E63,$R$1,"m"),E64*12)</f>
        <v/>
      </c>
      <c r="G64" s="997" t="n"/>
      <c r="H64" s="1000">
        <f>IF(DATEDIF(G63,$R$1,"m")&lt;G64*12,DATEDIF(G63,$R$1,"m"),G64*12)</f>
        <v/>
      </c>
      <c r="I64" s="997" t="n"/>
      <c r="J64" s="1000">
        <f>IF(DATEDIF(I63,$R$1,"m")&lt;I64*12,DATEDIF(I63,$R$1,"m"),I64*12)</f>
        <v/>
      </c>
      <c r="K64" s="997" t="n"/>
      <c r="L64" s="1000">
        <f>IF(DATEDIF(K63,$R$1,"m")&lt;K64*12,DATEDIF(K63,$R$1,"m"),K64*12)</f>
        <v/>
      </c>
      <c r="M64" s="997" t="n"/>
      <c r="N64" s="1106">
        <f>IF(DATEDIF(M63,$R$1,"m")&lt;M64*12,DATEDIF(M63,$R$1,"m"),M64*12)</f>
        <v/>
      </c>
      <c r="O64" s="25" t="n"/>
      <c r="P64" s="804" t="n"/>
      <c r="R64" s="805" t="n"/>
    </row>
    <row r="65" ht="15" customHeight="1" s="797">
      <c r="A65" s="647" t="inlineStr">
        <is>
          <t>보장기간</t>
        </is>
      </c>
      <c r="B65" s="798" t="n"/>
      <c r="C65" s="696" t="inlineStr">
        <is>
          <t>종신</t>
        </is>
      </c>
      <c r="D65" s="798" t="n"/>
      <c r="E65" s="696" t="n"/>
      <c r="F65" s="798" t="n"/>
      <c r="G65" s="696" t="n"/>
      <c r="H65" s="798" t="n"/>
      <c r="I65" s="696" t="n"/>
      <c r="J65" s="798" t="n"/>
      <c r="K65" s="696" t="n"/>
      <c r="L65" s="798" t="n"/>
      <c r="M65" s="696" t="n"/>
      <c r="N65" s="798" t="n"/>
      <c r="O65" s="25" t="n"/>
      <c r="P65" s="808" t="n"/>
      <c r="Q65" s="809" t="n"/>
      <c r="R65" s="810" t="n"/>
    </row>
    <row r="66" ht="15" customHeight="1" s="797">
      <c r="A66" s="632" t="inlineStr">
        <is>
          <t>비고 / 갱신종류</t>
        </is>
      </c>
      <c r="B66" s="811" t="n"/>
      <c r="C66" s="1002" t="inlineStr">
        <is>
          <t>암치료/비갱신</t>
        </is>
      </c>
      <c r="D66" s="798" t="n"/>
      <c r="E66" s="1002" t="n"/>
      <c r="F66" s="798" t="n"/>
      <c r="G66" s="1002" t="n"/>
      <c r="H66" s="798" t="n"/>
      <c r="I66" s="1002" t="n"/>
      <c r="J66" s="798" t="n"/>
      <c r="K66" s="1002" t="n"/>
      <c r="L66" s="798" t="n"/>
      <c r="M66" s="1003" t="n"/>
      <c r="N66" s="799" t="n"/>
      <c r="O66" s="25" t="n"/>
      <c r="P66" s="950" t="n"/>
      <c r="Q66" s="798" t="n"/>
      <c r="R66" s="27" t="inlineStr">
        <is>
          <t>총 보장 (원)</t>
        </is>
      </c>
    </row>
    <row r="67" ht="15" customHeight="1" s="797">
      <c r="A67" s="639" t="inlineStr">
        <is>
          <t>월 보험료</t>
        </is>
      </c>
      <c r="B67" s="798" t="n"/>
      <c r="C67" s="1004" t="n">
        <v>56594</v>
      </c>
      <c r="D67" s="798" t="n"/>
      <c r="E67" s="1004" t="n"/>
      <c r="F67" s="798" t="n"/>
      <c r="G67" s="1004" t="n"/>
      <c r="H67" s="798" t="n"/>
      <c r="I67" s="1004" t="n"/>
      <c r="J67" s="798" t="n"/>
      <c r="K67" s="1004" t="n"/>
      <c r="L67" s="798" t="n"/>
      <c r="M67" s="1004" t="n"/>
      <c r="N67" s="798" t="n"/>
      <c r="O67" s="814" t="n"/>
      <c r="P67" s="647" t="inlineStr">
        <is>
          <t>합산 월 보험료</t>
        </is>
      </c>
      <c r="Q67" s="798" t="n"/>
      <c r="R67" s="951">
        <f>R8+C67+E67+G67+I67+K67+M67</f>
        <v/>
      </c>
    </row>
    <row r="68" ht="15" customHeight="1" s="797">
      <c r="A68" s="647" t="inlineStr">
        <is>
          <t>보험료 총액</t>
        </is>
      </c>
      <c r="B68" s="798" t="n"/>
      <c r="C68" s="1007">
        <f>C67*C64*12</f>
        <v/>
      </c>
      <c r="D68" s="798" t="n"/>
      <c r="E68" s="1007">
        <f>E67*E64*12</f>
        <v/>
      </c>
      <c r="F68" s="798" t="n"/>
      <c r="G68" s="1007">
        <f>G67*G64*12</f>
        <v/>
      </c>
      <c r="H68" s="798" t="n"/>
      <c r="I68" s="1007">
        <f>I67*I64*12</f>
        <v/>
      </c>
      <c r="J68" s="798" t="n"/>
      <c r="K68" s="1007">
        <f>K67*K64*12</f>
        <v/>
      </c>
      <c r="L68" s="798" t="n"/>
      <c r="M68" s="1009">
        <f>M67*M64*12</f>
        <v/>
      </c>
      <c r="N68" s="799" t="n"/>
      <c r="O68" s="814" t="n"/>
      <c r="P68" s="647" t="inlineStr">
        <is>
          <t>합산 보험료 총액</t>
        </is>
      </c>
      <c r="Q68" s="798" t="n"/>
      <c r="R68" s="952">
        <f>R9+C68+E68+G68+I68+K68+M68</f>
        <v/>
      </c>
    </row>
    <row r="69" ht="15" customHeight="1" s="797">
      <c r="A69" s="647" t="inlineStr">
        <is>
          <t>기 납입금</t>
        </is>
      </c>
      <c r="B69" s="798" t="n"/>
      <c r="C69" s="1007">
        <f>C67*D64</f>
        <v/>
      </c>
      <c r="D69" s="798" t="n"/>
      <c r="E69" s="1007">
        <f>E67*F64</f>
        <v/>
      </c>
      <c r="F69" s="798" t="n"/>
      <c r="G69" s="1007">
        <f>G67*H64</f>
        <v/>
      </c>
      <c r="H69" s="798" t="n"/>
      <c r="I69" s="1007">
        <f>I67*J64</f>
        <v/>
      </c>
      <c r="J69" s="798" t="n"/>
      <c r="K69" s="1007">
        <f>K67*L64</f>
        <v/>
      </c>
      <c r="L69" s="798" t="n"/>
      <c r="M69" s="1009">
        <f>M67*N64</f>
        <v/>
      </c>
      <c r="N69" s="799" t="n"/>
      <c r="O69" s="814" t="n"/>
      <c r="P69" s="647" t="inlineStr">
        <is>
          <t>합산 기 납입금</t>
        </is>
      </c>
      <c r="Q69" s="798" t="n"/>
      <c r="R69" s="952">
        <f>R10+C69+E69+G69+I69+K69+M69</f>
        <v/>
      </c>
    </row>
    <row r="70" ht="15" customHeight="1" s="797" thickBot="1">
      <c r="A70" s="632" t="inlineStr">
        <is>
          <t>미 납입금</t>
        </is>
      </c>
      <c r="B70" s="811" t="n"/>
      <c r="C70" s="1007">
        <f>C68-C69</f>
        <v/>
      </c>
      <c r="D70" s="798" t="n"/>
      <c r="E70" s="1007">
        <f>E68-E69</f>
        <v/>
      </c>
      <c r="F70" s="798" t="n"/>
      <c r="G70" s="1007">
        <f>G68-G69</f>
        <v/>
      </c>
      <c r="H70" s="798" t="n"/>
      <c r="I70" s="1007">
        <f>I68-I69</f>
        <v/>
      </c>
      <c r="J70" s="798" t="n"/>
      <c r="K70" s="1007">
        <f>K68-K69</f>
        <v/>
      </c>
      <c r="L70" s="798" t="n"/>
      <c r="M70" s="1009">
        <f>M68-M69</f>
        <v/>
      </c>
      <c r="N70" s="799" t="n"/>
      <c r="O70" s="814" t="n"/>
      <c r="P70" s="953" t="inlineStr">
        <is>
          <t>합산 미 납입금</t>
        </is>
      </c>
      <c r="Q70" s="954" t="n"/>
      <c r="R70" s="955">
        <f>R11+C70+E70+G70+I70+K70+M70</f>
        <v/>
      </c>
    </row>
    <row r="71" ht="15" customHeight="1" s="797">
      <c r="A71" s="1107" t="inlineStr">
        <is>
          <t>실비
(갱신)</t>
        </is>
      </c>
      <c r="B71" s="324" t="inlineStr">
        <is>
          <t>질병입원의료비</t>
        </is>
      </c>
      <c r="C71" s="1108" t="n"/>
      <c r="D71" s="1014" t="n"/>
      <c r="E71" s="1013" t="n"/>
      <c r="F71" s="1014" t="n"/>
      <c r="G71" s="1013" t="n"/>
      <c r="H71" s="1014" t="n"/>
      <c r="I71" s="1013" t="n"/>
      <c r="J71" s="1014" t="n"/>
      <c r="K71" s="1013" t="n"/>
      <c r="L71" s="1109" t="n"/>
      <c r="M71" s="1013" t="n"/>
      <c r="N71" s="1110" t="n"/>
      <c r="O71" s="830" t="n"/>
      <c r="P71" s="1107" t="inlineStr">
        <is>
          <t>실비
(갱신)</t>
        </is>
      </c>
      <c r="Q71" s="324" t="inlineStr">
        <is>
          <t>질병입원의료비</t>
        </is>
      </c>
      <c r="R71" s="957">
        <f>R12+C71+E71+G71+I71+K71+M71</f>
        <v/>
      </c>
    </row>
    <row r="72" ht="15" customHeight="1" s="797">
      <c r="A72" s="832" t="n"/>
      <c r="B72" s="325" t="inlineStr">
        <is>
          <t>질병통원의료비</t>
        </is>
      </c>
      <c r="C72" s="1111" t="n"/>
      <c r="D72" s="1021" t="n"/>
      <c r="E72" s="1020" t="n"/>
      <c r="F72" s="1021" t="n"/>
      <c r="G72" s="1020" t="n"/>
      <c r="H72" s="1021" t="n"/>
      <c r="I72" s="1020" t="n"/>
      <c r="J72" s="1021" t="n"/>
      <c r="K72" s="1020" t="n"/>
      <c r="L72" s="1112" t="n"/>
      <c r="M72" s="1020" t="n"/>
      <c r="N72" s="1113" t="n"/>
      <c r="O72" s="830" t="n"/>
      <c r="P72" s="832" t="n"/>
      <c r="Q72" s="325" t="inlineStr">
        <is>
          <t>질병통원의료비</t>
        </is>
      </c>
      <c r="R72" s="959">
        <f>R13+C72+E72+G72+I72+K72+M72</f>
        <v/>
      </c>
    </row>
    <row r="73" ht="15" customHeight="1" s="797">
      <c r="A73" s="832" t="n"/>
      <c r="B73" s="325" t="inlineStr">
        <is>
          <t>상해입원의료비</t>
        </is>
      </c>
      <c r="C73" s="1111" t="n"/>
      <c r="D73" s="1021" t="n"/>
      <c r="E73" s="1111" t="n"/>
      <c r="F73" s="1021" t="n"/>
      <c r="G73" s="1020" t="n"/>
      <c r="H73" s="1021" t="n"/>
      <c r="I73" s="1020" t="n"/>
      <c r="J73" s="1021" t="n"/>
      <c r="K73" s="1020" t="n"/>
      <c r="L73" s="1112" t="n"/>
      <c r="M73" s="1020" t="n"/>
      <c r="N73" s="1113" t="n"/>
      <c r="O73" s="830" t="n"/>
      <c r="P73" s="832" t="n"/>
      <c r="Q73" s="325" t="inlineStr">
        <is>
          <t>상해입원의료비</t>
        </is>
      </c>
      <c r="R73" s="959">
        <f>R14+C73+E73+G73+I73+K73+M73</f>
        <v/>
      </c>
    </row>
    <row r="74" ht="15" customHeight="1" s="797">
      <c r="A74" s="832" t="n"/>
      <c r="B74" s="325" t="inlineStr">
        <is>
          <t>상해통원의료비</t>
        </is>
      </c>
      <c r="C74" s="1111" t="n"/>
      <c r="D74" s="1021" t="n"/>
      <c r="E74" s="1111" t="n"/>
      <c r="F74" s="1021" t="n"/>
      <c r="G74" s="1020" t="n"/>
      <c r="H74" s="1021" t="n"/>
      <c r="I74" s="1020" t="n"/>
      <c r="J74" s="1021" t="n"/>
      <c r="K74" s="1020" t="n"/>
      <c r="L74" s="1112" t="n"/>
      <c r="M74" s="1020" t="n"/>
      <c r="N74" s="1113" t="n"/>
      <c r="O74" s="830" t="n"/>
      <c r="P74" s="832" t="n"/>
      <c r="Q74" s="325" t="inlineStr">
        <is>
          <t>상해통원의료비</t>
        </is>
      </c>
      <c r="R74" s="959">
        <f>R15+C74+E74+G74+I74+K74+M74</f>
        <v/>
      </c>
    </row>
    <row r="75" ht="15" customHeight="1" s="797" thickBot="1">
      <c r="A75" s="841" t="n"/>
      <c r="B75" s="141" t="inlineStr">
        <is>
          <t>3대비급여 의료비</t>
        </is>
      </c>
      <c r="C75" s="1114" t="n"/>
      <c r="D75" s="1029" t="n"/>
      <c r="E75" s="1114" t="n"/>
      <c r="F75" s="1029" t="n"/>
      <c r="G75" s="1028" t="n"/>
      <c r="H75" s="1029" t="n"/>
      <c r="I75" s="1028" t="n"/>
      <c r="J75" s="1029" t="n"/>
      <c r="K75" s="1028" t="n"/>
      <c r="L75" s="1115" t="n"/>
      <c r="M75" s="1028" t="n"/>
      <c r="N75" s="1116" t="n"/>
      <c r="O75" s="830" t="n"/>
      <c r="P75" s="841" t="n"/>
      <c r="Q75" s="141" t="inlineStr">
        <is>
          <t>3대비급여 의료비</t>
        </is>
      </c>
      <c r="R75" s="963">
        <f>R16+C75+E75+G75+I75+K75+M75</f>
        <v/>
      </c>
    </row>
    <row r="76" ht="15" customHeight="1" s="797">
      <c r="A76" s="626" t="inlineStr">
        <is>
          <t>암</t>
        </is>
      </c>
      <c r="B76" s="142" t="inlineStr">
        <is>
          <t>일반암</t>
        </is>
      </c>
      <c r="C76" s="1010" t="n"/>
      <c r="D76" s="1014" t="n"/>
      <c r="E76" s="1013" t="n"/>
      <c r="F76" s="1014" t="n"/>
      <c r="G76" s="1013" t="n"/>
      <c r="H76" s="1014" t="n"/>
      <c r="I76" s="1013" t="n"/>
      <c r="J76" s="1014" t="n"/>
      <c r="K76" s="1013" t="n"/>
      <c r="L76" s="1109" t="n"/>
      <c r="M76" s="1013" t="n"/>
      <c r="N76" s="1110" t="n"/>
      <c r="O76" s="830" t="n"/>
      <c r="P76" s="626" t="inlineStr">
        <is>
          <t>암</t>
        </is>
      </c>
      <c r="Q76" s="142" t="inlineStr">
        <is>
          <t>일반암</t>
        </is>
      </c>
      <c r="R76" s="957">
        <f>R17+C76+E76+G76+I76+K76+M76</f>
        <v/>
      </c>
    </row>
    <row r="77" ht="15" customHeight="1" s="797">
      <c r="A77" s="832" t="n"/>
      <c r="B77" s="284" t="inlineStr">
        <is>
          <t>전이암</t>
        </is>
      </c>
      <c r="C77" s="1079" t="n"/>
      <c r="D77" s="1039" t="n"/>
      <c r="E77" s="1020" t="n"/>
      <c r="F77" s="1039" t="n"/>
      <c r="G77" s="1020" t="n"/>
      <c r="H77" s="1039" t="n"/>
      <c r="I77" s="1020" t="n"/>
      <c r="J77" s="1039" t="n"/>
      <c r="K77" s="1117" t="n"/>
      <c r="L77" s="1118" t="n"/>
      <c r="M77" s="1117" t="n"/>
      <c r="N77" s="1119" t="n"/>
      <c r="O77" s="830" t="n"/>
      <c r="P77" s="832" t="n"/>
      <c r="Q77" s="284" t="inlineStr">
        <is>
          <t>전이암</t>
        </is>
      </c>
      <c r="R77" s="959">
        <f>R18+C77+E77+G77+I77+K77+M77</f>
        <v/>
      </c>
    </row>
    <row r="78" ht="15" customHeight="1" s="797">
      <c r="A78" s="832" t="n"/>
      <c r="B78" s="284" t="inlineStr">
        <is>
          <t>암수술비</t>
        </is>
      </c>
      <c r="C78" s="1079" t="n">
        <v>30000000</v>
      </c>
      <c r="D78" s="1039" t="inlineStr">
        <is>
          <t>종신</t>
        </is>
      </c>
      <c r="E78" s="1117" t="n"/>
      <c r="F78" s="1039" t="n"/>
      <c r="G78" s="1020" t="n"/>
      <c r="H78" s="1039" t="n"/>
      <c r="I78" s="1117" t="n"/>
      <c r="J78" s="1039" t="n"/>
      <c r="K78" s="1117" t="n"/>
      <c r="L78" s="1118" t="n"/>
      <c r="M78" s="1117" t="n"/>
      <c r="N78" s="1119" t="n"/>
      <c r="O78" s="830" t="n"/>
      <c r="P78" s="832" t="n"/>
      <c r="Q78" s="284" t="inlineStr">
        <is>
          <t>암수술비</t>
        </is>
      </c>
      <c r="R78" s="959" t="n"/>
    </row>
    <row r="79" ht="15" customHeight="1" s="797">
      <c r="A79" s="832" t="n"/>
      <c r="B79" s="284" t="inlineStr">
        <is>
          <t>항암방사선치료</t>
        </is>
      </c>
      <c r="C79" s="1079" t="n">
        <v>45000000</v>
      </c>
      <c r="D79" s="1039" t="inlineStr">
        <is>
          <t>종신</t>
        </is>
      </c>
      <c r="E79" s="1117" t="n"/>
      <c r="F79" s="1039" t="n"/>
      <c r="G79" s="1020" t="n"/>
      <c r="H79" s="1039" t="n"/>
      <c r="I79" s="1117" t="n"/>
      <c r="J79" s="1039" t="n"/>
      <c r="K79" s="1117" t="n"/>
      <c r="L79" s="1118" t="n"/>
      <c r="M79" s="1117" t="n"/>
      <c r="N79" s="1119" t="n"/>
      <c r="O79" s="830" t="n"/>
      <c r="P79" s="832" t="n"/>
      <c r="Q79" s="284" t="inlineStr">
        <is>
          <t>항암방사선치료</t>
        </is>
      </c>
      <c r="R79" s="959" t="n"/>
    </row>
    <row r="80" ht="15" customHeight="1" s="797">
      <c r="A80" s="832" t="n"/>
      <c r="B80" s="284" t="inlineStr">
        <is>
          <t>항암약물치료</t>
        </is>
      </c>
      <c r="C80" s="1079" t="n">
        <v>45000000</v>
      </c>
      <c r="D80" s="1039" t="inlineStr">
        <is>
          <t>종신</t>
        </is>
      </c>
      <c r="E80" s="1117" t="n"/>
      <c r="F80" s="1039" t="n"/>
      <c r="G80" s="1020" t="n"/>
      <c r="H80" s="1039" t="n"/>
      <c r="I80" s="1117" t="n"/>
      <c r="J80" s="1039" t="n"/>
      <c r="K80" s="1117" t="n"/>
      <c r="L80" s="1118" t="n"/>
      <c r="M80" s="1117" t="n"/>
      <c r="N80" s="1119" t="n"/>
      <c r="O80" s="830" t="n"/>
      <c r="P80" s="832" t="n"/>
      <c r="Q80" s="284" t="inlineStr">
        <is>
          <t>항암약물치료</t>
        </is>
      </c>
      <c r="R80" s="959">
        <f>R19+C80+E80+G80+I80+K80+M80</f>
        <v/>
      </c>
    </row>
    <row r="81" ht="15" customHeight="1" s="797">
      <c r="A81" s="832" t="n"/>
      <c r="B81" s="284" t="inlineStr">
        <is>
          <t>암주요치료비</t>
        </is>
      </c>
      <c r="C81" s="1079" t="n"/>
      <c r="D81" s="1039" t="n"/>
      <c r="E81" s="1020" t="n"/>
      <c r="F81" s="1039" t="n"/>
      <c r="G81" s="1117" t="n"/>
      <c r="H81" s="1039" t="n"/>
      <c r="I81" s="1120" t="n"/>
      <c r="J81" s="1039" t="n"/>
      <c r="K81" s="1117" t="n"/>
      <c r="L81" s="1118" t="n"/>
      <c r="M81" s="1117" t="n"/>
      <c r="N81" s="1119" t="n"/>
      <c r="O81" s="830" t="n"/>
      <c r="P81" s="832" t="n"/>
      <c r="Q81" s="284" t="inlineStr">
        <is>
          <t>암주요치료비</t>
        </is>
      </c>
      <c r="R81" s="959">
        <f>R23+C81+E81+G81+I81+K81+M81</f>
        <v/>
      </c>
    </row>
    <row r="82" ht="15" customHeight="1" s="797" thickBot="1">
      <c r="A82" s="832" t="n"/>
      <c r="B82" s="285" t="inlineStr">
        <is>
          <t>비급여암치료비</t>
        </is>
      </c>
      <c r="C82" s="1114" t="n"/>
      <c r="D82" s="1029" t="n"/>
      <c r="E82" s="1028" t="n"/>
      <c r="F82" s="1039" t="n"/>
      <c r="G82" s="1028" t="n"/>
      <c r="H82" s="1039" t="n"/>
      <c r="I82" s="1028" t="n"/>
      <c r="J82" s="1039" t="n"/>
      <c r="K82" s="1117" t="n"/>
      <c r="L82" s="1118" t="n"/>
      <c r="M82" s="1117" t="n"/>
      <c r="N82" s="1119" t="n"/>
      <c r="O82" s="830" t="n"/>
      <c r="P82" s="832" t="n"/>
      <c r="Q82" s="285" t="inlineStr">
        <is>
          <t>비급여암치료비</t>
        </is>
      </c>
      <c r="R82" s="963">
        <f>R26+C82+E82+G82+I82+K82+M82</f>
        <v/>
      </c>
    </row>
    <row r="83" ht="15" customHeight="1" s="797">
      <c r="A83" s="721" t="inlineStr">
        <is>
          <t>2대
질병</t>
        </is>
      </c>
      <c r="B83" s="145" t="inlineStr">
        <is>
          <t>뇌혈관</t>
        </is>
      </c>
      <c r="C83" s="1020" t="n"/>
      <c r="D83" s="1014" t="n"/>
      <c r="E83" s="1020" t="n"/>
      <c r="F83" s="1014" t="n"/>
      <c r="G83" s="1020" t="n"/>
      <c r="H83" s="1014" t="n"/>
      <c r="I83" s="1013" t="n"/>
      <c r="J83" s="1014" t="n"/>
      <c r="K83" s="1013" t="n"/>
      <c r="L83" s="1109" t="n"/>
      <c r="M83" s="1013" t="n"/>
      <c r="N83" s="1110" t="n"/>
      <c r="O83" s="830" t="n"/>
      <c r="P83" s="721" t="inlineStr">
        <is>
          <t>2대
질병</t>
        </is>
      </c>
      <c r="Q83" s="145" t="inlineStr">
        <is>
          <t>뇌혈관</t>
        </is>
      </c>
      <c r="R83" s="957">
        <f>R27+C83+E83+G83+I83+K83+M83</f>
        <v/>
      </c>
    </row>
    <row r="84" ht="15" customHeight="1" s="797">
      <c r="A84" s="832" t="n"/>
      <c r="B84" s="146" t="inlineStr">
        <is>
          <t>뇌졸증</t>
        </is>
      </c>
      <c r="C84" s="1020" t="n"/>
      <c r="D84" s="1039" t="n"/>
      <c r="E84" s="1117" t="n"/>
      <c r="F84" s="1039" t="n"/>
      <c r="G84" s="1020" t="n"/>
      <c r="H84" s="1039" t="n"/>
      <c r="I84" s="1117" t="n"/>
      <c r="J84" s="1039" t="n"/>
      <c r="K84" s="1020" t="n"/>
      <c r="L84" s="1118" t="n"/>
      <c r="M84" s="1117" t="n"/>
      <c r="N84" s="1119" t="n"/>
      <c r="O84" s="830" t="n"/>
      <c r="P84" s="832" t="n"/>
      <c r="Q84" s="146" t="inlineStr">
        <is>
          <t>뇌졸증</t>
        </is>
      </c>
      <c r="R84" s="959">
        <f>R28+C84+E84+G84+I84+K84+M84</f>
        <v/>
      </c>
    </row>
    <row r="85" ht="15" customHeight="1" s="797" thickBot="1">
      <c r="A85" s="832" t="n"/>
      <c r="B85" s="147" t="inlineStr">
        <is>
          <t>뇌출혈</t>
        </is>
      </c>
      <c r="C85" s="1121" t="n"/>
      <c r="D85" s="1122" t="n"/>
      <c r="E85" s="1121" t="n"/>
      <c r="F85" s="1122" t="n"/>
      <c r="G85" s="1121" t="n"/>
      <c r="H85" s="1122" t="n"/>
      <c r="I85" s="1121" t="n"/>
      <c r="J85" s="1122" t="n"/>
      <c r="K85" s="1121" t="n"/>
      <c r="L85" s="1123" t="n"/>
      <c r="M85" s="1121" t="n"/>
      <c r="N85" s="1124" t="n"/>
      <c r="O85" s="830" t="n"/>
      <c r="P85" s="832" t="n"/>
      <c r="Q85" s="147" t="inlineStr">
        <is>
          <t>뇌출혈</t>
        </is>
      </c>
      <c r="R85" s="963">
        <f>R29+C85+E85+G85+I85+K85+M85</f>
        <v/>
      </c>
    </row>
    <row r="86" ht="15" customHeight="1" s="797">
      <c r="A86" s="832" t="n"/>
      <c r="B86" s="148" t="inlineStr">
        <is>
          <t>심장질환</t>
        </is>
      </c>
      <c r="C86" s="1013" t="n"/>
      <c r="D86" s="1014" t="n"/>
      <c r="E86" s="1013" t="n"/>
      <c r="F86" s="1014" t="n"/>
      <c r="G86" s="1013" t="n"/>
      <c r="H86" s="1014" t="n"/>
      <c r="I86" s="1013" t="n"/>
      <c r="J86" s="1014" t="n"/>
      <c r="K86" s="1013" t="n"/>
      <c r="L86" s="1109" t="n"/>
      <c r="M86" s="1013" t="n"/>
      <c r="N86" s="1110" t="n"/>
      <c r="O86" s="830" t="n"/>
      <c r="P86" s="832" t="n"/>
      <c r="Q86" s="148" t="inlineStr">
        <is>
          <t>심장질환</t>
        </is>
      </c>
      <c r="R86" s="957">
        <f>R30+C86+E86+G86+I86+K86+M86</f>
        <v/>
      </c>
    </row>
    <row r="87" ht="15" customHeight="1" s="797">
      <c r="A87" s="832" t="n"/>
      <c r="B87" s="149" t="inlineStr">
        <is>
          <t>허혈성심장</t>
        </is>
      </c>
      <c r="C87" s="1020" t="n"/>
      <c r="D87" s="1039" t="n"/>
      <c r="E87" s="1020" t="n"/>
      <c r="F87" s="1039" t="n"/>
      <c r="G87" s="1020" t="n"/>
      <c r="H87" s="1039" t="n"/>
      <c r="I87" s="1020" t="n"/>
      <c r="J87" s="1021" t="n"/>
      <c r="K87" s="1020" t="n"/>
      <c r="L87" s="1118" t="n"/>
      <c r="M87" s="1117" t="n"/>
      <c r="N87" s="1119" t="n"/>
      <c r="O87" s="830" t="n"/>
      <c r="P87" s="832" t="n"/>
      <c r="Q87" s="149" t="inlineStr">
        <is>
          <t>허혈성심장</t>
        </is>
      </c>
      <c r="R87" s="959">
        <f>R31+C87+E87+G87+I87+K87+M87</f>
        <v/>
      </c>
    </row>
    <row r="88" ht="15" customHeight="1" s="797" thickBot="1">
      <c r="A88" s="832" t="n"/>
      <c r="B88" s="150" t="inlineStr">
        <is>
          <t>급성심근경색</t>
        </is>
      </c>
      <c r="C88" s="1028" t="n"/>
      <c r="D88" s="1029" t="n"/>
      <c r="E88" s="1121" t="n"/>
      <c r="F88" s="1122" t="n"/>
      <c r="G88" s="1121" t="n"/>
      <c r="H88" s="1122" t="n"/>
      <c r="I88" s="1121" t="n"/>
      <c r="J88" s="1122" t="n"/>
      <c r="K88" s="1125" t="n"/>
      <c r="L88" s="1123" t="n"/>
      <c r="M88" s="1125" t="n"/>
      <c r="N88" s="1124" t="n"/>
      <c r="O88" s="830" t="n"/>
      <c r="P88" s="832" t="n"/>
      <c r="Q88" s="150" t="inlineStr">
        <is>
          <t>급성심근경색</t>
        </is>
      </c>
      <c r="R88" s="963">
        <f>R32+C88+E88+G88+I88+K88+M88</f>
        <v/>
      </c>
    </row>
    <row r="89" ht="15" customHeight="1" s="797" thickBot="1">
      <c r="A89" s="832" t="n"/>
      <c r="B89" s="283" t="inlineStr">
        <is>
          <t>2대질환주요치료비</t>
        </is>
      </c>
      <c r="C89" s="1126" t="n"/>
      <c r="D89" s="1127" t="n"/>
      <c r="E89" s="1128" t="n"/>
      <c r="F89" s="1127" t="n"/>
      <c r="G89" s="1128" t="n"/>
      <c r="H89" s="1127" t="n"/>
      <c r="I89" s="1128" t="n"/>
      <c r="J89" s="1127" t="n"/>
      <c r="K89" s="1128" t="n"/>
      <c r="L89" s="1129" t="n"/>
      <c r="M89" s="1128" t="n"/>
      <c r="N89" s="1130" t="n"/>
      <c r="O89" s="830" t="n"/>
      <c r="P89" s="832" t="n"/>
      <c r="Q89" s="283" t="inlineStr">
        <is>
          <t>2대질환주요치료비</t>
        </is>
      </c>
      <c r="R89" s="1131">
        <f>R35+C89+E89+G89+I89+K89+M89</f>
        <v/>
      </c>
    </row>
    <row r="90" ht="15" customHeight="1" s="797">
      <c r="A90" s="1132" t="inlineStr">
        <is>
          <t>후유장해</t>
        </is>
      </c>
      <c r="B90" s="152" t="inlineStr">
        <is>
          <t>질병 80% 이상</t>
        </is>
      </c>
      <c r="C90" s="1108" t="n"/>
      <c r="D90" s="1014" t="n"/>
      <c r="E90" s="1013" t="n"/>
      <c r="F90" s="1014" t="n"/>
      <c r="G90" s="1013" t="n"/>
      <c r="H90" s="1014" t="n"/>
      <c r="I90" s="1013" t="n"/>
      <c r="J90" s="1014" t="n"/>
      <c r="K90" s="1013" t="n"/>
      <c r="L90" s="1109" t="n"/>
      <c r="M90" s="1013" t="n"/>
      <c r="N90" s="1110" t="n"/>
      <c r="O90" s="830" t="n"/>
      <c r="P90" s="1132" t="inlineStr">
        <is>
          <t>후유장해</t>
        </is>
      </c>
      <c r="Q90" s="152" t="inlineStr">
        <is>
          <t>질병 80% 이상</t>
        </is>
      </c>
      <c r="R90" s="957">
        <f>R36+C90+E90+G90+I90+K90+M90</f>
        <v/>
      </c>
    </row>
    <row r="91" ht="15" customHeight="1" s="797">
      <c r="A91" s="832" t="n"/>
      <c r="B91" s="153" t="inlineStr">
        <is>
          <t>질병 3% ~80%</t>
        </is>
      </c>
      <c r="C91" s="1111" t="n"/>
      <c r="D91" s="1021" t="n"/>
      <c r="E91" s="1020" t="n"/>
      <c r="F91" s="1039" t="n"/>
      <c r="G91" s="1020" t="n"/>
      <c r="H91" s="1021" t="n"/>
      <c r="I91" s="1020" t="n"/>
      <c r="J91" s="1021" t="n"/>
      <c r="K91" s="1020" t="n"/>
      <c r="L91" s="1112" t="n"/>
      <c r="M91" s="1020" t="n"/>
      <c r="N91" s="1113" t="n"/>
      <c r="O91" s="830" t="n"/>
      <c r="P91" s="832" t="n"/>
      <c r="Q91" s="153" t="inlineStr">
        <is>
          <t>질병 3% ~80%</t>
        </is>
      </c>
      <c r="R91" s="959">
        <f>R37+C91+E91+G91+I91+K91+M91</f>
        <v/>
      </c>
    </row>
    <row r="92" ht="15" customHeight="1" s="797">
      <c r="A92" s="832" t="n"/>
      <c r="B92" s="153" t="inlineStr">
        <is>
          <t>상해 80% 이상</t>
        </is>
      </c>
      <c r="C92" s="1111" t="n"/>
      <c r="D92" s="1021" t="n"/>
      <c r="E92" s="1020" t="n"/>
      <c r="F92" s="4" t="n"/>
      <c r="G92" s="1020" t="n"/>
      <c r="H92" s="1021" t="n"/>
      <c r="I92" s="1020" t="n"/>
      <c r="J92" s="1021" t="n"/>
      <c r="K92" s="1020" t="n"/>
      <c r="L92" s="1112" t="n"/>
      <c r="M92" s="1020" t="n"/>
      <c r="N92" s="1113" t="n"/>
      <c r="O92" s="830" t="n"/>
      <c r="P92" s="832" t="n"/>
      <c r="Q92" s="153" t="inlineStr">
        <is>
          <t>상해 80% 이상</t>
        </is>
      </c>
      <c r="R92" s="959">
        <f>R38+C92+E92+G92+I92+K92+M92</f>
        <v/>
      </c>
    </row>
    <row r="93" ht="15" customHeight="1" s="797" thickBot="1">
      <c r="A93" s="841" t="n"/>
      <c r="B93" s="154" t="inlineStr">
        <is>
          <t>상해 3% ~ 80%</t>
        </is>
      </c>
      <c r="C93" s="1114" t="n"/>
      <c r="D93" s="1029" t="n"/>
      <c r="E93" s="1028" t="n"/>
      <c r="F93" s="1029" t="n"/>
      <c r="G93" s="1020" t="n"/>
      <c r="H93" s="1029" t="n"/>
      <c r="I93" s="1028" t="n"/>
      <c r="J93" s="1029" t="n"/>
      <c r="K93" s="1028" t="n"/>
      <c r="L93" s="1115" t="n"/>
      <c r="M93" s="1028" t="n"/>
      <c r="N93" s="1116" t="n"/>
      <c r="O93" s="830" t="n"/>
      <c r="P93" s="841" t="n"/>
      <c r="Q93" s="154" t="inlineStr">
        <is>
          <t>상해 3% ~ 80%</t>
        </is>
      </c>
      <c r="R93" s="963">
        <f>R39+C93+E93+G93+I93+K93+M93</f>
        <v/>
      </c>
    </row>
    <row r="94" ht="15" customHeight="1" s="797">
      <c r="A94" s="1133" t="inlineStr">
        <is>
          <t>사망</t>
        </is>
      </c>
      <c r="B94" s="155" t="inlineStr">
        <is>
          <t>일반</t>
        </is>
      </c>
      <c r="C94" s="1108" t="n"/>
      <c r="D94" s="1014" t="n"/>
      <c r="E94" s="1117" t="n"/>
      <c r="F94" s="1014" t="n"/>
      <c r="G94" s="1013" t="n"/>
      <c r="H94" s="1014" t="n"/>
      <c r="I94" s="1013" t="n"/>
      <c r="J94" s="1014" t="n"/>
      <c r="K94" s="1013" t="n"/>
      <c r="L94" s="1109" t="n"/>
      <c r="M94" s="1117" t="n"/>
      <c r="N94" s="1119" t="n"/>
      <c r="O94" s="830" t="n"/>
      <c r="P94" s="1133" t="inlineStr">
        <is>
          <t>사망</t>
        </is>
      </c>
      <c r="Q94" s="155" t="inlineStr">
        <is>
          <t>일반</t>
        </is>
      </c>
      <c r="R94" s="957">
        <f>R40+C94+E94+G94+I94+K94+M94</f>
        <v/>
      </c>
    </row>
    <row r="95" ht="15" customHeight="1" s="797">
      <c r="A95" s="832" t="n"/>
      <c r="B95" s="156" t="inlineStr">
        <is>
          <t>질병</t>
        </is>
      </c>
      <c r="C95" s="1111" t="n"/>
      <c r="D95" s="1021" t="n"/>
      <c r="E95" s="1020" t="n"/>
      <c r="F95" s="1021" t="n"/>
      <c r="G95" s="1020" t="n"/>
      <c r="H95" s="1021" t="n"/>
      <c r="I95" s="1020" t="n"/>
      <c r="J95" s="1021" t="n"/>
      <c r="K95" s="1020" t="n"/>
      <c r="L95" s="1112" t="n"/>
      <c r="M95" s="1020" t="n"/>
      <c r="N95" s="1113" t="n"/>
      <c r="O95" s="830" t="n"/>
      <c r="P95" s="832" t="n"/>
      <c r="Q95" s="156" t="inlineStr">
        <is>
          <t>질병</t>
        </is>
      </c>
      <c r="R95" s="959">
        <f>R41+C95+E95+G95+I95+K95+M95</f>
        <v/>
      </c>
    </row>
    <row r="96" ht="15" customHeight="1" s="797" thickBot="1">
      <c r="A96" s="841" t="n"/>
      <c r="B96" s="157" t="inlineStr">
        <is>
          <t>상해</t>
        </is>
      </c>
      <c r="C96" s="1120" t="n"/>
      <c r="D96" s="1039" t="n"/>
      <c r="E96" s="1028" t="n"/>
      <c r="F96" s="1029" t="n"/>
      <c r="G96" s="1028" t="n"/>
      <c r="H96" s="1029" t="n"/>
      <c r="I96" s="1028" t="n"/>
      <c r="J96" s="1029" t="n"/>
      <c r="K96" s="1028" t="n"/>
      <c r="L96" s="1115" t="n"/>
      <c r="M96" s="1028" t="n"/>
      <c r="N96" s="1116" t="n"/>
      <c r="O96" s="830" t="n"/>
      <c r="P96" s="841" t="n"/>
      <c r="Q96" s="157" t="inlineStr">
        <is>
          <t>상해</t>
        </is>
      </c>
      <c r="R96" s="963">
        <f>R42+C96+E96+G96+I96+K96+M96</f>
        <v/>
      </c>
    </row>
    <row r="97" ht="15" customHeight="1" s="797">
      <c r="A97" s="746" t="inlineStr">
        <is>
          <t>수술비</t>
        </is>
      </c>
      <c r="B97" s="158" t="inlineStr">
        <is>
          <t>질병</t>
        </is>
      </c>
      <c r="C97" s="1108" t="n"/>
      <c r="D97" s="1014" t="n"/>
      <c r="E97" s="1013" t="n"/>
      <c r="F97" s="1014" t="n"/>
      <c r="G97" s="1013" t="n"/>
      <c r="H97" s="1014" t="n"/>
      <c r="I97" s="1013" t="n"/>
      <c r="J97" s="1014" t="n"/>
      <c r="K97" s="1013" t="n"/>
      <c r="L97" s="1109" t="n"/>
      <c r="M97" s="1013" t="n"/>
      <c r="N97" s="1110" t="n"/>
      <c r="O97" s="830" t="n"/>
      <c r="P97" s="746" t="inlineStr">
        <is>
          <t>수술비</t>
        </is>
      </c>
      <c r="Q97" s="158" t="inlineStr">
        <is>
          <t>질병</t>
        </is>
      </c>
      <c r="R97" s="957">
        <f>R43+C97+E97+G97+I97+K97+M97</f>
        <v/>
      </c>
    </row>
    <row r="98" ht="15" customHeight="1" s="797">
      <c r="A98" s="832" t="n"/>
      <c r="B98" s="158" t="inlineStr">
        <is>
          <t>상해</t>
        </is>
      </c>
      <c r="C98" s="1111" t="n"/>
      <c r="D98" s="1021" t="n"/>
      <c r="E98" s="1020" t="n"/>
      <c r="F98" s="1039" t="n"/>
      <c r="G98" s="1020" t="n"/>
      <c r="H98" s="1021" t="n"/>
      <c r="I98" s="1020" t="n"/>
      <c r="J98" s="1021" t="n"/>
      <c r="K98" s="1020" t="n"/>
      <c r="L98" s="1112" t="n"/>
      <c r="M98" s="1020" t="n"/>
      <c r="N98" s="1113" t="n"/>
      <c r="O98" s="830" t="n"/>
      <c r="P98" s="832" t="n"/>
      <c r="Q98" s="158" t="inlineStr">
        <is>
          <t>상해</t>
        </is>
      </c>
      <c r="R98" s="959">
        <f>R44+C98+E98+G98+I98+K98+M98</f>
        <v/>
      </c>
    </row>
    <row r="99" ht="15" customHeight="1" s="797">
      <c r="A99" s="832" t="n"/>
      <c r="B99" s="292" t="inlineStr">
        <is>
          <t>질병1-5종</t>
        </is>
      </c>
      <c r="C99" s="1111" t="n"/>
      <c r="D99" s="1021" t="n"/>
      <c r="E99" s="1020" t="n"/>
      <c r="F99" s="1039" t="n"/>
      <c r="G99" s="1020" t="n"/>
      <c r="H99" s="1039" t="n"/>
      <c r="I99" s="1117" t="n"/>
      <c r="J99" s="1039" t="n"/>
      <c r="K99" s="1117" t="n"/>
      <c r="L99" s="1118" t="n"/>
      <c r="M99" s="1134" t="n"/>
      <c r="N99" s="1119" t="n"/>
      <c r="O99" s="830" t="n"/>
      <c r="P99" s="832" t="n"/>
      <c r="Q99" s="292" t="inlineStr">
        <is>
          <t>질병1-5종</t>
        </is>
      </c>
      <c r="R99" s="959">
        <f>R45+C99+E99+G99+I99+K99+M99</f>
        <v/>
      </c>
    </row>
    <row r="100" ht="15" customHeight="1" s="797" thickBot="1">
      <c r="A100" s="832" t="n"/>
      <c r="B100" s="287" t="inlineStr">
        <is>
          <t>N대질병</t>
        </is>
      </c>
      <c r="C100" s="1135" t="n"/>
      <c r="D100" s="1136" t="n"/>
      <c r="E100" s="1125" t="n"/>
      <c r="F100" s="1136" t="n"/>
      <c r="G100" s="1125" t="n"/>
      <c r="H100" s="1136" t="n"/>
      <c r="I100" s="1121" t="n"/>
      <c r="J100" s="1136" t="n"/>
      <c r="K100" s="1121" t="n"/>
      <c r="L100" s="1137" t="n"/>
      <c r="M100" s="1125" t="n"/>
      <c r="N100" s="1138" t="n"/>
      <c r="O100" s="830" t="n"/>
      <c r="P100" s="832" t="n"/>
      <c r="Q100" s="287" t="inlineStr">
        <is>
          <t>N대질병</t>
        </is>
      </c>
      <c r="R100" s="963">
        <f>R46+C100+E100+G100+I100+K100+M100</f>
        <v/>
      </c>
    </row>
    <row r="101" ht="15" customHeight="1" s="797">
      <c r="A101" s="1139" t="inlineStr">
        <is>
          <t>진단비</t>
        </is>
      </c>
      <c r="B101" s="229" t="inlineStr">
        <is>
          <t>골절</t>
        </is>
      </c>
      <c r="C101" s="1013" t="n"/>
      <c r="D101" s="1014" t="n"/>
      <c r="E101" s="1013" t="n"/>
      <c r="F101" s="1014" t="n"/>
      <c r="G101" s="1013" t="n"/>
      <c r="H101" s="1014" t="n"/>
      <c r="I101" s="1013" t="n"/>
      <c r="J101" s="1014" t="n"/>
      <c r="K101" s="1013" t="n"/>
      <c r="L101" s="1109" t="n"/>
      <c r="M101" s="1013" t="n"/>
      <c r="N101" s="1110" t="n"/>
      <c r="O101" s="830" t="n"/>
      <c r="P101" s="1139" t="inlineStr">
        <is>
          <t>진단비</t>
        </is>
      </c>
      <c r="Q101" s="229" t="inlineStr">
        <is>
          <t>골절</t>
        </is>
      </c>
      <c r="R101" s="957">
        <f>R47+C101+E101+G101+I101+K101+M101</f>
        <v/>
      </c>
    </row>
    <row r="102" ht="15" customHeight="1" s="797" thickBot="1">
      <c r="A102" s="841" t="n"/>
      <c r="B102" s="252" t="inlineStr">
        <is>
          <t>화상</t>
        </is>
      </c>
      <c r="C102" s="1140" t="n"/>
      <c r="D102" s="1029" t="n"/>
      <c r="E102" s="1141" t="n"/>
      <c r="F102" s="1142" t="n"/>
      <c r="G102" s="1141" t="n"/>
      <c r="H102" s="1142" t="n"/>
      <c r="I102" s="1141" t="n"/>
      <c r="J102" s="1142" t="n"/>
      <c r="K102" s="1141" t="n"/>
      <c r="L102" s="1143" t="n"/>
      <c r="M102" s="1141" t="n"/>
      <c r="N102" s="1144" t="n"/>
      <c r="O102" s="830" t="n"/>
      <c r="P102" s="841" t="n"/>
      <c r="Q102" s="252" t="inlineStr">
        <is>
          <t>화상</t>
        </is>
      </c>
      <c r="R102" s="963">
        <f>R48+C102+E102+G102+I102+K102+M102</f>
        <v/>
      </c>
    </row>
    <row r="103" ht="15" customHeight="1" s="797">
      <c r="A103" s="751" t="inlineStr">
        <is>
          <t>간병인</t>
        </is>
      </c>
      <c r="B103" s="308" t="inlineStr">
        <is>
          <t>병원사용</t>
        </is>
      </c>
      <c r="C103" s="1108" t="n"/>
      <c r="D103" s="1014" t="n"/>
      <c r="E103" s="1108" t="n"/>
      <c r="F103" s="1014" t="n"/>
      <c r="G103" s="1108" t="n"/>
      <c r="H103" s="1014" t="n"/>
      <c r="I103" s="1108" t="n"/>
      <c r="J103" s="1014" t="n"/>
      <c r="K103" s="1013" t="n"/>
      <c r="L103" s="1109" t="n"/>
      <c r="M103" s="1013" t="n"/>
      <c r="N103" s="1110" t="n"/>
      <c r="O103" s="830" t="n"/>
      <c r="P103" s="751" t="inlineStr">
        <is>
          <t>간병인</t>
        </is>
      </c>
      <c r="Q103" s="308" t="inlineStr">
        <is>
          <t>병원사용</t>
        </is>
      </c>
      <c r="R103" s="957">
        <f>R49+C103+E103+G103+I103+K103+M103</f>
        <v/>
      </c>
    </row>
    <row r="104" ht="15" customHeight="1" s="797">
      <c r="A104" s="832" t="n"/>
      <c r="B104" s="309" t="inlineStr">
        <is>
          <t>요양병원사용</t>
        </is>
      </c>
      <c r="C104" s="1145" t="n"/>
      <c r="D104" s="1122" t="n"/>
      <c r="E104" s="1145" t="n"/>
      <c r="F104" s="1122" t="n"/>
      <c r="G104" s="1145" t="n"/>
      <c r="H104" s="1122" t="n"/>
      <c r="I104" s="1145" t="n"/>
      <c r="J104" s="1122" t="n"/>
      <c r="K104" s="1121" t="n"/>
      <c r="L104" s="1123" t="n"/>
      <c r="M104" s="1121" t="n"/>
      <c r="N104" s="1124" t="n"/>
      <c r="O104" s="830" t="n"/>
      <c r="P104" s="832" t="n"/>
      <c r="Q104" s="309" t="inlineStr">
        <is>
          <t>요양병원사용</t>
        </is>
      </c>
      <c r="R104" s="1146" t="n"/>
    </row>
    <row r="105" ht="15" customHeight="1" s="797" thickBot="1">
      <c r="A105" s="841" t="n"/>
      <c r="B105" s="310" t="inlineStr">
        <is>
          <t>간호간병통합사용</t>
        </is>
      </c>
      <c r="C105" s="1114" t="n"/>
      <c r="D105" s="1029" t="n"/>
      <c r="E105" s="1114" t="n"/>
      <c r="F105" s="1029" t="n"/>
      <c r="G105" s="1114" t="n"/>
      <c r="H105" s="1029" t="n"/>
      <c r="I105" s="1114" t="n"/>
      <c r="J105" s="1029" t="n"/>
      <c r="K105" s="1028" t="n"/>
      <c r="L105" s="1115" t="n"/>
      <c r="M105" s="1028" t="n"/>
      <c r="N105" s="1116" t="n"/>
      <c r="O105" s="830" t="n"/>
      <c r="P105" s="841" t="n"/>
      <c r="Q105" s="310" t="inlineStr">
        <is>
          <t>간호간병통합사용</t>
        </is>
      </c>
      <c r="R105" s="963">
        <f>R51+C105+E105+G105+I105+K105+M105</f>
        <v/>
      </c>
    </row>
    <row r="106" ht="15" customHeight="1" s="797">
      <c r="A106" s="1147" t="inlineStr">
        <is>
          <t>운전자</t>
        </is>
      </c>
      <c r="B106" s="144" t="inlineStr">
        <is>
          <t>벌금</t>
        </is>
      </c>
      <c r="C106" s="1111" t="n"/>
      <c r="D106" s="1014" t="n"/>
      <c r="E106" s="1013" t="n"/>
      <c r="F106" s="1014" t="n"/>
      <c r="G106" s="1013" t="n"/>
      <c r="H106" s="1014" t="n"/>
      <c r="I106" s="1013" t="n"/>
      <c r="J106" s="1014" t="n"/>
      <c r="K106" s="1013" t="n"/>
      <c r="L106" s="1109" t="n"/>
      <c r="M106" s="1013" t="n"/>
      <c r="N106" s="1110" t="n"/>
      <c r="O106" s="830" t="n"/>
      <c r="P106" s="1147" t="inlineStr">
        <is>
          <t>운전자</t>
        </is>
      </c>
      <c r="Q106" s="144" t="inlineStr">
        <is>
          <t>벌금</t>
        </is>
      </c>
      <c r="R106" s="957">
        <f>R52+C106+E106+G106+I106+K106+M106</f>
        <v/>
      </c>
    </row>
    <row r="107" ht="15" customHeight="1" s="797">
      <c r="A107" s="832" t="n"/>
      <c r="B107" s="144" t="inlineStr">
        <is>
          <t>변호사선임</t>
        </is>
      </c>
      <c r="C107" s="1111" t="n"/>
      <c r="D107" s="1021" t="n"/>
      <c r="E107" s="1020" t="n"/>
      <c r="F107" s="1021" t="n"/>
      <c r="G107" s="1020" t="n"/>
      <c r="H107" s="1021" t="n"/>
      <c r="I107" s="1020" t="n"/>
      <c r="J107" s="1021" t="n"/>
      <c r="K107" s="1020" t="n"/>
      <c r="L107" s="1112" t="n"/>
      <c r="M107" s="1020" t="n"/>
      <c r="N107" s="1113" t="n"/>
      <c r="O107" s="830" t="n"/>
      <c r="P107" s="832" t="n"/>
      <c r="Q107" s="144" t="inlineStr">
        <is>
          <t>변호사선임</t>
        </is>
      </c>
      <c r="R107" s="959">
        <f>R53+C107+E107+G107+I107+K107+M107</f>
        <v/>
      </c>
    </row>
    <row r="108" ht="15" customHeight="1" s="797" thickBot="1">
      <c r="A108" s="841" t="n"/>
      <c r="B108" s="164" t="inlineStr">
        <is>
          <t>교통사고처리지원</t>
        </is>
      </c>
      <c r="C108" s="1111" t="n"/>
      <c r="D108" s="1021" t="n"/>
      <c r="E108" s="1117" t="n"/>
      <c r="F108" s="1039" t="n"/>
      <c r="G108" s="1117" t="n"/>
      <c r="H108" s="1039" t="n"/>
      <c r="I108" s="1117" t="n"/>
      <c r="J108" s="1039" t="n"/>
      <c r="K108" s="1117" t="n"/>
      <c r="L108" s="1118" t="n"/>
      <c r="M108" s="1117" t="n"/>
      <c r="N108" s="1119" t="n"/>
      <c r="O108" s="830" t="n"/>
      <c r="P108" s="841" t="n"/>
      <c r="Q108" s="164" t="inlineStr">
        <is>
          <t>교통사고처리지원</t>
        </is>
      </c>
      <c r="R108" s="963">
        <f>R54+C108+E108+G108+I108+K108+M108</f>
        <v/>
      </c>
    </row>
    <row r="109" ht="15" customHeight="1" s="797" thickBot="1">
      <c r="A109" s="735" t="inlineStr">
        <is>
          <t>일상생활배상책임</t>
        </is>
      </c>
      <c r="B109" s="919" t="n"/>
      <c r="C109" s="1128" t="n"/>
      <c r="D109" s="1127" t="n"/>
      <c r="E109" s="1128" t="n"/>
      <c r="F109" s="1127" t="n"/>
      <c r="G109" s="1128" t="n"/>
      <c r="H109" s="1127" t="n"/>
      <c r="I109" s="1128" t="n"/>
      <c r="J109" s="1127" t="n"/>
      <c r="K109" s="1128" t="n"/>
      <c r="L109" s="1129" t="n"/>
      <c r="M109" s="1128" t="n"/>
      <c r="N109" s="1130" t="n"/>
      <c r="O109" s="830" t="n"/>
      <c r="P109" s="735" t="inlineStr">
        <is>
          <t>일상생활배상책임</t>
        </is>
      </c>
      <c r="Q109" s="919" t="n"/>
      <c r="R109" s="1148">
        <f>R55+C109+E109+G109+I109+K109+M109</f>
        <v/>
      </c>
    </row>
    <row r="110" ht="15" customHeight="1" s="797">
      <c r="A110" s="1149" t="inlineStr">
        <is>
          <t>기타</t>
        </is>
      </c>
      <c r="B110" s="937" t="n"/>
      <c r="C110" s="1100" t="n"/>
      <c r="D110" s="1014" t="n"/>
      <c r="E110" s="1102" t="n"/>
      <c r="F110" s="1019" t="n"/>
      <c r="G110" s="1150" t="n"/>
      <c r="H110" s="1021" t="n"/>
      <c r="I110" s="1150" t="n"/>
      <c r="J110" s="1014" t="n"/>
      <c r="K110" s="1150" t="n"/>
      <c r="L110" s="1109" t="n"/>
      <c r="M110" s="1150" t="n"/>
      <c r="N110" s="1110" t="n"/>
      <c r="O110" s="830" t="n"/>
      <c r="P110" s="1151" t="inlineStr">
        <is>
          <t>기타</t>
        </is>
      </c>
      <c r="Q110" s="980" t="n"/>
      <c r="R110" s="937" t="n"/>
    </row>
    <row r="111" ht="15" customHeight="1" s="797">
      <c r="A111" s="804" t="n"/>
      <c r="B111" s="805" t="n"/>
      <c r="C111" s="1102" t="n"/>
      <c r="D111" s="1021" t="n"/>
      <c r="E111" s="1152" t="n"/>
      <c r="F111" s="1021" t="n"/>
      <c r="G111" s="1153" t="n"/>
      <c r="H111" s="1021" t="n"/>
      <c r="I111" s="1153" t="n"/>
      <c r="J111" s="1021" t="n"/>
      <c r="K111" s="1153" t="n"/>
      <c r="L111" s="1112" t="n"/>
      <c r="M111" s="1153" t="n"/>
      <c r="N111" s="1113" t="n"/>
      <c r="O111" s="830" t="n"/>
      <c r="P111" s="804" t="n"/>
      <c r="Q111" s="804" t="n"/>
      <c r="R111" s="805" t="n"/>
    </row>
    <row r="112" ht="15" customHeight="1" s="797">
      <c r="A112" s="804" t="n"/>
      <c r="B112" s="805" t="n"/>
      <c r="C112" s="1102" t="n"/>
      <c r="D112" s="1021" t="n"/>
      <c r="E112" s="1153" t="n"/>
      <c r="F112" s="1021" t="n"/>
      <c r="G112" s="1153" t="n"/>
      <c r="H112" s="1021" t="n"/>
      <c r="I112" s="1153" t="n"/>
      <c r="J112" s="1021" t="n"/>
      <c r="K112" s="1153" t="n"/>
      <c r="L112" s="1112" t="n"/>
      <c r="M112" s="1153" t="n"/>
      <c r="N112" s="1113" t="n"/>
      <c r="O112" s="830" t="n"/>
      <c r="P112" s="804" t="n"/>
      <c r="Q112" s="804" t="n"/>
      <c r="R112" s="805" t="n"/>
    </row>
    <row r="113" ht="15" customHeight="1" s="797" thickBot="1">
      <c r="A113" s="942" t="n"/>
      <c r="B113" s="946" t="n"/>
      <c r="C113" s="1104" t="n"/>
      <c r="D113" s="1029" t="n"/>
      <c r="E113" s="1154" t="n"/>
      <c r="F113" s="1029" t="n"/>
      <c r="G113" s="1154" t="n"/>
      <c r="H113" s="1029" t="n"/>
      <c r="I113" s="1154" t="n"/>
      <c r="J113" s="1029" t="n"/>
      <c r="K113" s="1154" t="n"/>
      <c r="L113" s="1115" t="n"/>
      <c r="M113" s="1154" t="n"/>
      <c r="N113" s="1116" t="n"/>
      <c r="O113" s="830" t="n"/>
      <c r="P113" s="942" t="n"/>
      <c r="Q113" s="942" t="n"/>
      <c r="R113" s="946" t="n"/>
    </row>
    <row r="114" ht="15" customHeight="1" s="797">
      <c r="A114" s="947">
        <f>A60</f>
        <v/>
      </c>
      <c r="B114" s="796" t="n"/>
      <c r="C114" s="1155" t="n"/>
      <c r="D114" s="796" t="n"/>
      <c r="E114" s="1155" t="n"/>
      <c r="F114" s="796" t="n"/>
      <c r="G114" s="1155" t="n"/>
      <c r="H114" s="796" t="n"/>
      <c r="I114" s="1155" t="n"/>
      <c r="J114" s="796" t="n"/>
      <c r="K114" s="1155" t="n"/>
      <c r="L114" s="796" t="n"/>
      <c r="M114" s="1155" t="n"/>
      <c r="N114" s="796" t="n"/>
      <c r="O114" s="138" t="n"/>
      <c r="P114" s="795" t="inlineStr">
        <is>
          <t>평가 기준일</t>
        </is>
      </c>
      <c r="Q114" s="796" t="n"/>
      <c r="R114" s="137">
        <f>R60</f>
        <v/>
      </c>
    </row>
    <row r="115" ht="15" customHeight="1" s="797">
      <c r="A115" s="647" t="inlineStr">
        <is>
          <t>상품명</t>
        </is>
      </c>
      <c r="B115" s="798" t="n"/>
      <c r="C115" s="754" t="n"/>
      <c r="D115" s="798" t="n"/>
      <c r="E115" s="754" t="n"/>
      <c r="F115" s="798" t="n"/>
      <c r="G115" s="754" t="n"/>
      <c r="H115" s="798" t="n"/>
      <c r="I115" s="754" t="n"/>
      <c r="J115" s="798" t="n"/>
      <c r="K115" s="754" t="n"/>
      <c r="L115" s="798" t="n"/>
      <c r="M115" s="754" t="n"/>
      <c r="N115" s="798" t="n"/>
      <c r="O115" s="25" t="n"/>
      <c r="P115" s="948" t="n"/>
      <c r="Q115" s="801" t="n"/>
      <c r="R115" s="802" t="n"/>
    </row>
    <row r="116" ht="15" customHeight="1" s="797">
      <c r="A116" s="647" t="inlineStr">
        <is>
          <t>계약자 / 피보험자</t>
        </is>
      </c>
      <c r="B116" s="798" t="n"/>
      <c r="C116" s="756" t="n"/>
      <c r="D116" s="798" t="n"/>
      <c r="E116" s="756" t="n"/>
      <c r="F116" s="798" t="n"/>
      <c r="G116" s="756" t="n"/>
      <c r="H116" s="798" t="n"/>
      <c r="I116" s="756" t="n"/>
      <c r="J116" s="798" t="n"/>
      <c r="K116" s="756" t="n"/>
      <c r="L116" s="798" t="n"/>
      <c r="M116" s="756" t="n"/>
      <c r="N116" s="798" t="n"/>
      <c r="O116" s="25" t="n"/>
      <c r="P116" s="804" t="n"/>
      <c r="R116" s="805" t="n"/>
    </row>
    <row r="117" ht="15" customHeight="1" s="797">
      <c r="A117" s="647" t="inlineStr">
        <is>
          <t>계약일자</t>
        </is>
      </c>
      <c r="B117" s="798" t="n"/>
      <c r="C117" s="756" t="n"/>
      <c r="D117" s="798" t="n"/>
      <c r="E117" s="756" t="n"/>
      <c r="F117" s="798" t="n"/>
      <c r="G117" s="756" t="n"/>
      <c r="H117" s="798" t="n"/>
      <c r="I117" s="756" t="n"/>
      <c r="J117" s="798" t="n"/>
      <c r="K117" s="756" t="n"/>
      <c r="L117" s="798" t="n"/>
      <c r="M117" s="756" t="n"/>
      <c r="N117" s="798" t="n"/>
      <c r="O117" s="25" t="n"/>
      <c r="P117" s="804" t="n"/>
      <c r="R117" s="805" t="n"/>
    </row>
    <row r="118" ht="15" customHeight="1" s="797">
      <c r="A118" s="647" t="inlineStr">
        <is>
          <t>납입기간 / 기납입기간</t>
        </is>
      </c>
      <c r="B118" s="798" t="n"/>
      <c r="C118" s="997" t="n"/>
      <c r="D118" s="1000">
        <f>IF(DATEDIF(C117,$R$1,"m")&lt;C118*12,DATEDIF(C117,$R$1,"m"),C118*12)</f>
        <v/>
      </c>
      <c r="E118" s="997" t="n"/>
      <c r="F118" s="1000">
        <f>IF(DATEDIF(E117,$R$1,"m")&lt;E118*12,DATEDIF(E117,$R$1,"m"),E118*12)</f>
        <v/>
      </c>
      <c r="G118" s="997" t="n"/>
      <c r="H118" s="1000">
        <f>IF(DATEDIF(G117,$R$1,"m")&lt;G118*12,DATEDIF(G117,$R$1,"m"),G118*12)</f>
        <v/>
      </c>
      <c r="I118" s="997" t="n"/>
      <c r="J118" s="1000">
        <f>IF(DATEDIF(I117,$R$1,"m")&lt;I118*12,DATEDIF(I117,$R$1,"m"),I118*12)</f>
        <v/>
      </c>
      <c r="K118" s="997" t="n"/>
      <c r="L118" s="1000">
        <f>IF(DATEDIF(K117,$R$1,"m")&lt;K118*12,DATEDIF(K117,$R$1,"m"),K118*12)</f>
        <v/>
      </c>
      <c r="M118" s="997" t="n"/>
      <c r="N118" s="1106">
        <f>IF(DATEDIF(M117,$R$1,"m")&lt;M118*12,DATEDIF(M117,$R$1,"m"),M118*12)</f>
        <v/>
      </c>
      <c r="O118" s="25" t="n"/>
      <c r="P118" s="804" t="n"/>
      <c r="R118" s="805" t="n"/>
    </row>
    <row r="119" ht="15" customHeight="1" s="797">
      <c r="A119" s="647" t="inlineStr">
        <is>
          <t>보장기간</t>
        </is>
      </c>
      <c r="B119" s="798" t="n"/>
      <c r="C119" s="696" t="n"/>
      <c r="D119" s="798" t="n"/>
      <c r="E119" s="696" t="n"/>
      <c r="F119" s="798" t="n"/>
      <c r="G119" s="696" t="n"/>
      <c r="H119" s="798" t="n"/>
      <c r="I119" s="696" t="n"/>
      <c r="J119" s="798" t="n"/>
      <c r="K119" s="696" t="n"/>
      <c r="L119" s="798" t="n"/>
      <c r="M119" s="696" t="n"/>
      <c r="N119" s="798" t="n"/>
      <c r="O119" s="25" t="n"/>
      <c r="P119" s="808" t="n"/>
      <c r="Q119" s="809" t="n"/>
      <c r="R119" s="810" t="n"/>
    </row>
    <row r="120" ht="15" customHeight="1" s="797">
      <c r="A120" s="632" t="inlineStr">
        <is>
          <t>비고 / 갱신종류</t>
        </is>
      </c>
      <c r="B120" s="811" t="n"/>
      <c r="C120" s="1156" t="n"/>
      <c r="D120" s="798" t="n"/>
      <c r="E120" s="1156" t="n"/>
      <c r="F120" s="798" t="n"/>
      <c r="G120" s="1156" t="n"/>
      <c r="H120" s="798" t="n"/>
      <c r="I120" s="1156" t="n"/>
      <c r="J120" s="798" t="n"/>
      <c r="K120" s="1156" t="n"/>
      <c r="L120" s="798" t="n"/>
      <c r="M120" s="1157" t="n"/>
      <c r="N120" s="799" t="n"/>
      <c r="O120" s="25" t="n"/>
      <c r="P120" s="950" t="n"/>
      <c r="Q120" s="798" t="n"/>
      <c r="R120" s="27" t="inlineStr">
        <is>
          <t>총 보장 (원)</t>
        </is>
      </c>
    </row>
    <row r="121" ht="15" customHeight="1" s="797">
      <c r="A121" s="639" t="inlineStr">
        <is>
          <t>월 보험료</t>
        </is>
      </c>
      <c r="B121" s="798" t="n"/>
      <c r="C121" s="1004" t="n"/>
      <c r="D121" s="798" t="n"/>
      <c r="E121" s="1004" t="n"/>
      <c r="F121" s="798" t="n"/>
      <c r="G121" s="1004" t="n"/>
      <c r="H121" s="798" t="n"/>
      <c r="I121" s="1004" t="n"/>
      <c r="J121" s="798" t="n"/>
      <c r="K121" s="1004" t="n"/>
      <c r="L121" s="798" t="n"/>
      <c r="M121" s="1004" t="n"/>
      <c r="N121" s="798" t="n"/>
      <c r="O121" s="814" t="n"/>
      <c r="P121" s="982" t="inlineStr">
        <is>
          <t>합산 월 보험료</t>
        </is>
      </c>
      <c r="Q121" s="798" t="n"/>
      <c r="R121" s="951">
        <f>R67+C121+E121+G121+I121+K121+M121</f>
        <v/>
      </c>
    </row>
    <row r="122" ht="15" customHeight="1" s="797">
      <c r="A122" s="647" t="inlineStr">
        <is>
          <t>보험료 총액</t>
        </is>
      </c>
      <c r="B122" s="798" t="n"/>
      <c r="C122" s="1007">
        <f>C121*C118*12</f>
        <v/>
      </c>
      <c r="D122" s="798" t="n"/>
      <c r="E122" s="1007">
        <f>E121*E118*12</f>
        <v/>
      </c>
      <c r="F122" s="798" t="n"/>
      <c r="G122" s="1007">
        <f>G121*G118*12</f>
        <v/>
      </c>
      <c r="H122" s="798" t="n"/>
      <c r="I122" s="1007">
        <f>I121*I118*12</f>
        <v/>
      </c>
      <c r="J122" s="798" t="n"/>
      <c r="K122" s="1007">
        <f>K121*K118*12</f>
        <v/>
      </c>
      <c r="L122" s="798" t="n"/>
      <c r="M122" s="1009">
        <f>M121*M118*12</f>
        <v/>
      </c>
      <c r="N122" s="799" t="n"/>
      <c r="O122" s="814" t="n"/>
      <c r="P122" s="982" t="inlineStr">
        <is>
          <t>합산 보험료 총액</t>
        </is>
      </c>
      <c r="Q122" s="798" t="n"/>
      <c r="R122" s="952">
        <f>R68+C122+E122+G122+I122+K122+M122</f>
        <v/>
      </c>
    </row>
    <row r="123" ht="15" customHeight="1" s="797">
      <c r="A123" s="647" t="inlineStr">
        <is>
          <t>기 납입금</t>
        </is>
      </c>
      <c r="B123" s="798" t="n"/>
      <c r="C123" s="1007">
        <f>C121*D118</f>
        <v/>
      </c>
      <c r="D123" s="798" t="n"/>
      <c r="E123" s="1007">
        <f>E121*F118</f>
        <v/>
      </c>
      <c r="F123" s="798" t="n"/>
      <c r="G123" s="1007">
        <f>G121*H118</f>
        <v/>
      </c>
      <c r="H123" s="798" t="n"/>
      <c r="I123" s="1007">
        <f>I121*J118</f>
        <v/>
      </c>
      <c r="J123" s="798" t="n"/>
      <c r="K123" s="1007">
        <f>K121*L118</f>
        <v/>
      </c>
      <c r="L123" s="798" t="n"/>
      <c r="M123" s="1009">
        <f>M121*N118</f>
        <v/>
      </c>
      <c r="N123" s="799" t="n"/>
      <c r="O123" s="814" t="n"/>
      <c r="P123" s="982" t="inlineStr">
        <is>
          <t>합산 기 납입금</t>
        </is>
      </c>
      <c r="Q123" s="798" t="n"/>
      <c r="R123" s="952">
        <f>R69+C123+E123+G123+I123+K123+M123</f>
        <v/>
      </c>
    </row>
    <row r="124" ht="15" customHeight="1" s="797" thickBot="1">
      <c r="A124" s="632" t="inlineStr">
        <is>
          <t>미 납입금</t>
        </is>
      </c>
      <c r="B124" s="811" t="n"/>
      <c r="C124" s="1007">
        <f>C122-C123</f>
        <v/>
      </c>
      <c r="D124" s="798" t="n"/>
      <c r="E124" s="1007">
        <f>E122-E123</f>
        <v/>
      </c>
      <c r="F124" s="798" t="n"/>
      <c r="G124" s="1007">
        <f>G122-G123</f>
        <v/>
      </c>
      <c r="H124" s="798" t="n"/>
      <c r="I124" s="1007">
        <f>I122-I123</f>
        <v/>
      </c>
      <c r="J124" s="798" t="n"/>
      <c r="K124" s="1007">
        <f>K122-K123</f>
        <v/>
      </c>
      <c r="L124" s="798" t="n"/>
      <c r="M124" s="1009">
        <f>M122-M123</f>
        <v/>
      </c>
      <c r="N124" s="799" t="n"/>
      <c r="O124" s="814" t="n"/>
      <c r="P124" s="983" t="inlineStr">
        <is>
          <t>합산 미 납입금</t>
        </is>
      </c>
      <c r="Q124" s="954" t="n"/>
      <c r="R124" s="955">
        <f>R70+C124+E124+G124+I124+K124+M124</f>
        <v/>
      </c>
    </row>
    <row r="125" ht="15" customHeight="1" s="797">
      <c r="A125" s="1158" t="inlineStr">
        <is>
          <t>실비
(갱신형)</t>
        </is>
      </c>
      <c r="B125" s="139" t="inlineStr">
        <is>
          <t>상해급여의료비</t>
        </is>
      </c>
      <c r="C125" s="1015" t="n"/>
      <c r="D125" s="1014" t="n"/>
      <c r="E125" s="1010" t="n"/>
      <c r="F125" s="1014" t="n"/>
      <c r="G125" s="1010" t="n"/>
      <c r="H125" s="1014" t="n"/>
      <c r="I125" s="1010" t="n"/>
      <c r="J125" s="1014" t="n"/>
      <c r="K125" s="1010" t="n"/>
      <c r="L125" s="1109" t="n"/>
      <c r="M125" s="1010" t="n"/>
      <c r="N125" s="1110" t="n"/>
      <c r="O125" s="830" t="n"/>
      <c r="P125" s="1159" t="inlineStr">
        <is>
          <t>실비
(갱신형)</t>
        </is>
      </c>
      <c r="Q125" s="139" t="inlineStr">
        <is>
          <t>질병입원의료비</t>
        </is>
      </c>
      <c r="R125" s="957">
        <f>R71+C125+E125+G125+I125+K125+M125</f>
        <v/>
      </c>
    </row>
    <row r="126" ht="15" customHeight="1" s="797">
      <c r="A126" s="832" t="n"/>
      <c r="B126" s="140" t="inlineStr">
        <is>
          <t>질병급여의료비</t>
        </is>
      </c>
      <c r="C126" s="1022" t="n"/>
      <c r="D126" s="1021" t="n"/>
      <c r="E126" s="1017" t="n"/>
      <c r="F126" s="1021" t="n"/>
      <c r="G126" s="1017" t="n"/>
      <c r="H126" s="1021" t="n"/>
      <c r="I126" s="1017" t="n"/>
      <c r="J126" s="1021" t="n"/>
      <c r="K126" s="1017" t="n"/>
      <c r="L126" s="1112" t="n"/>
      <c r="M126" s="1017" t="n"/>
      <c r="N126" s="1113" t="n"/>
      <c r="O126" s="830" t="n"/>
      <c r="P126" s="832" t="n"/>
      <c r="Q126" s="140" t="inlineStr">
        <is>
          <t>질병통원의료비</t>
        </is>
      </c>
      <c r="R126" s="959">
        <f>R72+C126+E126+G126+I126+K126+M126</f>
        <v/>
      </c>
    </row>
    <row r="127" ht="15" customHeight="1" s="797">
      <c r="A127" s="832" t="n"/>
      <c r="B127" s="140" t="inlineStr">
        <is>
          <t>상해비급여의료비</t>
        </is>
      </c>
      <c r="C127" s="1022" t="n"/>
      <c r="D127" s="1021" t="n"/>
      <c r="E127" s="1022" t="n"/>
      <c r="F127" s="1021" t="n"/>
      <c r="G127" s="1017" t="n"/>
      <c r="H127" s="1021" t="n"/>
      <c r="I127" s="1017" t="n"/>
      <c r="J127" s="1021" t="n"/>
      <c r="K127" s="1017" t="n"/>
      <c r="L127" s="1112" t="n"/>
      <c r="M127" s="1017" t="n"/>
      <c r="N127" s="1113" t="n"/>
      <c r="O127" s="830" t="n"/>
      <c r="P127" s="832" t="n"/>
      <c r="Q127" s="140" t="inlineStr">
        <is>
          <t>상해입원의료비</t>
        </is>
      </c>
      <c r="R127" s="959">
        <f>R73+C127+E127+G127+I127+K127+M127</f>
        <v/>
      </c>
    </row>
    <row r="128" ht="15" customHeight="1" s="797">
      <c r="A128" s="832" t="n"/>
      <c r="B128" s="140" t="inlineStr">
        <is>
          <t>질병비급여의료비</t>
        </is>
      </c>
      <c r="C128" s="1022" t="n"/>
      <c r="D128" s="1021" t="n"/>
      <c r="E128" s="1022" t="n"/>
      <c r="F128" s="1021" t="n"/>
      <c r="G128" s="1017" t="n"/>
      <c r="H128" s="1021" t="n"/>
      <c r="I128" s="1017" t="n"/>
      <c r="J128" s="1021" t="n"/>
      <c r="K128" s="1017" t="n"/>
      <c r="L128" s="1112" t="n"/>
      <c r="M128" s="1017" t="n"/>
      <c r="N128" s="1113" t="n"/>
      <c r="O128" s="830" t="n"/>
      <c r="P128" s="832" t="n"/>
      <c r="Q128" s="140" t="inlineStr">
        <is>
          <t>상해통원의료비</t>
        </is>
      </c>
      <c r="R128" s="959">
        <f>R74+C128+E128+G128+I128+K128+M128</f>
        <v/>
      </c>
    </row>
    <row r="129" ht="15" customHeight="1" s="797" thickBot="1">
      <c r="A129" s="841" t="n"/>
      <c r="B129" s="141" t="inlineStr">
        <is>
          <t>3대비급여 의료비</t>
        </is>
      </c>
      <c r="C129" s="1027" t="n"/>
      <c r="D129" s="1029" t="n"/>
      <c r="E129" s="1027" t="n"/>
      <c r="F129" s="1029" t="n"/>
      <c r="G129" s="1024" t="n"/>
      <c r="H129" s="1029" t="n"/>
      <c r="I129" s="1024" t="n"/>
      <c r="J129" s="1029" t="n"/>
      <c r="K129" s="1024" t="n"/>
      <c r="L129" s="1115" t="n"/>
      <c r="M129" s="1024" t="n"/>
      <c r="N129" s="1116" t="n"/>
      <c r="O129" s="830" t="n"/>
      <c r="P129" s="841" t="n"/>
      <c r="Q129" s="141" t="inlineStr">
        <is>
          <t>3대비급여 의료비</t>
        </is>
      </c>
      <c r="R129" s="963">
        <f>R75+C129+E129+G129+I129+K129+M129</f>
        <v/>
      </c>
    </row>
    <row r="130" ht="15" customHeight="1" s="797">
      <c r="A130" s="626" t="inlineStr">
        <is>
          <t>암</t>
        </is>
      </c>
      <c r="B130" s="142" t="inlineStr">
        <is>
          <t>일반암</t>
        </is>
      </c>
      <c r="C130" s="1010" t="n"/>
      <c r="D130" s="1014" t="n"/>
      <c r="E130" s="1010" t="n"/>
      <c r="F130" s="1014" t="n"/>
      <c r="G130" s="1010" t="n"/>
      <c r="H130" s="1160" t="n"/>
      <c r="I130" s="1010" t="n"/>
      <c r="J130" s="1014" t="n"/>
      <c r="K130" s="1010" t="n"/>
      <c r="L130" s="1109" t="n"/>
      <c r="M130" s="1010" t="n"/>
      <c r="N130" s="1110" t="n"/>
      <c r="O130" s="830" t="n"/>
      <c r="P130" s="772">
        <f>A130</f>
        <v/>
      </c>
      <c r="Q130" s="112" t="inlineStr">
        <is>
          <t>일반암</t>
        </is>
      </c>
      <c r="R130" s="957">
        <f>R76+C130+E130+G130+I130+K130+M130</f>
        <v/>
      </c>
    </row>
    <row r="131" ht="15" customHeight="1" s="797">
      <c r="A131" s="832" t="n"/>
      <c r="B131" s="143" t="inlineStr">
        <is>
          <t>소액암</t>
        </is>
      </c>
      <c r="C131" s="1079" t="n"/>
      <c r="D131" s="1039" t="n"/>
      <c r="E131" s="1017" t="n"/>
      <c r="F131" s="1039" t="n"/>
      <c r="G131" s="1017" t="n"/>
      <c r="H131" s="1161" t="n"/>
      <c r="I131" s="1017" t="n"/>
      <c r="J131" s="1039" t="n"/>
      <c r="K131" s="1038" t="n"/>
      <c r="L131" s="1118" t="n"/>
      <c r="M131" s="1038" t="n"/>
      <c r="N131" s="1119" t="n"/>
      <c r="O131" s="830" t="n"/>
      <c r="P131" s="832" t="n"/>
      <c r="Q131" s="113" t="inlineStr">
        <is>
          <t>소액암</t>
        </is>
      </c>
      <c r="R131" s="959">
        <f>R77+C131+E131+G131+I131+K131+M131</f>
        <v/>
      </c>
    </row>
    <row r="132" ht="15" customHeight="1" s="797">
      <c r="A132" s="832" t="n"/>
      <c r="B132" s="143" t="inlineStr">
        <is>
          <t>암수술비</t>
        </is>
      </c>
      <c r="C132" s="1079" t="n"/>
      <c r="D132" s="1039" t="n"/>
      <c r="E132" s="1038" t="n"/>
      <c r="F132" s="1039" t="n"/>
      <c r="G132" s="1017" t="n"/>
      <c r="H132" s="1162" t="n"/>
      <c r="I132" s="1038" t="n"/>
      <c r="J132" s="1039" t="n"/>
      <c r="K132" s="1038" t="n"/>
      <c r="L132" s="1118" t="n"/>
      <c r="M132" s="1038" t="n"/>
      <c r="N132" s="1119" t="n"/>
      <c r="O132" s="830" t="n"/>
      <c r="P132" s="832" t="n"/>
      <c r="Q132" s="113" t="inlineStr">
        <is>
          <t>암수술비</t>
        </is>
      </c>
      <c r="R132" s="959">
        <f>R80+C132+E132+G132+I132+K132+M132</f>
        <v/>
      </c>
    </row>
    <row r="133" ht="15" customHeight="1" s="797">
      <c r="A133" s="832" t="n"/>
      <c r="B133" s="143" t="inlineStr">
        <is>
          <t>항암치료비</t>
        </is>
      </c>
      <c r="C133" s="1079" t="n"/>
      <c r="D133" s="1039" t="n"/>
      <c r="E133" s="1017" t="n"/>
      <c r="F133" s="1039" t="n"/>
      <c r="G133" s="1038" t="n"/>
      <c r="H133" s="1162" t="n"/>
      <c r="I133" s="1079" t="n"/>
      <c r="J133" s="1039" t="n"/>
      <c r="K133" s="1038" t="n"/>
      <c r="L133" s="1118" t="n"/>
      <c r="M133" s="1038" t="n"/>
      <c r="N133" s="1119" t="n"/>
      <c r="O133" s="830" t="n"/>
      <c r="P133" s="832" t="n"/>
      <c r="Q133" s="113" t="inlineStr">
        <is>
          <t>항암치료비</t>
        </is>
      </c>
      <c r="R133" s="959">
        <f>R81+C133+E133+G133+I133+K133+M133</f>
        <v/>
      </c>
    </row>
    <row r="134" ht="15" customHeight="1" s="797" thickBot="1">
      <c r="A134" s="832" t="n"/>
      <c r="B134" s="144" t="inlineStr">
        <is>
          <t>암입원비</t>
        </is>
      </c>
      <c r="C134" s="1027" t="n"/>
      <c r="D134" s="1029" t="n"/>
      <c r="E134" s="1024" t="n"/>
      <c r="F134" s="1039" t="n"/>
      <c r="G134" s="1024" t="n"/>
      <c r="H134" s="1162" t="n"/>
      <c r="I134" s="1024" t="n"/>
      <c r="J134" s="1039" t="n"/>
      <c r="K134" s="1038" t="n"/>
      <c r="L134" s="1118" t="n"/>
      <c r="M134" s="1038" t="n"/>
      <c r="N134" s="1119" t="n"/>
      <c r="O134" s="830" t="n"/>
      <c r="P134" s="832" t="n"/>
      <c r="Q134" s="114" t="inlineStr">
        <is>
          <t>암입원비</t>
        </is>
      </c>
      <c r="R134" s="963">
        <f>R82+C134+E134+G134+I134+K134+M134</f>
        <v/>
      </c>
    </row>
    <row r="135" ht="15" customHeight="1" s="797">
      <c r="A135" s="721" t="inlineStr">
        <is>
          <t>2대
질병</t>
        </is>
      </c>
      <c r="B135" s="145" t="inlineStr">
        <is>
          <t>뇌혈관</t>
        </is>
      </c>
      <c r="C135" s="1017" t="n"/>
      <c r="D135" s="1014" t="n"/>
      <c r="E135" s="1017" t="n"/>
      <c r="F135" s="1014" t="n"/>
      <c r="G135" s="1017" t="n"/>
      <c r="H135" s="1163" t="n"/>
      <c r="I135" s="1010" t="n"/>
      <c r="J135" s="1014" t="n"/>
      <c r="K135" s="1010" t="n"/>
      <c r="L135" s="1109" t="n"/>
      <c r="M135" s="1010" t="n"/>
      <c r="N135" s="1110" t="n"/>
      <c r="O135" s="830" t="n"/>
      <c r="P135" s="760">
        <f>A135</f>
        <v/>
      </c>
      <c r="Q135" s="115" t="inlineStr">
        <is>
          <t>뇌혈관</t>
        </is>
      </c>
      <c r="R135" s="957">
        <f>R83+C135+E135+G135+I135+K135+M135</f>
        <v/>
      </c>
    </row>
    <row r="136" ht="15" customHeight="1" s="797">
      <c r="A136" s="832" t="n"/>
      <c r="B136" s="146" t="inlineStr">
        <is>
          <t>뇌졸증</t>
        </is>
      </c>
      <c r="C136" s="1017" t="n"/>
      <c r="D136" s="1039" t="n"/>
      <c r="E136" s="1038" t="n"/>
      <c r="F136" s="1161" t="n"/>
      <c r="G136" s="1017" t="n"/>
      <c r="H136" s="1162" t="n"/>
      <c r="I136" s="1038" t="n"/>
      <c r="J136" s="1161" t="n"/>
      <c r="K136" s="1017" t="n"/>
      <c r="L136" s="1118" t="n"/>
      <c r="M136" s="1038" t="n"/>
      <c r="N136" s="1119" t="n"/>
      <c r="O136" s="830" t="n"/>
      <c r="P136" s="832" t="n"/>
      <c r="Q136" s="116" t="inlineStr">
        <is>
          <t>뇌졸증</t>
        </is>
      </c>
      <c r="R136" s="959">
        <f>R84+C136+E136+G136+I136+K136+M136</f>
        <v/>
      </c>
    </row>
    <row r="137" ht="15" customHeight="1" s="797" thickBot="1">
      <c r="A137" s="832" t="n"/>
      <c r="B137" s="147" t="inlineStr">
        <is>
          <t>뇌출혈</t>
        </is>
      </c>
      <c r="C137" s="1044" t="n"/>
      <c r="D137" s="1164" t="n"/>
      <c r="E137" s="1044" t="n"/>
      <c r="F137" s="1122" t="n"/>
      <c r="G137" s="1044" t="n"/>
      <c r="H137" s="1165" t="n"/>
      <c r="I137" s="1044" t="n"/>
      <c r="J137" s="1164" t="n"/>
      <c r="K137" s="1044" t="n"/>
      <c r="L137" s="1123" t="n"/>
      <c r="M137" s="1044" t="n"/>
      <c r="N137" s="1124" t="n"/>
      <c r="O137" s="830" t="n"/>
      <c r="P137" s="832" t="n"/>
      <c r="Q137" s="117" t="inlineStr">
        <is>
          <t>뇌출혈</t>
        </is>
      </c>
      <c r="R137" s="963">
        <f>R85+C137+E137+G137+I137+K137+M137</f>
        <v/>
      </c>
    </row>
    <row r="138" ht="15" customHeight="1" s="797">
      <c r="A138" s="832" t="n"/>
      <c r="B138" s="148" t="inlineStr">
        <is>
          <t>심장질환</t>
        </is>
      </c>
      <c r="C138" s="1010" t="n"/>
      <c r="D138" s="1014" t="n"/>
      <c r="E138" s="1010" t="n"/>
      <c r="F138" s="1014" t="n"/>
      <c r="G138" s="1010" t="n"/>
      <c r="H138" s="1163" t="n"/>
      <c r="I138" s="1010" t="n"/>
      <c r="J138" s="1014" t="n"/>
      <c r="K138" s="1010" t="n"/>
      <c r="L138" s="1109" t="n"/>
      <c r="M138" s="1010" t="n"/>
      <c r="N138" s="1110" t="n"/>
      <c r="O138" s="830" t="n"/>
      <c r="P138" s="832" t="n"/>
      <c r="Q138" s="118" t="inlineStr">
        <is>
          <t>심장질환</t>
        </is>
      </c>
      <c r="R138" s="957">
        <f>R86+C138+E138+G138+I138+K138+M138</f>
        <v/>
      </c>
    </row>
    <row r="139" ht="15" customHeight="1" s="797">
      <c r="A139" s="832" t="n"/>
      <c r="B139" s="149" t="inlineStr">
        <is>
          <t>허혈성심장</t>
        </is>
      </c>
      <c r="C139" s="1017" t="n"/>
      <c r="D139" s="1039" t="n"/>
      <c r="E139" s="1017" t="n"/>
      <c r="F139" s="1161" t="n"/>
      <c r="G139" s="1017" t="n"/>
      <c r="H139" s="1162" t="n"/>
      <c r="I139" s="1017" t="n"/>
      <c r="J139" s="1021" t="n"/>
      <c r="K139" s="1017" t="n"/>
      <c r="L139" s="1118" t="n"/>
      <c r="M139" s="1038" t="n"/>
      <c r="N139" s="1119" t="n"/>
      <c r="O139" s="830" t="n"/>
      <c r="P139" s="832" t="n"/>
      <c r="Q139" s="119" t="inlineStr">
        <is>
          <t>허혈성심장</t>
        </is>
      </c>
      <c r="R139" s="959">
        <f>R87+C139+E139+G139+I139+K139+M139</f>
        <v/>
      </c>
    </row>
    <row r="140" ht="15" customHeight="1" s="797" thickBot="1">
      <c r="A140" s="832" t="n"/>
      <c r="B140" s="165" t="inlineStr">
        <is>
          <t>급성심근경색</t>
        </is>
      </c>
      <c r="C140" s="1024" t="n"/>
      <c r="D140" s="1166" t="n"/>
      <c r="E140" s="1044" t="n"/>
      <c r="F140" s="1122" t="n"/>
      <c r="G140" s="1044" t="n"/>
      <c r="H140" s="1165" t="n"/>
      <c r="I140" s="1044" t="n"/>
      <c r="J140" s="1164" t="n"/>
      <c r="K140" s="1043" t="n"/>
      <c r="L140" s="1123" t="n"/>
      <c r="M140" s="1043" t="n"/>
      <c r="N140" s="1124" t="n"/>
      <c r="O140" s="830" t="n"/>
      <c r="P140" s="832" t="n"/>
      <c r="Q140" s="120" t="inlineStr">
        <is>
          <t>급성심근경색</t>
        </is>
      </c>
      <c r="R140" s="963">
        <f>R88+C140+E140+G140+I140+K140+M140</f>
        <v/>
      </c>
    </row>
    <row r="141" ht="15" customHeight="1" s="797" thickBot="1">
      <c r="A141" s="832" t="n"/>
      <c r="B141" s="283" t="inlineStr">
        <is>
          <t>뇌/심장질환수술비</t>
        </is>
      </c>
      <c r="C141" s="1094" t="n"/>
      <c r="D141" s="1127" t="n"/>
      <c r="E141" s="1089" t="n"/>
      <c r="F141" s="1167" t="n"/>
      <c r="G141" s="1089" t="n"/>
      <c r="H141" s="1168" t="n"/>
      <c r="I141" s="1089" t="n"/>
      <c r="J141" s="1167" t="n"/>
      <c r="K141" s="1089" t="n"/>
      <c r="L141" s="1129" t="n"/>
      <c r="M141" s="1089" t="n"/>
      <c r="N141" s="1130" t="n"/>
      <c r="O141" s="830" t="n"/>
      <c r="P141" s="832" t="n"/>
      <c r="Q141" s="283" t="inlineStr">
        <is>
          <t>뇌/심장질환수술비</t>
        </is>
      </c>
      <c r="R141" s="1131">
        <f>R89+C141+E141+G141+I141+K141+M141</f>
        <v/>
      </c>
    </row>
    <row r="142" ht="15" customHeight="1" s="797">
      <c r="A142" s="1132" t="inlineStr">
        <is>
          <t>후유장해</t>
        </is>
      </c>
      <c r="B142" s="152" t="inlineStr">
        <is>
          <t>질병 80% 이상</t>
        </is>
      </c>
      <c r="C142" s="1015" t="n"/>
      <c r="D142" s="1014" t="n"/>
      <c r="E142" s="1010" t="n"/>
      <c r="F142" s="1160" t="n"/>
      <c r="G142" s="1010" t="n"/>
      <c r="H142" s="1014" t="n"/>
      <c r="I142" s="1010" t="n"/>
      <c r="J142" s="1014" t="n"/>
      <c r="K142" s="1010" t="n"/>
      <c r="L142" s="1109" t="n"/>
      <c r="M142" s="1010" t="n"/>
      <c r="N142" s="1110" t="n"/>
      <c r="O142" s="830" t="n"/>
      <c r="P142" s="1169">
        <f>A142</f>
        <v/>
      </c>
      <c r="Q142" s="122" t="inlineStr">
        <is>
          <t>질병 80% 이상</t>
        </is>
      </c>
      <c r="R142" s="957">
        <f>R90+C142+E142+G142+I142+K142+M142</f>
        <v/>
      </c>
    </row>
    <row r="143" ht="15" customHeight="1" s="797">
      <c r="A143" s="832" t="n"/>
      <c r="B143" s="153" t="inlineStr">
        <is>
          <t>질병 80% 미만</t>
        </is>
      </c>
      <c r="C143" s="1022" t="n"/>
      <c r="D143" s="1021" t="n"/>
      <c r="E143" s="1017" t="n"/>
      <c r="F143" s="1161" t="n"/>
      <c r="G143" s="1017" t="n"/>
      <c r="H143" s="1021" t="n"/>
      <c r="I143" s="1017" t="n"/>
      <c r="J143" s="1021" t="n"/>
      <c r="K143" s="1017" t="n"/>
      <c r="L143" s="1112" t="n"/>
      <c r="M143" s="1017" t="n"/>
      <c r="N143" s="1113" t="n"/>
      <c r="O143" s="830" t="n"/>
      <c r="P143" s="832" t="n"/>
      <c r="Q143" s="123" t="inlineStr">
        <is>
          <t>질병 80% 미만</t>
        </is>
      </c>
      <c r="R143" s="959">
        <f>R91+C143+E143+G143+I143+K143+M143</f>
        <v/>
      </c>
    </row>
    <row r="144" ht="15" customHeight="1" s="797">
      <c r="A144" s="832" t="n"/>
      <c r="B144" s="153" t="inlineStr">
        <is>
          <t>재해/상해 80% 이상</t>
        </is>
      </c>
      <c r="C144" s="1022" t="n"/>
      <c r="D144" s="1021" t="n"/>
      <c r="E144" s="1017" t="n"/>
      <c r="F144" s="218" t="n"/>
      <c r="G144" s="1017" t="n"/>
      <c r="H144" s="1021" t="n"/>
      <c r="I144" s="1017" t="n"/>
      <c r="J144" s="1021" t="n"/>
      <c r="K144" s="1017" t="n"/>
      <c r="L144" s="1112" t="n"/>
      <c r="M144" s="1017" t="n"/>
      <c r="N144" s="1113" t="n"/>
      <c r="O144" s="830" t="n"/>
      <c r="P144" s="832" t="n"/>
      <c r="Q144" s="123" t="inlineStr">
        <is>
          <t>재해/상해 80% 이상</t>
        </is>
      </c>
      <c r="R144" s="959">
        <f>R92+C144+E144+G144+I144+K144+M144</f>
        <v/>
      </c>
    </row>
    <row r="145" ht="15" customHeight="1" s="797" thickBot="1">
      <c r="A145" s="841" t="n"/>
      <c r="B145" s="154" t="inlineStr">
        <is>
          <t>재해/상해 80% 미만</t>
        </is>
      </c>
      <c r="C145" s="1027" t="n"/>
      <c r="D145" s="1029" t="n"/>
      <c r="E145" s="1024" t="n"/>
      <c r="F145" s="1166" t="n"/>
      <c r="G145" s="1017" t="n"/>
      <c r="H145" s="1029" t="n"/>
      <c r="I145" s="1024" t="n"/>
      <c r="J145" s="1029" t="n"/>
      <c r="K145" s="1024" t="n"/>
      <c r="L145" s="1115" t="n"/>
      <c r="M145" s="1024" t="n"/>
      <c r="N145" s="1116" t="n"/>
      <c r="O145" s="830" t="n"/>
      <c r="P145" s="841" t="n"/>
      <c r="Q145" s="124" t="inlineStr">
        <is>
          <t>재해/상해 80% 미만</t>
        </is>
      </c>
      <c r="R145" s="963">
        <f>R93+C145+E145+G145+I145+K145+M145</f>
        <v/>
      </c>
    </row>
    <row r="146" ht="15" customHeight="1" s="797">
      <c r="A146" s="1133" t="inlineStr">
        <is>
          <t>사망</t>
        </is>
      </c>
      <c r="B146" s="155" t="inlineStr">
        <is>
          <t>일반</t>
        </is>
      </c>
      <c r="C146" s="1015" t="n"/>
      <c r="D146" s="1014" t="n"/>
      <c r="E146" s="1038" t="n"/>
      <c r="F146" s="1014" t="n"/>
      <c r="G146" s="1010" t="n"/>
      <c r="H146" s="1014" t="n"/>
      <c r="I146" s="1010" t="n"/>
      <c r="J146" s="1014" t="n"/>
      <c r="K146" s="1010" t="n"/>
      <c r="L146" s="1170" t="n"/>
      <c r="M146" s="1038" t="n"/>
      <c r="N146" s="1119" t="n"/>
      <c r="O146" s="830" t="n"/>
      <c r="P146" s="1171" t="inlineStr">
        <is>
          <t>사망</t>
        </is>
      </c>
      <c r="Q146" s="125" t="inlineStr">
        <is>
          <t>일반</t>
        </is>
      </c>
      <c r="R146" s="957">
        <f>R94+C146+E146+G146+I146+K146+M146</f>
        <v/>
      </c>
    </row>
    <row r="147" ht="15" customHeight="1" s="797">
      <c r="A147" s="832" t="n"/>
      <c r="B147" s="156" t="inlineStr">
        <is>
          <t>질병</t>
        </is>
      </c>
      <c r="C147" s="1022" t="n"/>
      <c r="D147" s="1021" t="n"/>
      <c r="E147" s="1017" t="n"/>
      <c r="F147" s="1021" t="n"/>
      <c r="G147" s="1017" t="n"/>
      <c r="H147" s="1172" t="n"/>
      <c r="I147" s="1017" t="n"/>
      <c r="J147" s="1021" t="n"/>
      <c r="K147" s="1017" t="n"/>
      <c r="L147" s="1173" t="n"/>
      <c r="M147" s="1017" t="n"/>
      <c r="N147" s="1113" t="n"/>
      <c r="O147" s="830" t="n"/>
      <c r="P147" s="832" t="n"/>
      <c r="Q147" s="126" t="inlineStr">
        <is>
          <t>질병</t>
        </is>
      </c>
      <c r="R147" s="959">
        <f>R95+C147+E147+G147+I147+K147+M147</f>
        <v/>
      </c>
    </row>
    <row r="148" ht="15" customHeight="1" s="797" thickBot="1">
      <c r="A148" s="841" t="n"/>
      <c r="B148" s="157" t="inlineStr">
        <is>
          <t>재해/상해</t>
        </is>
      </c>
      <c r="C148" s="1079" t="n"/>
      <c r="D148" s="1039" t="n"/>
      <c r="E148" s="1024" t="n"/>
      <c r="F148" s="1029" t="n"/>
      <c r="G148" s="1024" t="n"/>
      <c r="H148" s="1174" t="n"/>
      <c r="I148" s="1024" t="n"/>
      <c r="J148" s="1175" t="n"/>
      <c r="K148" s="1024" t="n"/>
      <c r="L148" s="1115" t="n"/>
      <c r="M148" s="1024" t="n"/>
      <c r="N148" s="1116" t="n"/>
      <c r="O148" s="830" t="n"/>
      <c r="P148" s="841" t="n"/>
      <c r="Q148" s="127" t="inlineStr">
        <is>
          <t>상해</t>
        </is>
      </c>
      <c r="R148" s="963">
        <f>R96+C148+E148+G148+I148+K148+M148</f>
        <v/>
      </c>
    </row>
    <row r="149" ht="15" customHeight="1" s="797">
      <c r="A149" s="746" t="inlineStr">
        <is>
          <t>수술비</t>
        </is>
      </c>
      <c r="B149" s="158" t="inlineStr">
        <is>
          <t>질병</t>
        </is>
      </c>
      <c r="C149" s="1015" t="n"/>
      <c r="D149" s="1014" t="n"/>
      <c r="E149" s="1010" t="n"/>
      <c r="F149" s="1014" t="n"/>
      <c r="G149" s="1010" t="n"/>
      <c r="H149" s="1014" t="n"/>
      <c r="I149" s="1010" t="n"/>
      <c r="J149" s="1176" t="n"/>
      <c r="K149" s="1010" t="n"/>
      <c r="L149" s="1109" t="n"/>
      <c r="M149" s="1010" t="n"/>
      <c r="N149" s="1110" t="n"/>
      <c r="O149" s="830" t="n"/>
      <c r="P149" s="779" t="inlineStr">
        <is>
          <t>수술비</t>
        </is>
      </c>
      <c r="Q149" s="128" t="inlineStr">
        <is>
          <t>질병</t>
        </is>
      </c>
      <c r="R149" s="957">
        <f>R97+C149+E149+G149+I149+K149+M149</f>
        <v/>
      </c>
    </row>
    <row r="150" ht="15" customHeight="1" s="797">
      <c r="A150" s="832" t="n"/>
      <c r="B150" s="158" t="inlineStr">
        <is>
          <t>상해</t>
        </is>
      </c>
      <c r="C150" s="1022" t="n"/>
      <c r="D150" s="1021" t="n"/>
      <c r="E150" s="1017" t="n"/>
      <c r="F150" s="1039" t="n"/>
      <c r="G150" s="1017" t="n"/>
      <c r="H150" s="1021" t="n"/>
      <c r="I150" s="1017" t="n"/>
      <c r="J150" s="1177" t="n"/>
      <c r="K150" s="1017" t="n"/>
      <c r="L150" s="1112" t="n"/>
      <c r="M150" s="1017" t="n"/>
      <c r="N150" s="1113" t="n"/>
      <c r="O150" s="830" t="n"/>
      <c r="P150" s="832" t="n"/>
      <c r="Q150" s="129" t="inlineStr">
        <is>
          <t>상해</t>
        </is>
      </c>
      <c r="R150" s="959">
        <f>R98+C150+E150+G150+I150+K150+M150</f>
        <v/>
      </c>
    </row>
    <row r="151" ht="15" customHeight="1" s="797">
      <c r="A151" s="832" t="n"/>
      <c r="B151" s="158" t="inlineStr">
        <is>
          <t>1~5종</t>
        </is>
      </c>
      <c r="C151" s="1022" t="n"/>
      <c r="D151" s="1021" t="n"/>
      <c r="E151" s="1017" t="n"/>
      <c r="F151" s="1039" t="n"/>
      <c r="G151" s="1017" t="n"/>
      <c r="H151" s="1162" t="n"/>
      <c r="I151" s="1038" t="n"/>
      <c r="J151" s="1178" t="n"/>
      <c r="K151" s="1038" t="n"/>
      <c r="L151" s="1179" t="n"/>
      <c r="M151" s="1180" t="n"/>
      <c r="N151" s="1119" t="n"/>
      <c r="O151" s="830" t="n"/>
      <c r="P151" s="832" t="n"/>
      <c r="Q151" s="129" t="inlineStr">
        <is>
          <t>1~5종</t>
        </is>
      </c>
      <c r="R151" s="959">
        <f>R99+C151+E151+G151+I151+K151+M151</f>
        <v/>
      </c>
    </row>
    <row r="152" ht="15" customHeight="1" s="797" thickBot="1">
      <c r="A152" s="832" t="n"/>
      <c r="B152" s="159" t="inlineStr">
        <is>
          <t>64대 이상</t>
        </is>
      </c>
      <c r="C152" s="1045" t="n"/>
      <c r="D152" s="1136" t="n"/>
      <c r="E152" s="1043" t="n"/>
      <c r="F152" s="1136" t="n"/>
      <c r="G152" s="1043" t="n"/>
      <c r="H152" s="1181" t="n"/>
      <c r="I152" s="1044" t="n"/>
      <c r="J152" s="1182" t="n"/>
      <c r="K152" s="1044" t="n"/>
      <c r="L152" s="1183" t="n"/>
      <c r="M152" s="1043" t="n"/>
      <c r="N152" s="1138" t="n"/>
      <c r="O152" s="830" t="n"/>
      <c r="P152" s="832" t="n"/>
      <c r="Q152" s="130" t="inlineStr">
        <is>
          <t>64대 이상</t>
        </is>
      </c>
      <c r="R152" s="963">
        <f>R100+C152+E152+G152+I152+K152+M152</f>
        <v/>
      </c>
    </row>
    <row r="153" ht="15" customHeight="1" s="797">
      <c r="A153" s="748" t="inlineStr">
        <is>
          <t>진단비</t>
        </is>
      </c>
      <c r="B153" s="160" t="inlineStr">
        <is>
          <t>골절</t>
        </is>
      </c>
      <c r="C153" s="1010" t="n"/>
      <c r="D153" s="1014" t="n"/>
      <c r="E153" s="1010" t="n"/>
      <c r="F153" s="1014" t="n"/>
      <c r="G153" s="1010" t="n"/>
      <c r="H153" s="1014" t="n"/>
      <c r="I153" s="1010" t="n"/>
      <c r="J153" s="1176" t="n"/>
      <c r="K153" s="1010" t="n"/>
      <c r="L153" s="1109" t="n"/>
      <c r="M153" s="1010" t="n"/>
      <c r="N153" s="1110" t="n"/>
      <c r="O153" s="830" t="n"/>
      <c r="P153" s="782" t="inlineStr">
        <is>
          <t>진단비</t>
        </is>
      </c>
      <c r="Q153" s="131" t="inlineStr">
        <is>
          <t>골절</t>
        </is>
      </c>
      <c r="R153" s="957">
        <f>R101+C153+E153+G153+I153+K153+M153</f>
        <v/>
      </c>
    </row>
    <row r="154" ht="15" customHeight="1" s="797" thickBot="1">
      <c r="A154" s="832" t="n"/>
      <c r="B154" s="161" t="inlineStr">
        <is>
          <t>화상</t>
        </is>
      </c>
      <c r="C154" s="1184" t="n"/>
      <c r="D154" s="1029" t="n"/>
      <c r="E154" s="1075" t="n"/>
      <c r="F154" s="1142" t="n"/>
      <c r="G154" s="1075" t="n"/>
      <c r="H154" s="1142" t="n"/>
      <c r="I154" s="1075" t="n"/>
      <c r="J154" s="1185" t="n"/>
      <c r="K154" s="1075" t="n"/>
      <c r="L154" s="1186" t="n"/>
      <c r="M154" s="1075" t="n"/>
      <c r="N154" s="1144" t="n"/>
      <c r="O154" s="830" t="n"/>
      <c r="P154" s="832" t="n"/>
      <c r="Q154" s="132" t="inlineStr">
        <is>
          <t>화상</t>
        </is>
      </c>
      <c r="R154" s="963">
        <f>R102+C154+E154+G154+I154+K154+M154</f>
        <v/>
      </c>
    </row>
    <row r="155" ht="15" customHeight="1" s="797">
      <c r="A155" s="1187" t="inlineStr">
        <is>
          <t>입원일당</t>
        </is>
      </c>
      <c r="B155" s="162" t="inlineStr">
        <is>
          <t>질병</t>
        </is>
      </c>
      <c r="C155" s="1015" t="n"/>
      <c r="D155" s="1014" t="n"/>
      <c r="E155" s="1015" t="n"/>
      <c r="F155" s="1014" t="n"/>
      <c r="G155" s="1015" t="n"/>
      <c r="H155" s="1014" t="n"/>
      <c r="I155" s="1015" t="n"/>
      <c r="J155" s="1176" t="n"/>
      <c r="K155" s="1010" t="n"/>
      <c r="L155" s="1109" t="n"/>
      <c r="M155" s="1010" t="n"/>
      <c r="N155" s="1110" t="n"/>
      <c r="O155" s="830" t="n"/>
      <c r="P155" s="1188" t="inlineStr">
        <is>
          <t>입원일당</t>
        </is>
      </c>
      <c r="Q155" s="133" t="inlineStr">
        <is>
          <t>질병</t>
        </is>
      </c>
      <c r="R155" s="957">
        <f>R103+C155+E155+G155+I155+K155+M155</f>
        <v/>
      </c>
    </row>
    <row r="156" ht="15" customHeight="1" s="797" thickBot="1">
      <c r="A156" s="841" t="n"/>
      <c r="B156" s="163" t="inlineStr">
        <is>
          <t>재해/상해</t>
        </is>
      </c>
      <c r="C156" s="1027" t="n"/>
      <c r="D156" s="1029" t="n"/>
      <c r="E156" s="1027" t="n"/>
      <c r="F156" s="1029" t="n"/>
      <c r="G156" s="1027" t="n"/>
      <c r="H156" s="1029" t="n"/>
      <c r="I156" s="1027" t="n"/>
      <c r="J156" s="1175" t="n"/>
      <c r="K156" s="1024" t="n"/>
      <c r="L156" s="1115" t="n"/>
      <c r="M156" s="1024" t="n"/>
      <c r="N156" s="1116" t="n"/>
      <c r="O156" s="830" t="n"/>
      <c r="P156" s="841" t="n"/>
      <c r="Q156" s="134" t="inlineStr">
        <is>
          <t>재해/상해</t>
        </is>
      </c>
      <c r="R156" s="963">
        <f>R105+C156+E156+G156+I156+K156+M156</f>
        <v/>
      </c>
    </row>
    <row r="157" ht="15" customHeight="1" s="797">
      <c r="A157" s="1147" t="inlineStr">
        <is>
          <t>운전자</t>
        </is>
      </c>
      <c r="B157" s="144" t="inlineStr">
        <is>
          <t>벌금</t>
        </is>
      </c>
      <c r="C157" s="1022" t="n"/>
      <c r="D157" s="1014" t="n"/>
      <c r="E157" s="1010" t="n"/>
      <c r="F157" s="1014" t="n"/>
      <c r="G157" s="1010" t="n"/>
      <c r="H157" s="1014" t="n"/>
      <c r="I157" s="1010" t="n"/>
      <c r="J157" s="1176" t="n"/>
      <c r="K157" s="1010" t="n"/>
      <c r="L157" s="1189" t="n"/>
      <c r="M157" s="1010" t="n"/>
      <c r="N157" s="1110" t="n"/>
      <c r="O157" s="830" t="n"/>
      <c r="P157" s="1190" t="inlineStr">
        <is>
          <t>운전자</t>
        </is>
      </c>
      <c r="Q157" s="114" t="inlineStr">
        <is>
          <t>벌금</t>
        </is>
      </c>
      <c r="R157" s="957">
        <f>R106+C157+E157+G157+I157+K157+M157</f>
        <v/>
      </c>
    </row>
    <row r="158" ht="15" customHeight="1" s="797">
      <c r="A158" s="832" t="n"/>
      <c r="B158" s="144" t="inlineStr">
        <is>
          <t>변호사선임</t>
        </is>
      </c>
      <c r="C158" s="1022" t="n"/>
      <c r="D158" s="1021" t="n"/>
      <c r="E158" s="1017" t="n"/>
      <c r="F158" s="1021" t="n"/>
      <c r="G158" s="1017" t="n"/>
      <c r="H158" s="1021" t="n"/>
      <c r="I158" s="1017" t="n"/>
      <c r="J158" s="1177" t="n"/>
      <c r="K158" s="1017" t="n"/>
      <c r="L158" s="1191" t="n"/>
      <c r="M158" s="1017" t="n"/>
      <c r="N158" s="1113" t="n"/>
      <c r="O158" s="830" t="n"/>
      <c r="P158" s="832" t="n"/>
      <c r="Q158" s="114" t="inlineStr">
        <is>
          <t>변호사선임</t>
        </is>
      </c>
      <c r="R158" s="959">
        <f>R107+C158+E158+G158+I158+K158+M158</f>
        <v/>
      </c>
    </row>
    <row r="159" ht="15" customHeight="1" s="797" thickBot="1">
      <c r="A159" s="841" t="n"/>
      <c r="B159" s="164" t="inlineStr">
        <is>
          <t>교통사고처리지원</t>
        </is>
      </c>
      <c r="C159" s="1022" t="n"/>
      <c r="D159" s="1021" t="n"/>
      <c r="E159" s="1038" t="n"/>
      <c r="F159" s="1039" t="n"/>
      <c r="G159" s="1038" t="n"/>
      <c r="H159" s="1039" t="n"/>
      <c r="I159" s="1038" t="n"/>
      <c r="J159" s="1178" t="n"/>
      <c r="K159" s="1038" t="n"/>
      <c r="L159" s="1179" t="n"/>
      <c r="M159" s="1038" t="n"/>
      <c r="N159" s="1119" t="n"/>
      <c r="O159" s="830" t="n"/>
      <c r="P159" s="841" t="n"/>
      <c r="Q159" s="135" t="inlineStr">
        <is>
          <t>교통사고처리지원</t>
        </is>
      </c>
      <c r="R159" s="963">
        <f>R108+C159+E159+G159+I159+K159+M159</f>
        <v/>
      </c>
    </row>
    <row r="160" ht="15" customHeight="1" s="797" thickBot="1">
      <c r="A160" s="735" t="inlineStr">
        <is>
          <t>일상생활배상책임</t>
        </is>
      </c>
      <c r="B160" s="919" t="n"/>
      <c r="C160" s="1089" t="n"/>
      <c r="D160" s="1127" t="n"/>
      <c r="E160" s="1089" t="n"/>
      <c r="F160" s="1127" t="n"/>
      <c r="G160" s="1089" t="n"/>
      <c r="H160" s="1127" t="n"/>
      <c r="I160" s="1089" t="n"/>
      <c r="J160" s="1192" t="n"/>
      <c r="K160" s="1089" t="n"/>
      <c r="L160" s="1193" t="n"/>
      <c r="M160" s="1089" t="n"/>
      <c r="N160" s="1194" t="n"/>
      <c r="O160" s="830" t="n"/>
      <c r="P160" s="777" t="inlineStr">
        <is>
          <t>일상생활배상책임</t>
        </is>
      </c>
      <c r="Q160" s="919" t="n"/>
      <c r="R160" s="1148">
        <f>R109+C160+E160+G160+I160+K160+M160</f>
        <v/>
      </c>
    </row>
    <row r="161" ht="15" customHeight="1" s="797">
      <c r="A161" s="1149" t="inlineStr">
        <is>
          <t>기타</t>
        </is>
      </c>
      <c r="B161" s="937" t="n"/>
      <c r="C161" s="1195" t="n"/>
      <c r="D161" s="1163" t="n"/>
      <c r="E161" s="1196" t="n"/>
      <c r="F161" s="1197" t="n"/>
      <c r="G161" s="1098" t="n"/>
      <c r="H161" s="1021" t="n"/>
      <c r="I161" s="1198" t="n"/>
      <c r="J161" s="1176" t="n"/>
      <c r="K161" s="1150" t="n"/>
      <c r="L161" s="1199" t="n"/>
      <c r="M161" s="1198" t="n"/>
      <c r="N161" s="1016" t="n"/>
      <c r="O161" s="830" t="n"/>
      <c r="P161" s="1151" t="inlineStr">
        <is>
          <t>기타</t>
        </is>
      </c>
      <c r="Q161" s="980" t="n"/>
      <c r="R161" s="937" t="n"/>
    </row>
    <row r="162" ht="15" customHeight="1" s="797">
      <c r="A162" s="804" t="n"/>
      <c r="B162" s="805" t="n"/>
      <c r="C162" s="1196" t="n"/>
      <c r="D162" s="1172" t="n"/>
      <c r="E162" s="1152" t="n"/>
      <c r="F162" s="1197" t="n"/>
      <c r="G162" s="1200" t="n"/>
      <c r="H162" s="1197" t="n"/>
      <c r="I162" s="1200" t="n"/>
      <c r="J162" s="1177" t="n"/>
      <c r="K162" s="1101" t="n"/>
      <c r="L162" s="1201" t="n"/>
      <c r="M162" s="1200" t="n"/>
      <c r="N162" s="1023" t="n"/>
      <c r="O162" s="830" t="n"/>
      <c r="P162" s="804" t="n"/>
      <c r="Q162" s="804" t="n"/>
      <c r="R162" s="805" t="n"/>
    </row>
    <row r="163" ht="15" customHeight="1" s="797">
      <c r="A163" s="804" t="n"/>
      <c r="B163" s="805" t="n"/>
      <c r="C163" s="1196" t="n"/>
      <c r="D163" s="1172" t="n"/>
      <c r="E163" s="1200" t="n"/>
      <c r="F163" s="1172" t="n"/>
      <c r="G163" s="1200" t="n"/>
      <c r="H163" s="1197" t="n"/>
      <c r="I163" s="1200" t="n"/>
      <c r="J163" s="1177" t="n"/>
      <c r="K163" s="1200" t="n"/>
      <c r="L163" s="1191" t="n"/>
      <c r="M163" s="1200" t="n"/>
      <c r="N163" s="1202" t="n"/>
      <c r="O163" s="830" t="n"/>
      <c r="P163" s="804" t="n"/>
      <c r="Q163" s="804" t="n"/>
      <c r="R163" s="805" t="n"/>
    </row>
    <row r="164" ht="15" customHeight="1" s="797" thickBot="1">
      <c r="A164" s="942" t="n"/>
      <c r="B164" s="946" t="n"/>
      <c r="C164" s="1203" t="n"/>
      <c r="D164" s="1174" t="n"/>
      <c r="E164" s="1204" t="n"/>
      <c r="F164" s="1174" t="n"/>
      <c r="G164" s="1204" t="n"/>
      <c r="H164" s="1166" t="n"/>
      <c r="I164" s="1204" t="n"/>
      <c r="J164" s="1174" t="n"/>
      <c r="K164" s="1204" t="n"/>
      <c r="L164" s="1205" t="n"/>
      <c r="M164" s="1204" t="n"/>
      <c r="N164" s="1206" t="n"/>
      <c r="O164" s="830" t="n"/>
      <c r="P164" s="942" t="n"/>
      <c r="Q164" s="942" t="n"/>
      <c r="R164" s="946" t="n"/>
    </row>
    <row r="165" ht="15" customHeight="1" s="797">
      <c r="A165" s="947">
        <f>A114</f>
        <v/>
      </c>
      <c r="B165" s="796" t="n"/>
      <c r="C165" s="994" t="n"/>
      <c r="D165" s="796" t="n"/>
      <c r="E165" s="994" t="n"/>
      <c r="F165" s="796" t="n"/>
      <c r="G165" s="994" t="n"/>
      <c r="H165" s="796" t="n"/>
      <c r="I165" s="994" t="n"/>
      <c r="J165" s="796" t="n"/>
      <c r="K165" s="994" t="n"/>
      <c r="L165" s="796" t="n"/>
      <c r="M165" s="994" t="n"/>
      <c r="N165" s="796" t="n"/>
      <c r="O165" s="138" t="n"/>
      <c r="P165" s="795" t="inlineStr">
        <is>
          <t>평가 기준일</t>
        </is>
      </c>
      <c r="Q165" s="796" t="n"/>
      <c r="R165" s="137">
        <f>R114</f>
        <v/>
      </c>
    </row>
    <row r="166" ht="15" customHeight="1" s="797">
      <c r="A166" s="647" t="inlineStr">
        <is>
          <t>상품명</t>
        </is>
      </c>
      <c r="B166" s="798" t="n"/>
      <c r="C166" s="754" t="n"/>
      <c r="D166" s="798" t="n"/>
      <c r="E166" s="754" t="n"/>
      <c r="F166" s="798" t="n"/>
      <c r="G166" s="754" t="n"/>
      <c r="H166" s="798" t="n"/>
      <c r="I166" s="754" t="n"/>
      <c r="J166" s="798" t="n"/>
      <c r="K166" s="754" t="n"/>
      <c r="L166" s="798" t="n"/>
      <c r="M166" s="754" t="n"/>
      <c r="N166" s="798" t="n"/>
      <c r="O166" s="25" t="n"/>
      <c r="P166" s="948" t="n"/>
      <c r="Q166" s="801" t="n"/>
      <c r="R166" s="802" t="n"/>
    </row>
    <row r="167" ht="15" customHeight="1" s="797">
      <c r="A167" s="647" t="inlineStr">
        <is>
          <t>계약자 / 피보험자</t>
        </is>
      </c>
      <c r="B167" s="798" t="n"/>
      <c r="C167" s="756" t="n"/>
      <c r="D167" s="798" t="n"/>
      <c r="E167" s="756" t="n"/>
      <c r="F167" s="798" t="n"/>
      <c r="G167" s="756" t="n"/>
      <c r="H167" s="798" t="n"/>
      <c r="I167" s="756" t="n"/>
      <c r="J167" s="798" t="n"/>
      <c r="K167" s="756" t="n"/>
      <c r="L167" s="798" t="n"/>
      <c r="M167" s="756" t="n"/>
      <c r="N167" s="798" t="n"/>
      <c r="O167" s="25" t="n"/>
      <c r="P167" s="804" t="n"/>
      <c r="R167" s="805" t="n"/>
    </row>
    <row r="168" ht="15" customHeight="1" s="797">
      <c r="A168" s="647" t="inlineStr">
        <is>
          <t>계약일자</t>
        </is>
      </c>
      <c r="B168" s="798" t="n"/>
      <c r="C168" s="756" t="n"/>
      <c r="D168" s="798" t="n"/>
      <c r="E168" s="756" t="n"/>
      <c r="F168" s="798" t="n"/>
      <c r="G168" s="756" t="n"/>
      <c r="H168" s="798" t="n"/>
      <c r="I168" s="756" t="n"/>
      <c r="J168" s="798" t="n"/>
      <c r="K168" s="756" t="n"/>
      <c r="L168" s="798" t="n"/>
      <c r="M168" s="756" t="n"/>
      <c r="N168" s="798" t="n"/>
      <c r="O168" s="25" t="n"/>
      <c r="P168" s="804" t="n"/>
      <c r="R168" s="805" t="n"/>
    </row>
    <row r="169" ht="15" customHeight="1" s="797">
      <c r="A169" s="647" t="inlineStr">
        <is>
          <t>납입기간 / 기납입기간</t>
        </is>
      </c>
      <c r="B169" s="798" t="n"/>
      <c r="C169" s="997" t="n"/>
      <c r="D169" s="1000">
        <f>IF(DATEDIF(C168,$R$1,"m")&lt;C169*12,DATEDIF(C168,$R$1,"m"),C169*12)</f>
        <v/>
      </c>
      <c r="E169" s="997" t="n"/>
      <c r="F169" s="1000">
        <f>IF(DATEDIF(E168,$R$1,"m")&lt;E169*12,DATEDIF(E168,$R$1,"m"),E169*12)</f>
        <v/>
      </c>
      <c r="G169" s="997" t="n"/>
      <c r="H169" s="1000">
        <f>IF(DATEDIF(G168,$R$1,"m")&lt;G169*12,DATEDIF(G168,$R$1,"m"),G169*12)</f>
        <v/>
      </c>
      <c r="I169" s="997" t="n"/>
      <c r="J169" s="1000">
        <f>IF(DATEDIF(I168,$R$1,"m")&lt;I169*12,DATEDIF(I168,$R$1,"m"),I169*12)</f>
        <v/>
      </c>
      <c r="K169" s="997" t="n"/>
      <c r="L169" s="1000">
        <f>IF(DATEDIF(K168,$R$1,"m")&lt;K169*12,DATEDIF(K168,$R$1,"m"),K169*12)</f>
        <v/>
      </c>
      <c r="M169" s="997" t="n"/>
      <c r="N169" s="1106">
        <f>IF(DATEDIF(M168,$R$1,"m")&lt;M169*12,DATEDIF(M168,$R$1,"m"),M169*12)</f>
        <v/>
      </c>
      <c r="O169" s="25" t="n"/>
      <c r="P169" s="804" t="n"/>
      <c r="R169" s="805" t="n"/>
    </row>
    <row r="170" ht="15" customHeight="1" s="797">
      <c r="A170" s="647" t="inlineStr">
        <is>
          <t>보장기간</t>
        </is>
      </c>
      <c r="B170" s="798" t="n"/>
      <c r="C170" s="696" t="n"/>
      <c r="D170" s="798" t="n"/>
      <c r="E170" s="696" t="n"/>
      <c r="F170" s="798" t="n"/>
      <c r="G170" s="696" t="n"/>
      <c r="H170" s="798" t="n"/>
      <c r="I170" s="696" t="n"/>
      <c r="J170" s="798" t="n"/>
      <c r="K170" s="696" t="n"/>
      <c r="L170" s="798" t="n"/>
      <c r="M170" s="696" t="n"/>
      <c r="N170" s="798" t="n"/>
      <c r="O170" s="25" t="n"/>
      <c r="P170" s="808" t="n"/>
      <c r="Q170" s="809" t="n"/>
      <c r="R170" s="810" t="n"/>
    </row>
    <row r="171" ht="15" customHeight="1" s="797">
      <c r="A171" s="632" t="inlineStr">
        <is>
          <t>비고 / 갱신종류</t>
        </is>
      </c>
      <c r="B171" s="811" t="n"/>
      <c r="C171" s="1156" t="n"/>
      <c r="D171" s="798" t="n"/>
      <c r="E171" s="1156" t="n"/>
      <c r="F171" s="798" t="n"/>
      <c r="G171" s="1156" t="n"/>
      <c r="H171" s="798" t="n"/>
      <c r="I171" s="1156" t="n"/>
      <c r="J171" s="798" t="n"/>
      <c r="K171" s="1156" t="n"/>
      <c r="L171" s="798" t="n"/>
      <c r="M171" s="1157" t="n"/>
      <c r="N171" s="799" t="n"/>
      <c r="O171" s="25" t="n"/>
      <c r="P171" s="950" t="n"/>
      <c r="Q171" s="798" t="n"/>
      <c r="R171" s="27" t="inlineStr">
        <is>
          <t>총 보장 (원)</t>
        </is>
      </c>
    </row>
    <row r="172" ht="15" customHeight="1" s="797">
      <c r="A172" s="639" t="inlineStr">
        <is>
          <t>월 보험료</t>
        </is>
      </c>
      <c r="B172" s="798" t="n"/>
      <c r="C172" s="1004" t="n"/>
      <c r="D172" s="798" t="n"/>
      <c r="E172" s="1004" t="n"/>
      <c r="F172" s="798" t="n"/>
      <c r="G172" s="1004" t="n"/>
      <c r="H172" s="798" t="n"/>
      <c r="I172" s="1004" t="n"/>
      <c r="J172" s="798" t="n"/>
      <c r="K172" s="1004" t="n"/>
      <c r="L172" s="798" t="n"/>
      <c r="M172" s="1004" t="n"/>
      <c r="N172" s="798" t="n"/>
      <c r="O172" s="814" t="n"/>
      <c r="P172" s="982" t="inlineStr">
        <is>
          <t>합산 월 보험료</t>
        </is>
      </c>
      <c r="Q172" s="798" t="n"/>
      <c r="R172" s="951">
        <f>R121+C172+E172+G172+I172+K172+M172</f>
        <v/>
      </c>
    </row>
    <row r="173" ht="15" customHeight="1" s="797">
      <c r="A173" s="647" t="inlineStr">
        <is>
          <t>보험료 총액</t>
        </is>
      </c>
      <c r="B173" s="798" t="n"/>
      <c r="C173" s="1007">
        <f>C172*C169*12</f>
        <v/>
      </c>
      <c r="D173" s="798" t="n"/>
      <c r="E173" s="1007">
        <f>E172*E169*12</f>
        <v/>
      </c>
      <c r="F173" s="798" t="n"/>
      <c r="G173" s="1007">
        <f>G172*G169*12</f>
        <v/>
      </c>
      <c r="H173" s="798" t="n"/>
      <c r="I173" s="1007">
        <f>I172*I169*12</f>
        <v/>
      </c>
      <c r="J173" s="798" t="n"/>
      <c r="K173" s="1007">
        <f>K172*K169*12</f>
        <v/>
      </c>
      <c r="L173" s="798" t="n"/>
      <c r="M173" s="1009">
        <f>M172*M169*12</f>
        <v/>
      </c>
      <c r="N173" s="799" t="n"/>
      <c r="O173" s="814" t="n"/>
      <c r="P173" s="982" t="inlineStr">
        <is>
          <t>합산 보험료 총액</t>
        </is>
      </c>
      <c r="Q173" s="798" t="n"/>
      <c r="R173" s="952">
        <f>R122+C173+E173+G173+I173+K173+M173</f>
        <v/>
      </c>
    </row>
    <row r="174" ht="15" customHeight="1" s="797">
      <c r="A174" s="647" t="inlineStr">
        <is>
          <t>기 납입금</t>
        </is>
      </c>
      <c r="B174" s="798" t="n"/>
      <c r="C174" s="1007">
        <f>C172*D169</f>
        <v/>
      </c>
      <c r="D174" s="798" t="n"/>
      <c r="E174" s="1007">
        <f>E172*F169</f>
        <v/>
      </c>
      <c r="F174" s="798" t="n"/>
      <c r="G174" s="1007">
        <f>G172*H169</f>
        <v/>
      </c>
      <c r="H174" s="798" t="n"/>
      <c r="I174" s="1007">
        <f>I172*J169</f>
        <v/>
      </c>
      <c r="J174" s="798" t="n"/>
      <c r="K174" s="1007">
        <f>K172*L169</f>
        <v/>
      </c>
      <c r="L174" s="798" t="n"/>
      <c r="M174" s="1009">
        <f>M172*N169</f>
        <v/>
      </c>
      <c r="N174" s="799" t="n"/>
      <c r="O174" s="814" t="n"/>
      <c r="P174" s="982" t="inlineStr">
        <is>
          <t>합산 기 납입금</t>
        </is>
      </c>
      <c r="Q174" s="798" t="n"/>
      <c r="R174" s="952">
        <f>R123+C174+E174+G174+I174+K174+M174</f>
        <v/>
      </c>
    </row>
    <row r="175" ht="15" customHeight="1" s="797" thickBot="1">
      <c r="A175" s="632" t="inlineStr">
        <is>
          <t>미 납입금</t>
        </is>
      </c>
      <c r="B175" s="811" t="n"/>
      <c r="C175" s="1007">
        <f>C173-C174</f>
        <v/>
      </c>
      <c r="D175" s="798" t="n"/>
      <c r="E175" s="1007">
        <f>E173-E174</f>
        <v/>
      </c>
      <c r="F175" s="798" t="n"/>
      <c r="G175" s="1007">
        <f>G173-G174</f>
        <v/>
      </c>
      <c r="H175" s="798" t="n"/>
      <c r="I175" s="1007">
        <f>I173-I174</f>
        <v/>
      </c>
      <c r="J175" s="798" t="n"/>
      <c r="K175" s="1007">
        <f>K173-K174</f>
        <v/>
      </c>
      <c r="L175" s="798" t="n"/>
      <c r="M175" s="1009">
        <f>M173-M174</f>
        <v/>
      </c>
      <c r="N175" s="799" t="n"/>
      <c r="O175" s="814" t="n"/>
      <c r="P175" s="983" t="inlineStr">
        <is>
          <t>합산 미 납입금</t>
        </is>
      </c>
      <c r="Q175" s="954" t="n"/>
      <c r="R175" s="955">
        <f>R124+C175+E175+G175+I175+K175+M175</f>
        <v/>
      </c>
    </row>
    <row r="176" ht="15" customHeight="1" s="797">
      <c r="A176" s="1158" t="inlineStr">
        <is>
          <t>실비
(갱신형)</t>
        </is>
      </c>
      <c r="B176" s="139" t="inlineStr">
        <is>
          <t>상해급여의료비</t>
        </is>
      </c>
      <c r="C176" s="1015" t="n"/>
      <c r="D176" s="1014" t="n"/>
      <c r="E176" s="1010" t="n"/>
      <c r="F176" s="1014" t="n"/>
      <c r="G176" s="1010" t="n"/>
      <c r="H176" s="1014" t="n"/>
      <c r="I176" s="1010" t="n"/>
      <c r="J176" s="1014" t="n"/>
      <c r="K176" s="1010" t="n"/>
      <c r="L176" s="1109" t="n"/>
      <c r="M176" s="1010" t="n"/>
      <c r="N176" s="1110" t="n"/>
      <c r="O176" s="830" t="n"/>
      <c r="P176" s="1159" t="inlineStr">
        <is>
          <t>실비
(갱신형)</t>
        </is>
      </c>
      <c r="Q176" s="139" t="inlineStr">
        <is>
          <t>질병입원의료비</t>
        </is>
      </c>
      <c r="R176" s="957">
        <f>R125+C176+E176+G176+I176+K176+M176</f>
        <v/>
      </c>
    </row>
    <row r="177" ht="15" customHeight="1" s="797">
      <c r="A177" s="832" t="n"/>
      <c r="B177" s="140" t="inlineStr">
        <is>
          <t>질병급여의료비</t>
        </is>
      </c>
      <c r="C177" s="1022" t="n"/>
      <c r="D177" s="1021" t="n"/>
      <c r="E177" s="1017" t="n"/>
      <c r="F177" s="1021" t="n"/>
      <c r="G177" s="1017" t="n"/>
      <c r="H177" s="1021" t="n"/>
      <c r="I177" s="1017" t="n"/>
      <c r="J177" s="1021" t="n"/>
      <c r="K177" s="1017" t="n"/>
      <c r="L177" s="1112" t="n"/>
      <c r="M177" s="1017" t="n"/>
      <c r="N177" s="1113" t="n"/>
      <c r="O177" s="830" t="n"/>
      <c r="P177" s="832" t="n"/>
      <c r="Q177" s="140" t="inlineStr">
        <is>
          <t>질병통원의료비</t>
        </is>
      </c>
      <c r="R177" s="959">
        <f>R126+C177+E177+G177+I177+K177+M177</f>
        <v/>
      </c>
    </row>
    <row r="178" ht="15" customHeight="1" s="797">
      <c r="A178" s="832" t="n"/>
      <c r="B178" s="140" t="inlineStr">
        <is>
          <t>상해비급여의료비</t>
        </is>
      </c>
      <c r="C178" s="1022" t="n"/>
      <c r="D178" s="1021" t="n"/>
      <c r="E178" s="1022" t="n"/>
      <c r="F178" s="1021" t="n"/>
      <c r="G178" s="1017" t="n"/>
      <c r="H178" s="1021" t="n"/>
      <c r="I178" s="1017" t="n"/>
      <c r="J178" s="1021" t="n"/>
      <c r="K178" s="1017" t="n"/>
      <c r="L178" s="1112" t="n"/>
      <c r="M178" s="1017" t="n"/>
      <c r="N178" s="1113" t="n"/>
      <c r="O178" s="830" t="n"/>
      <c r="P178" s="832" t="n"/>
      <c r="Q178" s="140" t="inlineStr">
        <is>
          <t>상해입원의료비</t>
        </is>
      </c>
      <c r="R178" s="959">
        <f>R127+C178+E178+G178+I178+K178+M178</f>
        <v/>
      </c>
    </row>
    <row r="179" ht="15" customHeight="1" s="797">
      <c r="A179" s="832" t="n"/>
      <c r="B179" s="140" t="inlineStr">
        <is>
          <t>질병비급여의료비</t>
        </is>
      </c>
      <c r="C179" s="1022" t="n"/>
      <c r="D179" s="1021" t="n"/>
      <c r="E179" s="1022" t="n"/>
      <c r="F179" s="1021" t="n"/>
      <c r="G179" s="1017" t="n"/>
      <c r="H179" s="1021" t="n"/>
      <c r="I179" s="1017" t="n"/>
      <c r="J179" s="1021" t="n"/>
      <c r="K179" s="1017" t="n"/>
      <c r="L179" s="1112" t="n"/>
      <c r="M179" s="1017" t="n"/>
      <c r="N179" s="1113" t="n"/>
      <c r="O179" s="830" t="n"/>
      <c r="P179" s="832" t="n"/>
      <c r="Q179" s="140" t="inlineStr">
        <is>
          <t>상해통원의료비</t>
        </is>
      </c>
      <c r="R179" s="959">
        <f>R128+C179+E179+G179+I179+K179+M179</f>
        <v/>
      </c>
    </row>
    <row r="180" ht="15" customHeight="1" s="797" thickBot="1">
      <c r="A180" s="841" t="n"/>
      <c r="B180" s="141" t="inlineStr">
        <is>
          <t>3대비급여 의료비</t>
        </is>
      </c>
      <c r="C180" s="1027" t="n"/>
      <c r="D180" s="1029" t="n"/>
      <c r="E180" s="1027" t="n"/>
      <c r="F180" s="1029" t="n"/>
      <c r="G180" s="1024" t="n"/>
      <c r="H180" s="1029" t="n"/>
      <c r="I180" s="1024" t="n"/>
      <c r="J180" s="1029" t="n"/>
      <c r="K180" s="1024" t="n"/>
      <c r="L180" s="1115" t="n"/>
      <c r="M180" s="1024" t="n"/>
      <c r="N180" s="1116" t="n"/>
      <c r="O180" s="830" t="n"/>
      <c r="P180" s="841" t="n"/>
      <c r="Q180" s="141" t="inlineStr">
        <is>
          <t>3대비급여 의료비</t>
        </is>
      </c>
      <c r="R180" s="963">
        <f>R129+C180+E180+G180+I180+K180+M180</f>
        <v/>
      </c>
    </row>
    <row r="181" ht="15" customHeight="1" s="797">
      <c r="A181" s="626" t="inlineStr">
        <is>
          <t>암</t>
        </is>
      </c>
      <c r="B181" s="142" t="inlineStr">
        <is>
          <t>일반암</t>
        </is>
      </c>
      <c r="C181" s="1010" t="n"/>
      <c r="D181" s="1014" t="n"/>
      <c r="E181" s="1010" t="n"/>
      <c r="F181" s="1014" t="n"/>
      <c r="G181" s="1010" t="n"/>
      <c r="H181" s="1160" t="n"/>
      <c r="I181" s="1010" t="n"/>
      <c r="J181" s="1014" t="n"/>
      <c r="K181" s="1010" t="n"/>
      <c r="L181" s="1109" t="n"/>
      <c r="M181" s="1010" t="n"/>
      <c r="N181" s="1110" t="n"/>
      <c r="O181" s="830" t="n"/>
      <c r="P181" s="772">
        <f>A181</f>
        <v/>
      </c>
      <c r="Q181" s="112" t="inlineStr">
        <is>
          <t>일반암</t>
        </is>
      </c>
      <c r="R181" s="957">
        <f>R130+C181+E181+G181+I181+K181+M181</f>
        <v/>
      </c>
    </row>
    <row r="182" ht="15" customHeight="1" s="797">
      <c r="A182" s="832" t="n"/>
      <c r="B182" s="143" t="inlineStr">
        <is>
          <t>소액암</t>
        </is>
      </c>
      <c r="C182" s="1079" t="n"/>
      <c r="D182" s="1039" t="n"/>
      <c r="E182" s="1017" t="n"/>
      <c r="F182" s="1039" t="n"/>
      <c r="G182" s="1017" t="n"/>
      <c r="H182" s="1161" t="n"/>
      <c r="I182" s="1017" t="n"/>
      <c r="J182" s="1039" t="n"/>
      <c r="K182" s="1038" t="n"/>
      <c r="L182" s="1118" t="n"/>
      <c r="M182" s="1038" t="n"/>
      <c r="N182" s="1119" t="n"/>
      <c r="O182" s="830" t="n"/>
      <c r="P182" s="832" t="n"/>
      <c r="Q182" s="113" t="inlineStr">
        <is>
          <t>소액암</t>
        </is>
      </c>
      <c r="R182" s="959">
        <f>R131+C182+E182+G182+I182+K182+M182</f>
        <v/>
      </c>
    </row>
    <row r="183" ht="15" customHeight="1" s="797">
      <c r="A183" s="832" t="n"/>
      <c r="B183" s="143" t="inlineStr">
        <is>
          <t>암수술비</t>
        </is>
      </c>
      <c r="C183" s="1079" t="n"/>
      <c r="D183" s="1039" t="n"/>
      <c r="E183" s="1038" t="n"/>
      <c r="F183" s="1039" t="n"/>
      <c r="G183" s="1017" t="n"/>
      <c r="H183" s="1162" t="n"/>
      <c r="I183" s="1038" t="n"/>
      <c r="J183" s="1039" t="n"/>
      <c r="K183" s="1038" t="n"/>
      <c r="L183" s="1118" t="n"/>
      <c r="M183" s="1038" t="n"/>
      <c r="N183" s="1119" t="n"/>
      <c r="O183" s="830" t="n"/>
      <c r="P183" s="832" t="n"/>
      <c r="Q183" s="113" t="inlineStr">
        <is>
          <t>암수술비</t>
        </is>
      </c>
      <c r="R183" s="959">
        <f>R132+C183+E183+G183+I183+K183+M183</f>
        <v/>
      </c>
    </row>
    <row r="184" ht="15" customHeight="1" s="797">
      <c r="A184" s="832" t="n"/>
      <c r="B184" s="143" t="inlineStr">
        <is>
          <t>항암치료비</t>
        </is>
      </c>
      <c r="C184" s="1079" t="n"/>
      <c r="D184" s="1039" t="n"/>
      <c r="E184" s="1017" t="n"/>
      <c r="F184" s="1039" t="n"/>
      <c r="G184" s="1038" t="n"/>
      <c r="H184" s="1162" t="n"/>
      <c r="I184" s="1079" t="n"/>
      <c r="J184" s="1039" t="n"/>
      <c r="K184" s="1038" t="n"/>
      <c r="L184" s="1118" t="n"/>
      <c r="M184" s="1038" t="n"/>
      <c r="N184" s="1119" t="n"/>
      <c r="O184" s="830" t="n"/>
      <c r="P184" s="832" t="n"/>
      <c r="Q184" s="113" t="inlineStr">
        <is>
          <t>항암치료비</t>
        </is>
      </c>
      <c r="R184" s="959">
        <f>R133+C184+E184+G184+I184+K184+M184</f>
        <v/>
      </c>
    </row>
    <row r="185" ht="15" customHeight="1" s="797" thickBot="1">
      <c r="A185" s="832" t="n"/>
      <c r="B185" s="144" t="inlineStr">
        <is>
          <t>암입원비</t>
        </is>
      </c>
      <c r="C185" s="1027" t="n"/>
      <c r="D185" s="1029" t="n"/>
      <c r="E185" s="1024" t="n"/>
      <c r="F185" s="1039" t="n"/>
      <c r="G185" s="1024" t="n"/>
      <c r="H185" s="1162" t="n"/>
      <c r="I185" s="1024" t="n"/>
      <c r="J185" s="1039" t="n"/>
      <c r="K185" s="1038" t="n"/>
      <c r="L185" s="1118" t="n"/>
      <c r="M185" s="1038" t="n"/>
      <c r="N185" s="1119" t="n"/>
      <c r="O185" s="830" t="n"/>
      <c r="P185" s="832" t="n"/>
      <c r="Q185" s="114" t="inlineStr">
        <is>
          <t>암입원비</t>
        </is>
      </c>
      <c r="R185" s="963">
        <f>R134+C185+E185+G185+I185+K185+M185</f>
        <v/>
      </c>
    </row>
    <row r="186" ht="15" customHeight="1" s="797">
      <c r="A186" s="721" t="inlineStr">
        <is>
          <t>2대
질병</t>
        </is>
      </c>
      <c r="B186" s="145" t="inlineStr">
        <is>
          <t>뇌혈관</t>
        </is>
      </c>
      <c r="C186" s="1017" t="n"/>
      <c r="D186" s="1014" t="n"/>
      <c r="E186" s="1017" t="n"/>
      <c r="F186" s="1014" t="n"/>
      <c r="G186" s="1017" t="n"/>
      <c r="H186" s="1163" t="n"/>
      <c r="I186" s="1010" t="n"/>
      <c r="J186" s="1014" t="n"/>
      <c r="K186" s="1010" t="n"/>
      <c r="L186" s="1109" t="n"/>
      <c r="M186" s="1010" t="n"/>
      <c r="N186" s="1110" t="n"/>
      <c r="O186" s="830" t="n"/>
      <c r="P186" s="760">
        <f>A186</f>
        <v/>
      </c>
      <c r="Q186" s="115" t="inlineStr">
        <is>
          <t>뇌혈관</t>
        </is>
      </c>
      <c r="R186" s="957">
        <f>R135+C186+E186+G186+I186+K186+M186</f>
        <v/>
      </c>
    </row>
    <row r="187" ht="15" customHeight="1" s="797">
      <c r="A187" s="832" t="n"/>
      <c r="B187" s="146" t="inlineStr">
        <is>
          <t>뇌졸증</t>
        </is>
      </c>
      <c r="C187" s="1017" t="n"/>
      <c r="D187" s="1039" t="n"/>
      <c r="E187" s="1038" t="n"/>
      <c r="F187" s="1161" t="n"/>
      <c r="G187" s="1017" t="n"/>
      <c r="H187" s="1162" t="n"/>
      <c r="I187" s="1038" t="n"/>
      <c r="J187" s="1161" t="n"/>
      <c r="K187" s="1017" t="n"/>
      <c r="L187" s="1118" t="n"/>
      <c r="M187" s="1038" t="n"/>
      <c r="N187" s="1119" t="n"/>
      <c r="O187" s="830" t="n"/>
      <c r="P187" s="832" t="n"/>
      <c r="Q187" s="116" t="inlineStr">
        <is>
          <t>뇌졸증</t>
        </is>
      </c>
      <c r="R187" s="959">
        <f>R136+C187+E187+G187+I187+K187+M187</f>
        <v/>
      </c>
    </row>
    <row r="188" ht="15" customHeight="1" s="797" thickBot="1">
      <c r="A188" s="832" t="n"/>
      <c r="B188" s="147" t="inlineStr">
        <is>
          <t>뇌출혈</t>
        </is>
      </c>
      <c r="C188" s="1044" t="n"/>
      <c r="D188" s="1164" t="n"/>
      <c r="E188" s="1044" t="n"/>
      <c r="F188" s="1122" t="n"/>
      <c r="G188" s="1044" t="n"/>
      <c r="H188" s="1165" t="n"/>
      <c r="I188" s="1044" t="n"/>
      <c r="J188" s="1164" t="n"/>
      <c r="K188" s="1044" t="n"/>
      <c r="L188" s="1123" t="n"/>
      <c r="M188" s="1044" t="n"/>
      <c r="N188" s="1124" t="n"/>
      <c r="O188" s="830" t="n"/>
      <c r="P188" s="832" t="n"/>
      <c r="Q188" s="117" t="inlineStr">
        <is>
          <t>뇌출혈</t>
        </is>
      </c>
      <c r="R188" s="963">
        <f>R137+C188+E188+G188+I188+K188+M188</f>
        <v/>
      </c>
    </row>
    <row r="189" ht="15" customHeight="1" s="797">
      <c r="A189" s="832" t="n"/>
      <c r="B189" s="148" t="inlineStr">
        <is>
          <t>심장질환</t>
        </is>
      </c>
      <c r="C189" s="1010" t="n"/>
      <c r="D189" s="1014" t="n"/>
      <c r="E189" s="1010" t="n"/>
      <c r="F189" s="1014" t="n"/>
      <c r="G189" s="1010" t="n"/>
      <c r="H189" s="1163" t="n"/>
      <c r="I189" s="1010" t="n"/>
      <c r="J189" s="1014" t="n"/>
      <c r="K189" s="1010" t="n"/>
      <c r="L189" s="1109" t="n"/>
      <c r="M189" s="1010" t="n"/>
      <c r="N189" s="1110" t="n"/>
      <c r="O189" s="830" t="n"/>
      <c r="P189" s="832" t="n"/>
      <c r="Q189" s="118" t="inlineStr">
        <is>
          <t>심장질환</t>
        </is>
      </c>
      <c r="R189" s="957">
        <f>R138+C189+E189+G189+I189+K189+M189</f>
        <v/>
      </c>
    </row>
    <row r="190" ht="15" customHeight="1" s="797">
      <c r="A190" s="832" t="n"/>
      <c r="B190" s="149" t="inlineStr">
        <is>
          <t>허혈성심장</t>
        </is>
      </c>
      <c r="C190" s="1017" t="n"/>
      <c r="D190" s="1039" t="n"/>
      <c r="E190" s="1017" t="n"/>
      <c r="F190" s="1161" t="n"/>
      <c r="G190" s="1017" t="n"/>
      <c r="H190" s="1162" t="n"/>
      <c r="I190" s="1017" t="n"/>
      <c r="J190" s="1021" t="n"/>
      <c r="K190" s="1017" t="n"/>
      <c r="L190" s="1118" t="n"/>
      <c r="M190" s="1038" t="n"/>
      <c r="N190" s="1119" t="n"/>
      <c r="O190" s="830" t="n"/>
      <c r="P190" s="832" t="n"/>
      <c r="Q190" s="119" t="inlineStr">
        <is>
          <t>허혈성심장</t>
        </is>
      </c>
      <c r="R190" s="959">
        <f>R139+C190+E190+G190+I190+K190+M190</f>
        <v/>
      </c>
    </row>
    <row r="191" ht="15" customHeight="1" s="797" thickBot="1">
      <c r="A191" s="832" t="n"/>
      <c r="B191" s="165" t="inlineStr">
        <is>
          <t>급성심근경색</t>
        </is>
      </c>
      <c r="C191" s="1024" t="n"/>
      <c r="D191" s="1166" t="n"/>
      <c r="E191" s="1044" t="n"/>
      <c r="F191" s="1122" t="n"/>
      <c r="G191" s="1044" t="n"/>
      <c r="H191" s="1165" t="n"/>
      <c r="I191" s="1044" t="n"/>
      <c r="J191" s="1164" t="n"/>
      <c r="K191" s="1043" t="n"/>
      <c r="L191" s="1123" t="n"/>
      <c r="M191" s="1043" t="n"/>
      <c r="N191" s="1124" t="n"/>
      <c r="O191" s="830" t="n"/>
      <c r="P191" s="832" t="n"/>
      <c r="Q191" s="120" t="inlineStr">
        <is>
          <t>급성심근경색</t>
        </is>
      </c>
      <c r="R191" s="963">
        <f>R140+C191+E191+G191+I191+K191+M191</f>
        <v/>
      </c>
    </row>
    <row r="192" ht="15" customHeight="1" s="797" thickBot="1">
      <c r="A192" s="832" t="n"/>
      <c r="B192" s="166" t="inlineStr">
        <is>
          <t>뇌,심장 수술비</t>
        </is>
      </c>
      <c r="C192" s="1094" t="n"/>
      <c r="D192" s="1127" t="n"/>
      <c r="E192" s="1089" t="n"/>
      <c r="F192" s="1167" t="n"/>
      <c r="G192" s="1089" t="n"/>
      <c r="H192" s="1168" t="n"/>
      <c r="I192" s="1089" t="n"/>
      <c r="J192" s="1167" t="n"/>
      <c r="K192" s="1089" t="n"/>
      <c r="L192" s="1129" t="n"/>
      <c r="M192" s="1089" t="n"/>
      <c r="N192" s="1130" t="n"/>
      <c r="O192" s="830" t="n"/>
      <c r="P192" s="832" t="n"/>
      <c r="Q192" s="121" t="inlineStr">
        <is>
          <t>뇌,심장 수술비</t>
        </is>
      </c>
      <c r="R192" s="1131">
        <f>R141+C192+E192+G192+I192+K192+M192</f>
        <v/>
      </c>
    </row>
    <row r="193" ht="15" customHeight="1" s="797">
      <c r="A193" s="1132" t="inlineStr">
        <is>
          <t>후유장해</t>
        </is>
      </c>
      <c r="B193" s="152" t="inlineStr">
        <is>
          <t>질병 80% 이상</t>
        </is>
      </c>
      <c r="C193" s="1015" t="n"/>
      <c r="D193" s="1014" t="n"/>
      <c r="E193" s="1010" t="n"/>
      <c r="F193" s="1160" t="n"/>
      <c r="G193" s="1010" t="n"/>
      <c r="H193" s="1014" t="n"/>
      <c r="I193" s="1010" t="n"/>
      <c r="J193" s="1014" t="n"/>
      <c r="K193" s="1010" t="n"/>
      <c r="L193" s="1109" t="n"/>
      <c r="M193" s="1010" t="n"/>
      <c r="N193" s="1110" t="n"/>
      <c r="O193" s="830" t="n"/>
      <c r="P193" s="1169">
        <f>A193</f>
        <v/>
      </c>
      <c r="Q193" s="122" t="inlineStr">
        <is>
          <t>질병 80% 이상</t>
        </is>
      </c>
      <c r="R193" s="957">
        <f>R142+C193+E193+G193+I193+K193+M193</f>
        <v/>
      </c>
    </row>
    <row r="194" ht="15" customHeight="1" s="797">
      <c r="A194" s="832" t="n"/>
      <c r="B194" s="153" t="inlineStr">
        <is>
          <t>질병 80% 미만</t>
        </is>
      </c>
      <c r="C194" s="1022" t="n"/>
      <c r="D194" s="1021" t="n"/>
      <c r="E194" s="1017" t="n"/>
      <c r="F194" s="1161" t="n"/>
      <c r="G194" s="1017" t="n"/>
      <c r="H194" s="1021" t="n"/>
      <c r="I194" s="1017" t="n"/>
      <c r="J194" s="1021" t="n"/>
      <c r="K194" s="1017" t="n"/>
      <c r="L194" s="1112" t="n"/>
      <c r="M194" s="1017" t="n"/>
      <c r="N194" s="1113" t="n"/>
      <c r="O194" s="830" t="n"/>
      <c r="P194" s="832" t="n"/>
      <c r="Q194" s="123" t="inlineStr">
        <is>
          <t>질병 80% 미만</t>
        </is>
      </c>
      <c r="R194" s="959">
        <f>R143+C194+E194+G194+I194+K194+M194</f>
        <v/>
      </c>
    </row>
    <row r="195" ht="15" customHeight="1" s="797">
      <c r="A195" s="832" t="n"/>
      <c r="B195" s="153" t="inlineStr">
        <is>
          <t>재해/상해 80% 이상</t>
        </is>
      </c>
      <c r="C195" s="1022" t="n"/>
      <c r="D195" s="1021" t="n"/>
      <c r="E195" s="1017" t="n"/>
      <c r="F195" s="218" t="n"/>
      <c r="G195" s="1017" t="n"/>
      <c r="H195" s="1021" t="n"/>
      <c r="I195" s="1017" t="n"/>
      <c r="J195" s="1021" t="n"/>
      <c r="K195" s="1017" t="n"/>
      <c r="L195" s="1112" t="n"/>
      <c r="M195" s="1017" t="n"/>
      <c r="N195" s="1113" t="n"/>
      <c r="O195" s="830" t="n"/>
      <c r="P195" s="832" t="n"/>
      <c r="Q195" s="123" t="inlineStr">
        <is>
          <t>재해/상해 80% 이상</t>
        </is>
      </c>
      <c r="R195" s="959">
        <f>R144+C195+E195+G195+I195+K195+M195</f>
        <v/>
      </c>
    </row>
    <row r="196" ht="15" customHeight="1" s="797" thickBot="1">
      <c r="A196" s="841" t="n"/>
      <c r="B196" s="154" t="inlineStr">
        <is>
          <t>재해/상해 80% 미만</t>
        </is>
      </c>
      <c r="C196" s="1027" t="n"/>
      <c r="D196" s="1029" t="n"/>
      <c r="E196" s="1024" t="n"/>
      <c r="F196" s="1166" t="n"/>
      <c r="G196" s="1017" t="n"/>
      <c r="H196" s="1029" t="n"/>
      <c r="I196" s="1024" t="n"/>
      <c r="J196" s="1029" t="n"/>
      <c r="K196" s="1024" t="n"/>
      <c r="L196" s="1115" t="n"/>
      <c r="M196" s="1024" t="n"/>
      <c r="N196" s="1116" t="n"/>
      <c r="O196" s="830" t="n"/>
      <c r="P196" s="841" t="n"/>
      <c r="Q196" s="124" t="inlineStr">
        <is>
          <t>재해/상해 80% 미만</t>
        </is>
      </c>
      <c r="R196" s="963">
        <f>R145+C196+E196+G196+I196+K196+M196</f>
        <v/>
      </c>
    </row>
    <row r="197" ht="15" customHeight="1" s="797">
      <c r="A197" s="1133" t="inlineStr">
        <is>
          <t>사망</t>
        </is>
      </c>
      <c r="B197" s="155" t="inlineStr">
        <is>
          <t>일반</t>
        </is>
      </c>
      <c r="C197" s="1015" t="n"/>
      <c r="D197" s="1014" t="n"/>
      <c r="E197" s="1038" t="n"/>
      <c r="F197" s="1014" t="n"/>
      <c r="G197" s="1010" t="n"/>
      <c r="H197" s="1014" t="n"/>
      <c r="I197" s="1010" t="n"/>
      <c r="J197" s="1014" t="n"/>
      <c r="K197" s="1010" t="n"/>
      <c r="L197" s="1170" t="n"/>
      <c r="M197" s="1038" t="n"/>
      <c r="N197" s="1119" t="n"/>
      <c r="O197" s="830" t="n"/>
      <c r="P197" s="1171" t="inlineStr">
        <is>
          <t>사망</t>
        </is>
      </c>
      <c r="Q197" s="125" t="inlineStr">
        <is>
          <t>일반</t>
        </is>
      </c>
      <c r="R197" s="957">
        <f>R146+C197+E197+G197+I197+K197+M197</f>
        <v/>
      </c>
    </row>
    <row r="198" ht="15" customHeight="1" s="797">
      <c r="A198" s="832" t="n"/>
      <c r="B198" s="156" t="inlineStr">
        <is>
          <t>질병</t>
        </is>
      </c>
      <c r="C198" s="1022" t="n"/>
      <c r="D198" s="1021" t="n"/>
      <c r="E198" s="1017" t="n"/>
      <c r="F198" s="1021" t="n"/>
      <c r="G198" s="1017" t="n"/>
      <c r="H198" s="1172" t="n"/>
      <c r="I198" s="1017" t="n"/>
      <c r="J198" s="1021" t="n"/>
      <c r="K198" s="1017" t="n"/>
      <c r="L198" s="1173" t="n"/>
      <c r="M198" s="1017" t="n"/>
      <c r="N198" s="1113" t="n"/>
      <c r="O198" s="830" t="n"/>
      <c r="P198" s="832" t="n"/>
      <c r="Q198" s="126" t="inlineStr">
        <is>
          <t>질병</t>
        </is>
      </c>
      <c r="R198" s="959">
        <f>R147+C198+E198+G198+I198+K198+M198</f>
        <v/>
      </c>
    </row>
    <row r="199" ht="15" customHeight="1" s="797" thickBot="1">
      <c r="A199" s="841" t="n"/>
      <c r="B199" s="157" t="inlineStr">
        <is>
          <t>재해/상해</t>
        </is>
      </c>
      <c r="C199" s="1079" t="n"/>
      <c r="D199" s="1039" t="n"/>
      <c r="E199" s="1024" t="n"/>
      <c r="F199" s="1029" t="n"/>
      <c r="G199" s="1024" t="n"/>
      <c r="H199" s="1174" t="n"/>
      <c r="I199" s="1024" t="n"/>
      <c r="J199" s="1175" t="n"/>
      <c r="K199" s="1024" t="n"/>
      <c r="L199" s="1115" t="n"/>
      <c r="M199" s="1024" t="n"/>
      <c r="N199" s="1116" t="n"/>
      <c r="O199" s="830" t="n"/>
      <c r="P199" s="841" t="n"/>
      <c r="Q199" s="127" t="inlineStr">
        <is>
          <t>상해</t>
        </is>
      </c>
      <c r="R199" s="963">
        <f>R148+C199+E199+G199+I199+K199+M199</f>
        <v/>
      </c>
    </row>
    <row r="200" ht="15" customHeight="1" s="797">
      <c r="A200" s="746" t="inlineStr">
        <is>
          <t>수술비</t>
        </is>
      </c>
      <c r="B200" s="158" t="inlineStr">
        <is>
          <t>질병</t>
        </is>
      </c>
      <c r="C200" s="1015" t="n"/>
      <c r="D200" s="1014" t="n"/>
      <c r="E200" s="1010" t="n"/>
      <c r="F200" s="1014" t="n"/>
      <c r="G200" s="1010" t="n"/>
      <c r="H200" s="1014" t="n"/>
      <c r="I200" s="1010" t="n"/>
      <c r="J200" s="1176" t="n"/>
      <c r="K200" s="1010" t="n"/>
      <c r="L200" s="1109" t="n"/>
      <c r="M200" s="1010" t="n"/>
      <c r="N200" s="1110" t="n"/>
      <c r="O200" s="830" t="n"/>
      <c r="P200" s="779" t="inlineStr">
        <is>
          <t>수술비</t>
        </is>
      </c>
      <c r="Q200" s="128" t="inlineStr">
        <is>
          <t>질병</t>
        </is>
      </c>
      <c r="R200" s="957">
        <f>R149+C200+E200+G200+I200+K200+M200</f>
        <v/>
      </c>
    </row>
    <row r="201" ht="15" customHeight="1" s="797">
      <c r="A201" s="832" t="n"/>
      <c r="B201" s="158" t="inlineStr">
        <is>
          <t>상해</t>
        </is>
      </c>
      <c r="C201" s="1022" t="n"/>
      <c r="D201" s="1021" t="n"/>
      <c r="E201" s="1017" t="n"/>
      <c r="F201" s="1039" t="n"/>
      <c r="G201" s="1017" t="n"/>
      <c r="H201" s="1021" t="n"/>
      <c r="I201" s="1017" t="n"/>
      <c r="J201" s="1177" t="n"/>
      <c r="K201" s="1017" t="n"/>
      <c r="L201" s="1112" t="n"/>
      <c r="M201" s="1017" t="n"/>
      <c r="N201" s="1113" t="n"/>
      <c r="O201" s="830" t="n"/>
      <c r="P201" s="832" t="n"/>
      <c r="Q201" s="129" t="inlineStr">
        <is>
          <t>상해</t>
        </is>
      </c>
      <c r="R201" s="959">
        <f>R150+C201+E201+G201+I201+K201+M201</f>
        <v/>
      </c>
    </row>
    <row r="202" ht="15" customHeight="1" s="797">
      <c r="A202" s="832" t="n"/>
      <c r="B202" s="158" t="inlineStr">
        <is>
          <t>1~5종</t>
        </is>
      </c>
      <c r="C202" s="1022" t="n"/>
      <c r="D202" s="1021" t="n"/>
      <c r="E202" s="1017" t="n"/>
      <c r="F202" s="1039" t="n"/>
      <c r="G202" s="1017" t="n"/>
      <c r="H202" s="1162" t="n"/>
      <c r="I202" s="1038" t="n"/>
      <c r="J202" s="1178" t="n"/>
      <c r="K202" s="1038" t="n"/>
      <c r="L202" s="1179" t="n"/>
      <c r="M202" s="1180" t="n"/>
      <c r="N202" s="1119" t="n"/>
      <c r="O202" s="830" t="n"/>
      <c r="P202" s="832" t="n"/>
      <c r="Q202" s="129" t="inlineStr">
        <is>
          <t>1~5종</t>
        </is>
      </c>
      <c r="R202" s="959">
        <f>R151+C202+E202+G202+I202+K202+M202</f>
        <v/>
      </c>
    </row>
    <row r="203" ht="15" customHeight="1" s="797" thickBot="1">
      <c r="A203" s="832" t="n"/>
      <c r="B203" s="159" t="inlineStr">
        <is>
          <t>64대 이상</t>
        </is>
      </c>
      <c r="C203" s="1045" t="n"/>
      <c r="D203" s="1136" t="n"/>
      <c r="E203" s="1043" t="n"/>
      <c r="F203" s="1136" t="n"/>
      <c r="G203" s="1043" t="n"/>
      <c r="H203" s="1181" t="n"/>
      <c r="I203" s="1044" t="n"/>
      <c r="J203" s="1182" t="n"/>
      <c r="K203" s="1044" t="n"/>
      <c r="L203" s="1183" t="n"/>
      <c r="M203" s="1043" t="n"/>
      <c r="N203" s="1138" t="n"/>
      <c r="O203" s="830" t="n"/>
      <c r="P203" s="832" t="n"/>
      <c r="Q203" s="130" t="inlineStr">
        <is>
          <t>64대 이상</t>
        </is>
      </c>
      <c r="R203" s="963">
        <f>R152+C203+E203+G203+I203+K203+M203</f>
        <v/>
      </c>
    </row>
    <row r="204" ht="15" customHeight="1" s="797">
      <c r="A204" s="748" t="inlineStr">
        <is>
          <t>진단비</t>
        </is>
      </c>
      <c r="B204" s="160" t="inlineStr">
        <is>
          <t>골절</t>
        </is>
      </c>
      <c r="C204" s="1010" t="n"/>
      <c r="D204" s="1014" t="n"/>
      <c r="E204" s="1010" t="n"/>
      <c r="F204" s="1014" t="n"/>
      <c r="G204" s="1010" t="n"/>
      <c r="H204" s="1014" t="n"/>
      <c r="I204" s="1010" t="n"/>
      <c r="J204" s="1176" t="n"/>
      <c r="K204" s="1010" t="n"/>
      <c r="L204" s="1109" t="n"/>
      <c r="M204" s="1010" t="n"/>
      <c r="N204" s="1110" t="n"/>
      <c r="O204" s="830" t="n"/>
      <c r="P204" s="782" t="inlineStr">
        <is>
          <t>진단비</t>
        </is>
      </c>
      <c r="Q204" s="131" t="inlineStr">
        <is>
          <t>골절</t>
        </is>
      </c>
      <c r="R204" s="957">
        <f>R153+C204+E204+G204+I204+K204+M204</f>
        <v/>
      </c>
    </row>
    <row r="205" ht="15" customHeight="1" s="797" thickBot="1">
      <c r="A205" s="832" t="n"/>
      <c r="B205" s="161" t="inlineStr">
        <is>
          <t>화상</t>
        </is>
      </c>
      <c r="C205" s="1184" t="n"/>
      <c r="D205" s="1029" t="n"/>
      <c r="E205" s="1075" t="n"/>
      <c r="F205" s="1142" t="n"/>
      <c r="G205" s="1075" t="n"/>
      <c r="H205" s="1142" t="n"/>
      <c r="I205" s="1075" t="n"/>
      <c r="J205" s="1185" t="n"/>
      <c r="K205" s="1075" t="n"/>
      <c r="L205" s="1186" t="n"/>
      <c r="M205" s="1075" t="n"/>
      <c r="N205" s="1144" t="n"/>
      <c r="O205" s="830" t="n"/>
      <c r="P205" s="832" t="n"/>
      <c r="Q205" s="132" t="inlineStr">
        <is>
          <t>화상</t>
        </is>
      </c>
      <c r="R205" s="963">
        <f>R154+C205+E205+G205+I205+K205+M205</f>
        <v/>
      </c>
    </row>
    <row r="206" ht="15" customHeight="1" s="797">
      <c r="A206" s="1187" t="inlineStr">
        <is>
          <t>입원일당</t>
        </is>
      </c>
      <c r="B206" s="162" t="inlineStr">
        <is>
          <t>질병</t>
        </is>
      </c>
      <c r="C206" s="1015" t="n"/>
      <c r="D206" s="1014" t="n"/>
      <c r="E206" s="1015" t="n"/>
      <c r="F206" s="1014" t="n"/>
      <c r="G206" s="1015" t="n"/>
      <c r="H206" s="1014" t="n"/>
      <c r="I206" s="1015" t="n"/>
      <c r="J206" s="1176" t="n"/>
      <c r="K206" s="1010" t="n"/>
      <c r="L206" s="1109" t="n"/>
      <c r="M206" s="1010" t="n"/>
      <c r="N206" s="1110" t="n"/>
      <c r="O206" s="830" t="n"/>
      <c r="P206" s="1188" t="inlineStr">
        <is>
          <t>입원일당</t>
        </is>
      </c>
      <c r="Q206" s="133" t="inlineStr">
        <is>
          <t>질병</t>
        </is>
      </c>
      <c r="R206" s="957">
        <f>R155+C206+E206+G206+I206+K206+M206</f>
        <v/>
      </c>
    </row>
    <row r="207" ht="15" customHeight="1" s="797" thickBot="1">
      <c r="A207" s="841" t="n"/>
      <c r="B207" s="163" t="inlineStr">
        <is>
          <t>재해/상해</t>
        </is>
      </c>
      <c r="C207" s="1027" t="n"/>
      <c r="D207" s="1029" t="n"/>
      <c r="E207" s="1027" t="n"/>
      <c r="F207" s="1029" t="n"/>
      <c r="G207" s="1027" t="n"/>
      <c r="H207" s="1029" t="n"/>
      <c r="I207" s="1027" t="n"/>
      <c r="J207" s="1175" t="n"/>
      <c r="K207" s="1024" t="n"/>
      <c r="L207" s="1115" t="n"/>
      <c r="M207" s="1024" t="n"/>
      <c r="N207" s="1116" t="n"/>
      <c r="O207" s="830" t="n"/>
      <c r="P207" s="841" t="n"/>
      <c r="Q207" s="134" t="inlineStr">
        <is>
          <t>재해/상해</t>
        </is>
      </c>
      <c r="R207" s="963">
        <f>R156+C207+E207+G207+I207+K207+M207</f>
        <v/>
      </c>
    </row>
    <row r="208" ht="15" customHeight="1" s="797">
      <c r="A208" s="1147" t="inlineStr">
        <is>
          <t>운전자</t>
        </is>
      </c>
      <c r="B208" s="144" t="inlineStr">
        <is>
          <t>벌금</t>
        </is>
      </c>
      <c r="C208" s="1022" t="n"/>
      <c r="D208" s="1014" t="n"/>
      <c r="E208" s="1010" t="n"/>
      <c r="F208" s="1014" t="n"/>
      <c r="G208" s="1010" t="n"/>
      <c r="H208" s="1014" t="n"/>
      <c r="I208" s="1010" t="n"/>
      <c r="J208" s="1176" t="n"/>
      <c r="K208" s="1010" t="n"/>
      <c r="L208" s="1189" t="n"/>
      <c r="M208" s="1010" t="n"/>
      <c r="N208" s="1110" t="n"/>
      <c r="O208" s="830" t="n"/>
      <c r="P208" s="1190" t="inlineStr">
        <is>
          <t>운전자</t>
        </is>
      </c>
      <c r="Q208" s="114" t="inlineStr">
        <is>
          <t>벌금</t>
        </is>
      </c>
      <c r="R208" s="957">
        <f>R157+C208+E208+G208+I208+K208+M208</f>
        <v/>
      </c>
    </row>
    <row r="209" ht="15" customHeight="1" s="797">
      <c r="A209" s="832" t="n"/>
      <c r="B209" s="144" t="inlineStr">
        <is>
          <t>변호사선임</t>
        </is>
      </c>
      <c r="C209" s="1022" t="n"/>
      <c r="D209" s="1021" t="n"/>
      <c r="E209" s="1017" t="n"/>
      <c r="F209" s="1021" t="n"/>
      <c r="G209" s="1017" t="n"/>
      <c r="H209" s="1021" t="n"/>
      <c r="I209" s="1017" t="n"/>
      <c r="J209" s="1177" t="n"/>
      <c r="K209" s="1017" t="n"/>
      <c r="L209" s="1191" t="n"/>
      <c r="M209" s="1017" t="n"/>
      <c r="N209" s="1113" t="n"/>
      <c r="O209" s="830" t="n"/>
      <c r="P209" s="832" t="n"/>
      <c r="Q209" s="114" t="inlineStr">
        <is>
          <t>변호사선임</t>
        </is>
      </c>
      <c r="R209" s="959">
        <f>R158+C209+E209+G209+I209+K209+M209</f>
        <v/>
      </c>
    </row>
    <row r="210" ht="15" customHeight="1" s="797" thickBot="1">
      <c r="A210" s="841" t="n"/>
      <c r="B210" s="164" t="inlineStr">
        <is>
          <t>교통사고처리지원</t>
        </is>
      </c>
      <c r="C210" s="1022" t="n"/>
      <c r="D210" s="1021" t="n"/>
      <c r="E210" s="1038" t="n"/>
      <c r="F210" s="1039" t="n"/>
      <c r="G210" s="1038" t="n"/>
      <c r="H210" s="1039" t="n"/>
      <c r="I210" s="1038" t="n"/>
      <c r="J210" s="1178" t="n"/>
      <c r="K210" s="1038" t="n"/>
      <c r="L210" s="1179" t="n"/>
      <c r="M210" s="1038" t="n"/>
      <c r="N210" s="1119" t="n"/>
      <c r="O210" s="830" t="n"/>
      <c r="P210" s="841" t="n"/>
      <c r="Q210" s="135" t="inlineStr">
        <is>
          <t>교통사고처리지원</t>
        </is>
      </c>
      <c r="R210" s="963">
        <f>R159+C210+E210+G210+I210+K210+M210</f>
        <v/>
      </c>
    </row>
    <row r="211" ht="15" customHeight="1" s="797" thickBot="1">
      <c r="A211" s="735" t="inlineStr">
        <is>
          <t>일상생활배상책임</t>
        </is>
      </c>
      <c r="B211" s="919" t="n"/>
      <c r="C211" s="1089" t="n"/>
      <c r="D211" s="1127" t="n"/>
      <c r="E211" s="1089" t="n"/>
      <c r="F211" s="1127" t="n"/>
      <c r="G211" s="1089" t="n"/>
      <c r="H211" s="1127" t="n"/>
      <c r="I211" s="1089" t="n"/>
      <c r="J211" s="1192" t="n"/>
      <c r="K211" s="1089" t="n"/>
      <c r="L211" s="1193" t="n"/>
      <c r="M211" s="1089" t="n"/>
      <c r="N211" s="1194" t="n"/>
      <c r="O211" s="830" t="n"/>
      <c r="P211" s="777" t="inlineStr">
        <is>
          <t>일상생활배상책임</t>
        </is>
      </c>
      <c r="Q211" s="919" t="n"/>
      <c r="R211" s="1148">
        <f>R160+C211+E211+G211+I211+K211+M211</f>
        <v/>
      </c>
    </row>
    <row r="212" ht="15" customHeight="1" s="797">
      <c r="A212" s="1149" t="inlineStr">
        <is>
          <t>기타</t>
        </is>
      </c>
      <c r="B212" s="937" t="n"/>
      <c r="C212" s="1195" t="n"/>
      <c r="D212" s="1163" t="n"/>
      <c r="E212" s="1196" t="n"/>
      <c r="F212" s="1197" t="n"/>
      <c r="G212" s="1098" t="n"/>
      <c r="H212" s="1021" t="n"/>
      <c r="I212" s="1198" t="n"/>
      <c r="J212" s="1176" t="n"/>
      <c r="K212" s="1150" t="n"/>
      <c r="L212" s="1199" t="n"/>
      <c r="M212" s="1198" t="n"/>
      <c r="N212" s="1016" t="n"/>
      <c r="O212" s="830" t="n"/>
      <c r="P212" s="1151" t="inlineStr">
        <is>
          <t>기타</t>
        </is>
      </c>
      <c r="Q212" s="980" t="n"/>
      <c r="R212" s="937" t="n"/>
    </row>
    <row r="213" ht="15" customHeight="1" s="797">
      <c r="A213" s="804" t="n"/>
      <c r="B213" s="805" t="n"/>
      <c r="C213" s="1196" t="n"/>
      <c r="D213" s="1172" t="n"/>
      <c r="E213" s="1152" t="n"/>
      <c r="F213" s="1197" t="n"/>
      <c r="G213" s="1200" t="n"/>
      <c r="H213" s="1197" t="n"/>
      <c r="I213" s="1200" t="n"/>
      <c r="J213" s="1177" t="n"/>
      <c r="K213" s="1101" t="n"/>
      <c r="L213" s="1201" t="n"/>
      <c r="M213" s="1200" t="n"/>
      <c r="N213" s="1023" t="n"/>
      <c r="O213" s="830" t="n"/>
      <c r="P213" s="804" t="n"/>
      <c r="Q213" s="804" t="n"/>
      <c r="R213" s="805" t="n"/>
    </row>
    <row r="214" ht="15" customHeight="1" s="797">
      <c r="A214" s="804" t="n"/>
      <c r="B214" s="805" t="n"/>
      <c r="C214" s="1196" t="n"/>
      <c r="D214" s="1172" t="n"/>
      <c r="E214" s="1200" t="n"/>
      <c r="F214" s="1172" t="n"/>
      <c r="G214" s="1200" t="n"/>
      <c r="H214" s="1197" t="n"/>
      <c r="I214" s="1200" t="n"/>
      <c r="J214" s="1177" t="n"/>
      <c r="K214" s="1200" t="n"/>
      <c r="L214" s="1191" t="n"/>
      <c r="M214" s="1200" t="n"/>
      <c r="N214" s="1202" t="n"/>
      <c r="O214" s="830" t="n"/>
      <c r="P214" s="804" t="n"/>
      <c r="Q214" s="804" t="n"/>
      <c r="R214" s="805" t="n"/>
    </row>
    <row r="215" ht="15" customHeight="1" s="797" thickBot="1">
      <c r="A215" s="942" t="n"/>
      <c r="B215" s="946" t="n"/>
      <c r="C215" s="1203" t="n"/>
      <c r="D215" s="1174" t="n"/>
      <c r="E215" s="1204" t="n"/>
      <c r="F215" s="1174" t="n"/>
      <c r="G215" s="1204" t="n"/>
      <c r="H215" s="1166" t="n"/>
      <c r="I215" s="1204" t="n"/>
      <c r="J215" s="1174" t="n"/>
      <c r="K215" s="1204" t="n"/>
      <c r="L215" s="1205" t="n"/>
      <c r="M215" s="1204" t="n"/>
      <c r="N215" s="1206" t="n"/>
      <c r="O215" s="830" t="n"/>
      <c r="P215" s="942" t="n"/>
      <c r="Q215" s="942" t="n"/>
      <c r="R215" s="946" t="n"/>
    </row>
    <row r="216" ht="15" customHeight="1" s="797">
      <c r="A216" s="947">
        <f>A165</f>
        <v/>
      </c>
      <c r="B216" s="796" t="n"/>
      <c r="C216" s="994" t="n"/>
      <c r="D216" s="796" t="n"/>
      <c r="E216" s="994" t="n"/>
      <c r="F216" s="796" t="n"/>
      <c r="G216" s="994" t="n"/>
      <c r="H216" s="796" t="n"/>
      <c r="I216" s="994" t="n"/>
      <c r="J216" s="796" t="n"/>
      <c r="K216" s="994" t="n"/>
      <c r="L216" s="796" t="n"/>
      <c r="M216" s="994" t="n"/>
      <c r="N216" s="796" t="n"/>
      <c r="O216" s="138" t="n"/>
      <c r="P216" s="795" t="inlineStr">
        <is>
          <t>평가 기준일</t>
        </is>
      </c>
      <c r="Q216" s="796" t="n"/>
      <c r="R216" s="137">
        <f>R165</f>
        <v/>
      </c>
    </row>
    <row r="217" ht="15" customHeight="1" s="797">
      <c r="A217" s="647" t="inlineStr">
        <is>
          <t>상품명</t>
        </is>
      </c>
      <c r="B217" s="798" t="n"/>
      <c r="C217" s="754" t="n"/>
      <c r="D217" s="798" t="n"/>
      <c r="E217" s="754" t="n"/>
      <c r="F217" s="798" t="n"/>
      <c r="G217" s="754" t="n"/>
      <c r="H217" s="798" t="n"/>
      <c r="I217" s="754" t="n"/>
      <c r="J217" s="798" t="n"/>
      <c r="K217" s="754" t="n"/>
      <c r="L217" s="798" t="n"/>
      <c r="M217" s="754" t="n"/>
      <c r="N217" s="798" t="n"/>
      <c r="O217" s="25" t="n"/>
      <c r="P217" s="948" t="n"/>
      <c r="Q217" s="801" t="n"/>
      <c r="R217" s="802" t="n"/>
    </row>
    <row r="218" ht="15" customHeight="1" s="797">
      <c r="A218" s="647" t="inlineStr">
        <is>
          <t>계약자 / 피보험자</t>
        </is>
      </c>
      <c r="B218" s="798" t="n"/>
      <c r="C218" s="756" t="n"/>
      <c r="D218" s="798" t="n"/>
      <c r="E218" s="756" t="n"/>
      <c r="F218" s="798" t="n"/>
      <c r="G218" s="756" t="n"/>
      <c r="H218" s="798" t="n"/>
      <c r="I218" s="756" t="n"/>
      <c r="J218" s="798" t="n"/>
      <c r="K218" s="756" t="n"/>
      <c r="L218" s="798" t="n"/>
      <c r="M218" s="755" t="n"/>
      <c r="N218" s="799" t="n"/>
      <c r="O218" s="25" t="n"/>
      <c r="P218" s="804" t="n"/>
      <c r="R218" s="805" t="n"/>
    </row>
    <row r="219" ht="15" customHeight="1" s="797">
      <c r="A219" s="647" t="inlineStr">
        <is>
          <t>계약일자</t>
        </is>
      </c>
      <c r="B219" s="798" t="n"/>
      <c r="C219" s="756" t="n"/>
      <c r="D219" s="798" t="n"/>
      <c r="E219" s="756" t="n"/>
      <c r="F219" s="798" t="n"/>
      <c r="G219" s="756" t="n"/>
      <c r="H219" s="798" t="n"/>
      <c r="I219" s="756" t="n"/>
      <c r="J219" s="798" t="n"/>
      <c r="K219" s="756" t="n"/>
      <c r="L219" s="798" t="n"/>
      <c r="M219" s="756" t="n"/>
      <c r="N219" s="798" t="n"/>
      <c r="O219" s="25" t="n"/>
      <c r="P219" s="804" t="n"/>
      <c r="R219" s="805" t="n"/>
    </row>
    <row r="220" ht="15" customHeight="1" s="797">
      <c r="A220" s="647" t="inlineStr">
        <is>
          <t>납입기간 / 기납입기간</t>
        </is>
      </c>
      <c r="B220" s="798" t="n"/>
      <c r="C220" s="997" t="n"/>
      <c r="D220" s="1000">
        <f>IF(DATEDIF(C219,$R$1,"m")&lt;C220*12,DATEDIF(C219,$R$1,"m"),C220*12)</f>
        <v/>
      </c>
      <c r="E220" s="997" t="n"/>
      <c r="F220" s="1000">
        <f>IF(DATEDIF(E219,$R$1,"m")&lt;E220*12,DATEDIF(E219,$R$1,"m"),E220*12)</f>
        <v/>
      </c>
      <c r="G220" s="997" t="n"/>
      <c r="H220" s="1000">
        <f>IF(DATEDIF(G219,$R$1,"m")&lt;G220*12,DATEDIF(G219,$R$1,"m"),G220*12)</f>
        <v/>
      </c>
      <c r="I220" s="997" t="n"/>
      <c r="J220" s="1000">
        <f>IF(DATEDIF(I219,$R$1,"m")&lt;I220*12,DATEDIF(I219,$R$1,"m"),I220*12)</f>
        <v/>
      </c>
      <c r="K220" s="997" t="n"/>
      <c r="L220" s="1000">
        <f>IF(DATEDIF(K219,$R$1,"m")&lt;K220*12,DATEDIF(K219,$R$1,"m"),K220*12)</f>
        <v/>
      </c>
      <c r="M220" s="997" t="n"/>
      <c r="N220" s="1106">
        <f>IF(DATEDIF(M219,$R$1,"m")&lt;M220*12,DATEDIF(M219,$R$1,"m"),M220*12)</f>
        <v/>
      </c>
      <c r="O220" s="25" t="n"/>
      <c r="P220" s="804" t="n"/>
      <c r="R220" s="805" t="n"/>
    </row>
    <row r="221" ht="15" customHeight="1" s="797">
      <c r="A221" s="647" t="inlineStr">
        <is>
          <t>보장기간</t>
        </is>
      </c>
      <c r="B221" s="798" t="n"/>
      <c r="C221" s="696" t="n"/>
      <c r="D221" s="798" t="n"/>
      <c r="E221" s="696" t="n"/>
      <c r="F221" s="798" t="n"/>
      <c r="G221" s="696" t="n"/>
      <c r="H221" s="798" t="n"/>
      <c r="I221" s="696" t="n"/>
      <c r="J221" s="798" t="n"/>
      <c r="K221" s="696" t="n"/>
      <c r="L221" s="798" t="n"/>
      <c r="M221" s="696" t="n"/>
      <c r="N221" s="798" t="n"/>
      <c r="O221" s="25" t="n"/>
      <c r="P221" s="808" t="n"/>
      <c r="Q221" s="809" t="n"/>
      <c r="R221" s="810" t="n"/>
    </row>
    <row r="222" ht="15" customHeight="1" s="797">
      <c r="A222" s="632" t="inlineStr">
        <is>
          <t>비고 / 갱신종류</t>
        </is>
      </c>
      <c r="B222" s="811" t="n"/>
      <c r="C222" s="1156" t="n"/>
      <c r="D222" s="798" t="n"/>
      <c r="E222" s="1156" t="n"/>
      <c r="F222" s="798" t="n"/>
      <c r="G222" s="1156" t="n"/>
      <c r="H222" s="798" t="n"/>
      <c r="I222" s="1156" t="n"/>
      <c r="J222" s="798" t="n"/>
      <c r="K222" s="1156" t="n"/>
      <c r="L222" s="798" t="n"/>
      <c r="M222" s="1157" t="n"/>
      <c r="N222" s="799" t="n"/>
      <c r="O222" s="25" t="n"/>
      <c r="P222" s="950" t="n"/>
      <c r="Q222" s="798" t="n"/>
      <c r="R222" s="27" t="inlineStr">
        <is>
          <t>총 보장 (원)</t>
        </is>
      </c>
    </row>
    <row r="223" ht="15" customHeight="1" s="797">
      <c r="A223" s="639" t="inlineStr">
        <is>
          <t>월 보험료</t>
        </is>
      </c>
      <c r="B223" s="798" t="n"/>
      <c r="C223" s="1004" t="n"/>
      <c r="D223" s="798" t="n"/>
      <c r="E223" s="1004" t="n"/>
      <c r="F223" s="798" t="n"/>
      <c r="G223" s="1004" t="n"/>
      <c r="H223" s="798" t="n"/>
      <c r="I223" s="1004" t="n"/>
      <c r="J223" s="798" t="n"/>
      <c r="K223" s="1004" t="n"/>
      <c r="L223" s="798" t="n"/>
      <c r="M223" s="1004" t="n"/>
      <c r="N223" s="798" t="n"/>
      <c r="O223" s="814" t="n"/>
      <c r="P223" s="982" t="inlineStr">
        <is>
          <t>합산 월 보험료</t>
        </is>
      </c>
      <c r="Q223" s="798" t="n"/>
      <c r="R223" s="951">
        <f>R172+C223+E223+G223+I223+K223+M223</f>
        <v/>
      </c>
    </row>
    <row r="224" ht="15" customHeight="1" s="797">
      <c r="A224" s="647" t="inlineStr">
        <is>
          <t>보험료 총액</t>
        </is>
      </c>
      <c r="B224" s="798" t="n"/>
      <c r="C224" s="1007">
        <f>C223*C220*12</f>
        <v/>
      </c>
      <c r="D224" s="798" t="n"/>
      <c r="E224" s="1007">
        <f>E223*E220*12</f>
        <v/>
      </c>
      <c r="F224" s="798" t="n"/>
      <c r="G224" s="1007">
        <f>G223*G220*12</f>
        <v/>
      </c>
      <c r="H224" s="798" t="n"/>
      <c r="I224" s="1007">
        <f>I223*I220*12</f>
        <v/>
      </c>
      <c r="J224" s="798" t="n"/>
      <c r="K224" s="1007">
        <f>K223*K220*12</f>
        <v/>
      </c>
      <c r="L224" s="798" t="n"/>
      <c r="M224" s="1009">
        <f>M223*M220*12</f>
        <v/>
      </c>
      <c r="N224" s="799" t="n"/>
      <c r="O224" s="814" t="n"/>
      <c r="P224" s="982" t="inlineStr">
        <is>
          <t>합산 보험료 총액</t>
        </is>
      </c>
      <c r="Q224" s="798" t="n"/>
      <c r="R224" s="952">
        <f>R173+C224+E224+G224+I224+K224+M224</f>
        <v/>
      </c>
    </row>
    <row r="225" ht="15" customHeight="1" s="797">
      <c r="A225" s="647" t="inlineStr">
        <is>
          <t>기 납입금</t>
        </is>
      </c>
      <c r="B225" s="798" t="n"/>
      <c r="C225" s="1007">
        <f>C223*D220</f>
        <v/>
      </c>
      <c r="D225" s="798" t="n"/>
      <c r="E225" s="1007">
        <f>E223*F220</f>
        <v/>
      </c>
      <c r="F225" s="798" t="n"/>
      <c r="G225" s="1007">
        <f>G223*H220</f>
        <v/>
      </c>
      <c r="H225" s="798" t="n"/>
      <c r="I225" s="1007">
        <f>I223*J220</f>
        <v/>
      </c>
      <c r="J225" s="798" t="n"/>
      <c r="K225" s="1007">
        <f>K223*L220</f>
        <v/>
      </c>
      <c r="L225" s="798" t="n"/>
      <c r="M225" s="1009">
        <f>M223*N220</f>
        <v/>
      </c>
      <c r="N225" s="799" t="n"/>
      <c r="O225" s="814" t="n"/>
      <c r="P225" s="982" t="inlineStr">
        <is>
          <t>합산 기 납입금</t>
        </is>
      </c>
      <c r="Q225" s="798" t="n"/>
      <c r="R225" s="952">
        <f>R174+C225+E225+G225+I225+K225+M225</f>
        <v/>
      </c>
    </row>
    <row r="226" ht="15" customHeight="1" s="797" thickBot="1">
      <c r="A226" s="632" t="inlineStr">
        <is>
          <t>미 납입금</t>
        </is>
      </c>
      <c r="B226" s="811" t="n"/>
      <c r="C226" s="1007">
        <f>C224-C225</f>
        <v/>
      </c>
      <c r="D226" s="798" t="n"/>
      <c r="E226" s="1007">
        <f>E224-E225</f>
        <v/>
      </c>
      <c r="F226" s="798" t="n"/>
      <c r="G226" s="1007">
        <f>G224-G225</f>
        <v/>
      </c>
      <c r="H226" s="798" t="n"/>
      <c r="I226" s="1007">
        <f>I224-I225</f>
        <v/>
      </c>
      <c r="J226" s="798" t="n"/>
      <c r="K226" s="1007">
        <f>K224-K225</f>
        <v/>
      </c>
      <c r="L226" s="798" t="n"/>
      <c r="M226" s="1009">
        <f>M224-M225</f>
        <v/>
      </c>
      <c r="N226" s="799" t="n"/>
      <c r="O226" s="814" t="n"/>
      <c r="P226" s="983" t="inlineStr">
        <is>
          <t>합산 미 납입금</t>
        </is>
      </c>
      <c r="Q226" s="954" t="n"/>
      <c r="R226" s="955">
        <f>R175+C226+E226+G226+I226+K226+M226</f>
        <v/>
      </c>
    </row>
    <row r="227" ht="15" customHeight="1" s="797">
      <c r="A227" s="1158" t="inlineStr">
        <is>
          <t>실비
(갱신형)</t>
        </is>
      </c>
      <c r="B227" s="139" t="inlineStr">
        <is>
          <t>상해급여의료비</t>
        </is>
      </c>
      <c r="C227" s="1015" t="n"/>
      <c r="D227" s="1014" t="n"/>
      <c r="E227" s="1010" t="n"/>
      <c r="F227" s="1014" t="n"/>
      <c r="G227" s="1010" t="n"/>
      <c r="H227" s="1014" t="n"/>
      <c r="I227" s="1010" t="n"/>
      <c r="J227" s="1014" t="n"/>
      <c r="K227" s="1010" t="n"/>
      <c r="L227" s="1109" t="n"/>
      <c r="M227" s="1010" t="n"/>
      <c r="N227" s="1110" t="n"/>
      <c r="O227" s="830" t="n"/>
      <c r="P227" s="1159" t="inlineStr">
        <is>
          <t>실비
(갱신형)</t>
        </is>
      </c>
      <c r="Q227" s="139" t="inlineStr">
        <is>
          <t>질병입원의료비</t>
        </is>
      </c>
      <c r="R227" s="957">
        <f>R176+C227+E227+G227+I227+K227+M227</f>
        <v/>
      </c>
    </row>
    <row r="228" ht="15" customHeight="1" s="797">
      <c r="A228" s="832" t="n"/>
      <c r="B228" s="140" t="inlineStr">
        <is>
          <t>질병급여의료비</t>
        </is>
      </c>
      <c r="C228" s="1022" t="n"/>
      <c r="D228" s="1021" t="n"/>
      <c r="E228" s="1017" t="n"/>
      <c r="F228" s="1021" t="n"/>
      <c r="G228" s="1017" t="n"/>
      <c r="H228" s="1021" t="n"/>
      <c r="I228" s="1017" t="n"/>
      <c r="J228" s="1021" t="n"/>
      <c r="K228" s="1017" t="n"/>
      <c r="L228" s="1112" t="n"/>
      <c r="M228" s="1017" t="n"/>
      <c r="N228" s="1113" t="n"/>
      <c r="O228" s="830" t="n"/>
      <c r="P228" s="832" t="n"/>
      <c r="Q228" s="140" t="inlineStr">
        <is>
          <t>질병통원의료비</t>
        </is>
      </c>
      <c r="R228" s="959">
        <f>R177+C228+E228+G228+I228+K228+M228</f>
        <v/>
      </c>
    </row>
    <row r="229" ht="15" customHeight="1" s="797">
      <c r="A229" s="832" t="n"/>
      <c r="B229" s="140" t="inlineStr">
        <is>
          <t>상해비급여의료비</t>
        </is>
      </c>
      <c r="C229" s="1022" t="n"/>
      <c r="D229" s="1021" t="n"/>
      <c r="E229" s="1022" t="n"/>
      <c r="F229" s="1021" t="n"/>
      <c r="G229" s="1017" t="n"/>
      <c r="H229" s="1021" t="n"/>
      <c r="I229" s="1017" t="n"/>
      <c r="J229" s="1021" t="n"/>
      <c r="K229" s="1017" t="n"/>
      <c r="L229" s="1112" t="n"/>
      <c r="M229" s="1017" t="n"/>
      <c r="N229" s="1113" t="n"/>
      <c r="O229" s="830" t="n"/>
      <c r="P229" s="832" t="n"/>
      <c r="Q229" s="140" t="inlineStr">
        <is>
          <t>상해입원의료비</t>
        </is>
      </c>
      <c r="R229" s="959">
        <f>R178+C229+E229+G229+I229+K229+M229</f>
        <v/>
      </c>
    </row>
    <row r="230" ht="15" customHeight="1" s="797">
      <c r="A230" s="832" t="n"/>
      <c r="B230" s="140" t="inlineStr">
        <is>
          <t>질병비급여의료비</t>
        </is>
      </c>
      <c r="C230" s="1022" t="n"/>
      <c r="D230" s="1021" t="n"/>
      <c r="E230" s="1022" t="n"/>
      <c r="F230" s="1021" t="n"/>
      <c r="G230" s="1017" t="n"/>
      <c r="H230" s="1021" t="n"/>
      <c r="I230" s="1017" t="n"/>
      <c r="J230" s="1021" t="n"/>
      <c r="K230" s="1017" t="n"/>
      <c r="L230" s="1112" t="n"/>
      <c r="M230" s="1017" t="n"/>
      <c r="N230" s="1113" t="n"/>
      <c r="O230" s="830" t="n"/>
      <c r="P230" s="832" t="n"/>
      <c r="Q230" s="140" t="inlineStr">
        <is>
          <t>상해통원의료비</t>
        </is>
      </c>
      <c r="R230" s="959">
        <f>R179+C230+E230+G230+I230+K230+M230</f>
        <v/>
      </c>
    </row>
    <row r="231" ht="15" customHeight="1" s="797" thickBot="1">
      <c r="A231" s="841" t="n"/>
      <c r="B231" s="141" t="inlineStr">
        <is>
          <t>3대비급여 의료비</t>
        </is>
      </c>
      <c r="C231" s="1027" t="n"/>
      <c r="D231" s="1029" t="n"/>
      <c r="E231" s="1027" t="n"/>
      <c r="F231" s="1029" t="n"/>
      <c r="G231" s="1024" t="n"/>
      <c r="H231" s="1029" t="n"/>
      <c r="I231" s="1024" t="n"/>
      <c r="J231" s="1029" t="n"/>
      <c r="K231" s="1024" t="n"/>
      <c r="L231" s="1115" t="n"/>
      <c r="M231" s="1024" t="n"/>
      <c r="N231" s="1116" t="n"/>
      <c r="O231" s="830" t="n"/>
      <c r="P231" s="841" t="n"/>
      <c r="Q231" s="141" t="inlineStr">
        <is>
          <t>3대비급여 의료비</t>
        </is>
      </c>
      <c r="R231" s="963">
        <f>R180+C231+E231+G231+I231+K231+M231</f>
        <v/>
      </c>
    </row>
    <row r="232" ht="15" customHeight="1" s="797">
      <c r="A232" s="626" t="inlineStr">
        <is>
          <t>암</t>
        </is>
      </c>
      <c r="B232" s="142" t="inlineStr">
        <is>
          <t>일반암</t>
        </is>
      </c>
      <c r="C232" s="1010" t="n"/>
      <c r="D232" s="1014" t="n"/>
      <c r="E232" s="1010" t="n"/>
      <c r="F232" s="1014" t="n"/>
      <c r="G232" s="1010" t="n"/>
      <c r="H232" s="1160" t="n"/>
      <c r="I232" s="1010" t="n"/>
      <c r="J232" s="1014" t="n"/>
      <c r="K232" s="1010" t="n"/>
      <c r="L232" s="1109" t="n"/>
      <c r="M232" s="1010" t="n"/>
      <c r="N232" s="1110" t="n"/>
      <c r="O232" s="830" t="n"/>
      <c r="P232" s="772">
        <f>A232</f>
        <v/>
      </c>
      <c r="Q232" s="112" t="inlineStr">
        <is>
          <t>일반암</t>
        </is>
      </c>
      <c r="R232" s="957">
        <f>R181+C232+E232+G232+I232+K232+M232</f>
        <v/>
      </c>
    </row>
    <row r="233" ht="15" customHeight="1" s="797">
      <c r="A233" s="832" t="n"/>
      <c r="B233" s="143" t="inlineStr">
        <is>
          <t>소액암</t>
        </is>
      </c>
      <c r="C233" s="1079" t="n"/>
      <c r="D233" s="1039" t="n"/>
      <c r="E233" s="1017" t="n"/>
      <c r="F233" s="1039" t="n"/>
      <c r="G233" s="1017" t="n"/>
      <c r="H233" s="1161" t="n"/>
      <c r="I233" s="1017" t="n"/>
      <c r="J233" s="1039" t="n"/>
      <c r="K233" s="1038" t="n"/>
      <c r="L233" s="1118" t="n"/>
      <c r="M233" s="1038" t="n"/>
      <c r="N233" s="1119" t="n"/>
      <c r="O233" s="830" t="n"/>
      <c r="P233" s="832" t="n"/>
      <c r="Q233" s="113" t="inlineStr">
        <is>
          <t>소액암</t>
        </is>
      </c>
      <c r="R233" s="959">
        <f>R182+C233+E233+G233+I233+K233+M233</f>
        <v/>
      </c>
    </row>
    <row r="234" ht="15" customHeight="1" s="797">
      <c r="A234" s="832" t="n"/>
      <c r="B234" s="143" t="inlineStr">
        <is>
          <t>암수술비</t>
        </is>
      </c>
      <c r="C234" s="1079" t="n"/>
      <c r="D234" s="1039" t="n"/>
      <c r="E234" s="1038" t="n"/>
      <c r="F234" s="1039" t="n"/>
      <c r="G234" s="1017" t="n"/>
      <c r="H234" s="1162" t="n"/>
      <c r="I234" s="1038" t="n"/>
      <c r="J234" s="1039" t="n"/>
      <c r="K234" s="1038" t="n"/>
      <c r="L234" s="1118" t="n"/>
      <c r="M234" s="1038" t="n"/>
      <c r="N234" s="1119" t="n"/>
      <c r="O234" s="830" t="n"/>
      <c r="P234" s="832" t="n"/>
      <c r="Q234" s="113" t="inlineStr">
        <is>
          <t>암수술비</t>
        </is>
      </c>
      <c r="R234" s="959">
        <f>R183+C234+E234+G234+I234+K234+M234</f>
        <v/>
      </c>
    </row>
    <row r="235" ht="15" customHeight="1" s="797">
      <c r="A235" s="832" t="n"/>
      <c r="B235" s="143" t="inlineStr">
        <is>
          <t>항암치료비</t>
        </is>
      </c>
      <c r="C235" s="1079" t="n"/>
      <c r="D235" s="1039" t="n"/>
      <c r="E235" s="1017" t="n"/>
      <c r="F235" s="1039" t="n"/>
      <c r="G235" s="1038" t="n"/>
      <c r="H235" s="1162" t="n"/>
      <c r="I235" s="1079" t="n"/>
      <c r="J235" s="1039" t="n"/>
      <c r="K235" s="1038" t="n"/>
      <c r="L235" s="1118" t="n"/>
      <c r="M235" s="1038" t="n"/>
      <c r="N235" s="1119" t="n"/>
      <c r="O235" s="830" t="n"/>
      <c r="P235" s="832" t="n"/>
      <c r="Q235" s="113" t="inlineStr">
        <is>
          <t>항암치료비</t>
        </is>
      </c>
      <c r="R235" s="959">
        <f>R184+C235+E235+G235+I235+K235+M235</f>
        <v/>
      </c>
    </row>
    <row r="236" ht="15" customHeight="1" s="797" thickBot="1">
      <c r="A236" s="832" t="n"/>
      <c r="B236" s="144" t="inlineStr">
        <is>
          <t>암입원비</t>
        </is>
      </c>
      <c r="C236" s="1027" t="n"/>
      <c r="D236" s="1029" t="n"/>
      <c r="E236" s="1024" t="n"/>
      <c r="F236" s="1039" t="n"/>
      <c r="G236" s="1024" t="n"/>
      <c r="H236" s="1162" t="n"/>
      <c r="I236" s="1024" t="n"/>
      <c r="J236" s="1039" t="n"/>
      <c r="K236" s="1038" t="n"/>
      <c r="L236" s="1118" t="n"/>
      <c r="M236" s="1038" t="n"/>
      <c r="N236" s="1119" t="n"/>
      <c r="O236" s="830" t="n"/>
      <c r="P236" s="832" t="n"/>
      <c r="Q236" s="114" t="inlineStr">
        <is>
          <t>암입원비</t>
        </is>
      </c>
      <c r="R236" s="963">
        <f>R185+C236+E236+G236+I236+K236+M236</f>
        <v/>
      </c>
    </row>
    <row r="237" ht="15" customHeight="1" s="797">
      <c r="A237" s="721" t="inlineStr">
        <is>
          <t>2대
질병</t>
        </is>
      </c>
      <c r="B237" s="145" t="inlineStr">
        <is>
          <t>뇌혈관</t>
        </is>
      </c>
      <c r="C237" s="1017" t="n"/>
      <c r="D237" s="1014" t="n"/>
      <c r="E237" s="1017" t="n"/>
      <c r="F237" s="1014" t="n"/>
      <c r="G237" s="1017" t="n"/>
      <c r="H237" s="1163" t="n"/>
      <c r="I237" s="1010" t="n"/>
      <c r="J237" s="1014" t="n"/>
      <c r="K237" s="1010" t="n"/>
      <c r="L237" s="1109" t="n"/>
      <c r="M237" s="1010" t="n"/>
      <c r="N237" s="1110" t="n"/>
      <c r="O237" s="830" t="n"/>
      <c r="P237" s="760">
        <f>A237</f>
        <v/>
      </c>
      <c r="Q237" s="115" t="inlineStr">
        <is>
          <t>뇌혈관</t>
        </is>
      </c>
      <c r="R237" s="957">
        <f>R186+C237+E237+G237+I237+K237+M237</f>
        <v/>
      </c>
    </row>
    <row r="238" ht="15" customHeight="1" s="797">
      <c r="A238" s="832" t="n"/>
      <c r="B238" s="146" t="inlineStr">
        <is>
          <t>뇌졸증</t>
        </is>
      </c>
      <c r="C238" s="1017" t="n"/>
      <c r="D238" s="1161" t="n"/>
      <c r="E238" s="1038" t="n"/>
      <c r="F238" s="1161" t="n"/>
      <c r="G238" s="1017" t="n"/>
      <c r="H238" s="1162" t="n"/>
      <c r="I238" s="1038" t="n"/>
      <c r="J238" s="1161" t="n"/>
      <c r="K238" s="1017" t="n"/>
      <c r="L238" s="1118" t="n"/>
      <c r="M238" s="1038" t="n"/>
      <c r="N238" s="1119" t="n"/>
      <c r="O238" s="830" t="n"/>
      <c r="P238" s="832" t="n"/>
      <c r="Q238" s="116" t="inlineStr">
        <is>
          <t>뇌졸증</t>
        </is>
      </c>
      <c r="R238" s="959">
        <f>R187+C238+E238+G238+I238+K238+M238</f>
        <v/>
      </c>
    </row>
    <row r="239" ht="15" customHeight="1" s="797" thickBot="1">
      <c r="A239" s="832" t="n"/>
      <c r="B239" s="147" t="inlineStr">
        <is>
          <t>뇌출혈</t>
        </is>
      </c>
      <c r="C239" s="1044" t="n"/>
      <c r="D239" s="1164" t="n"/>
      <c r="E239" s="1044" t="n"/>
      <c r="F239" s="1122" t="n"/>
      <c r="G239" s="1044" t="n"/>
      <c r="H239" s="1165" t="n"/>
      <c r="I239" s="1044" t="n"/>
      <c r="J239" s="1164" t="n"/>
      <c r="K239" s="1044" t="n"/>
      <c r="L239" s="1123" t="n"/>
      <c r="M239" s="1044" t="n"/>
      <c r="N239" s="1124" t="n"/>
      <c r="O239" s="830" t="n"/>
      <c r="P239" s="832" t="n"/>
      <c r="Q239" s="117" t="inlineStr">
        <is>
          <t>뇌출혈</t>
        </is>
      </c>
      <c r="R239" s="963">
        <f>R188+C239+E239+G239+I239+K239+M239</f>
        <v/>
      </c>
    </row>
    <row r="240" ht="15" customHeight="1" s="797">
      <c r="A240" s="832" t="n"/>
      <c r="B240" s="148" t="inlineStr">
        <is>
          <t>심장질환</t>
        </is>
      </c>
      <c r="C240" s="1010" t="n"/>
      <c r="D240" s="1014" t="n"/>
      <c r="E240" s="1010" t="n"/>
      <c r="F240" s="1014" t="n"/>
      <c r="G240" s="1010" t="n"/>
      <c r="H240" s="1163" t="n"/>
      <c r="I240" s="1010" t="n"/>
      <c r="J240" s="1014" t="n"/>
      <c r="K240" s="1010" t="n"/>
      <c r="L240" s="1109" t="n"/>
      <c r="M240" s="1010" t="n"/>
      <c r="N240" s="1110" t="n"/>
      <c r="O240" s="830" t="n"/>
      <c r="P240" s="832" t="n"/>
      <c r="Q240" s="118" t="inlineStr">
        <is>
          <t>심장질환</t>
        </is>
      </c>
      <c r="R240" s="957">
        <f>R189+C240+E240+G240+I240+K240+M240</f>
        <v/>
      </c>
    </row>
    <row r="241" ht="15" customHeight="1" s="797">
      <c r="A241" s="832" t="n"/>
      <c r="B241" s="149" t="inlineStr">
        <is>
          <t>허혈성심장</t>
        </is>
      </c>
      <c r="C241" s="1017" t="n"/>
      <c r="D241" s="1039" t="n"/>
      <c r="E241" s="1017" t="n"/>
      <c r="F241" s="1161" t="n"/>
      <c r="G241" s="1017" t="n"/>
      <c r="H241" s="1162" t="n"/>
      <c r="I241" s="1017" t="n"/>
      <c r="J241" s="1021" t="n"/>
      <c r="K241" s="1017" t="n"/>
      <c r="L241" s="1118" t="n"/>
      <c r="M241" s="1038" t="n"/>
      <c r="N241" s="1119" t="n"/>
      <c r="O241" s="830" t="n"/>
      <c r="P241" s="832" t="n"/>
      <c r="Q241" s="119" t="inlineStr">
        <is>
          <t>허혈성심장</t>
        </is>
      </c>
      <c r="R241" s="959">
        <f>R190+C241+E241+G241+I241+K241+M241</f>
        <v/>
      </c>
    </row>
    <row r="242" ht="15" customHeight="1" s="797" thickBot="1">
      <c r="A242" s="832" t="n"/>
      <c r="B242" s="165" t="inlineStr">
        <is>
          <t>급성심근경색</t>
        </is>
      </c>
      <c r="C242" s="1024" t="n"/>
      <c r="D242" s="1161" t="n"/>
      <c r="E242" s="1044" t="n"/>
      <c r="F242" s="1122" t="n"/>
      <c r="G242" s="1044" t="n"/>
      <c r="H242" s="1165" t="n"/>
      <c r="I242" s="1044" t="n"/>
      <c r="J242" s="1164" t="n"/>
      <c r="K242" s="1043" t="n"/>
      <c r="L242" s="1123" t="n"/>
      <c r="M242" s="1043" t="n"/>
      <c r="N242" s="1124" t="n"/>
      <c r="O242" s="830" t="n"/>
      <c r="P242" s="832" t="n"/>
      <c r="Q242" s="120" t="inlineStr">
        <is>
          <t>급성심근경색</t>
        </is>
      </c>
      <c r="R242" s="963">
        <f>R191+C242+E242+G242+I242+K242+M242</f>
        <v/>
      </c>
    </row>
    <row r="243" ht="15" customHeight="1" s="797" thickBot="1">
      <c r="A243" s="832" t="n"/>
      <c r="B243" s="166" t="inlineStr">
        <is>
          <t>뇌,심장 수술비</t>
        </is>
      </c>
      <c r="C243" s="1094" t="n"/>
      <c r="D243" s="1167" t="n"/>
      <c r="E243" s="1089" t="n"/>
      <c r="F243" s="1167" t="n"/>
      <c r="G243" s="1089" t="n"/>
      <c r="H243" s="1168" t="n"/>
      <c r="I243" s="1089" t="n"/>
      <c r="J243" s="1167" t="n"/>
      <c r="K243" s="1089" t="n"/>
      <c r="L243" s="1129" t="n"/>
      <c r="M243" s="1089" t="n"/>
      <c r="N243" s="1130" t="n"/>
      <c r="O243" s="830" t="n"/>
      <c r="P243" s="832" t="n"/>
      <c r="Q243" s="121" t="inlineStr">
        <is>
          <t>뇌,심장 수술비</t>
        </is>
      </c>
      <c r="R243" s="1131">
        <f>R192+C243+E243+G243+I243+K243+M243</f>
        <v/>
      </c>
    </row>
    <row r="244" ht="15" customHeight="1" s="797">
      <c r="A244" s="1132" t="inlineStr">
        <is>
          <t>후유장해</t>
        </is>
      </c>
      <c r="B244" s="152" t="inlineStr">
        <is>
          <t>질병 80% 이상</t>
        </is>
      </c>
      <c r="C244" s="1015" t="n"/>
      <c r="D244" s="1014" t="n"/>
      <c r="E244" s="1010" t="n"/>
      <c r="F244" s="1160" t="n"/>
      <c r="G244" s="1010" t="n"/>
      <c r="H244" s="1014" t="n"/>
      <c r="I244" s="1010" t="n"/>
      <c r="J244" s="1014" t="n"/>
      <c r="K244" s="1010" t="n"/>
      <c r="L244" s="1109" t="n"/>
      <c r="M244" s="1010" t="n"/>
      <c r="N244" s="1110" t="n"/>
      <c r="O244" s="830" t="n"/>
      <c r="P244" s="1169">
        <f>A244</f>
        <v/>
      </c>
      <c r="Q244" s="122" t="inlineStr">
        <is>
          <t>질병 80% 이상</t>
        </is>
      </c>
      <c r="R244" s="957">
        <f>R193+C244+E244+G244+I244+K244+M244</f>
        <v/>
      </c>
    </row>
    <row r="245" ht="15" customHeight="1" s="797">
      <c r="A245" s="832" t="n"/>
      <c r="B245" s="153" t="inlineStr">
        <is>
          <t>질병 80% 미만</t>
        </is>
      </c>
      <c r="C245" s="1022" t="n"/>
      <c r="D245" s="1021" t="n"/>
      <c r="E245" s="1017" t="n"/>
      <c r="F245" s="1161" t="n"/>
      <c r="G245" s="1017" t="n"/>
      <c r="H245" s="1021" t="n"/>
      <c r="I245" s="1017" t="n"/>
      <c r="J245" s="1021" t="n"/>
      <c r="K245" s="1017" t="n"/>
      <c r="L245" s="1112" t="n"/>
      <c r="M245" s="1017" t="n"/>
      <c r="N245" s="1113" t="n"/>
      <c r="O245" s="830" t="n"/>
      <c r="P245" s="832" t="n"/>
      <c r="Q245" s="123" t="inlineStr">
        <is>
          <t>질병 80% 미만</t>
        </is>
      </c>
      <c r="R245" s="959">
        <f>R194+C245+E245+G245+I245+K245+M245</f>
        <v/>
      </c>
    </row>
    <row r="246" ht="15" customHeight="1" s="797">
      <c r="A246" s="832" t="n"/>
      <c r="B246" s="153" t="inlineStr">
        <is>
          <t>재해/상해 80% 이상</t>
        </is>
      </c>
      <c r="C246" s="1022" t="n"/>
      <c r="D246" s="1021" t="n"/>
      <c r="E246" s="1017" t="n"/>
      <c r="F246" s="218" t="n"/>
      <c r="G246" s="1017" t="n"/>
      <c r="H246" s="1021" t="n"/>
      <c r="I246" s="1017" t="n"/>
      <c r="J246" s="1021" t="n"/>
      <c r="K246" s="1017" t="n"/>
      <c r="L246" s="1112" t="n"/>
      <c r="M246" s="1017" t="n"/>
      <c r="N246" s="1113" t="n"/>
      <c r="O246" s="830" t="n"/>
      <c r="P246" s="832" t="n"/>
      <c r="Q246" s="123" t="inlineStr">
        <is>
          <t>재해/상해 80% 이상</t>
        </is>
      </c>
      <c r="R246" s="959">
        <f>R195+C246+E246+G246+I246+K246+M246</f>
        <v/>
      </c>
    </row>
    <row r="247" ht="15" customHeight="1" s="797" thickBot="1">
      <c r="A247" s="841" t="n"/>
      <c r="B247" s="154" t="inlineStr">
        <is>
          <t>재해/상해 80% 미만</t>
        </is>
      </c>
      <c r="C247" s="1027" t="n"/>
      <c r="D247" s="1029" t="n"/>
      <c r="E247" s="1024" t="n"/>
      <c r="F247" s="1166" t="n"/>
      <c r="G247" s="1017" t="n"/>
      <c r="H247" s="1029" t="n"/>
      <c r="I247" s="1024" t="n"/>
      <c r="J247" s="1029" t="n"/>
      <c r="K247" s="1024" t="n"/>
      <c r="L247" s="1115" t="n"/>
      <c r="M247" s="1024" t="n"/>
      <c r="N247" s="1116" t="n"/>
      <c r="O247" s="830" t="n"/>
      <c r="P247" s="841" t="n"/>
      <c r="Q247" s="124" t="inlineStr">
        <is>
          <t>재해/상해 80% 미만</t>
        </is>
      </c>
      <c r="R247" s="963">
        <f>R196+C247+E247+G247+I247+K247+M247</f>
        <v/>
      </c>
    </row>
    <row r="248" ht="15" customHeight="1" s="797">
      <c r="A248" s="1133" t="inlineStr">
        <is>
          <t>사망</t>
        </is>
      </c>
      <c r="B248" s="155" t="inlineStr">
        <is>
          <t>일반</t>
        </is>
      </c>
      <c r="C248" s="1015" t="n"/>
      <c r="D248" s="1014" t="n"/>
      <c r="E248" s="1038" t="n"/>
      <c r="F248" s="1014" t="n"/>
      <c r="G248" s="1010" t="n"/>
      <c r="H248" s="1014" t="n"/>
      <c r="I248" s="1010" t="n"/>
      <c r="J248" s="1014" t="n"/>
      <c r="K248" s="1010" t="n"/>
      <c r="L248" s="1170" t="n"/>
      <c r="M248" s="1038" t="n"/>
      <c r="N248" s="1119" t="n"/>
      <c r="O248" s="830" t="n"/>
      <c r="P248" s="1171" t="inlineStr">
        <is>
          <t>사망</t>
        </is>
      </c>
      <c r="Q248" s="125" t="inlineStr">
        <is>
          <t>일반</t>
        </is>
      </c>
      <c r="R248" s="957">
        <f>R197+C248+E248+G248+I248+K248+M248</f>
        <v/>
      </c>
    </row>
    <row r="249" ht="15" customHeight="1" s="797">
      <c r="A249" s="832" t="n"/>
      <c r="B249" s="156" t="inlineStr">
        <is>
          <t>질병</t>
        </is>
      </c>
      <c r="C249" s="1022" t="n"/>
      <c r="D249" s="1021" t="n"/>
      <c r="E249" s="1017" t="n"/>
      <c r="F249" s="1021" t="n"/>
      <c r="G249" s="1017" t="n"/>
      <c r="H249" s="1172" t="n"/>
      <c r="I249" s="1017" t="n"/>
      <c r="J249" s="1021" t="n"/>
      <c r="K249" s="1017" t="n"/>
      <c r="L249" s="1173" t="n"/>
      <c r="M249" s="1017" t="n"/>
      <c r="N249" s="1113" t="n"/>
      <c r="O249" s="830" t="n"/>
      <c r="P249" s="832" t="n"/>
      <c r="Q249" s="126" t="inlineStr">
        <is>
          <t>질병</t>
        </is>
      </c>
      <c r="R249" s="959">
        <f>R198+C249+E249+G249+I249+K249+M249</f>
        <v/>
      </c>
    </row>
    <row r="250" ht="15" customHeight="1" s="797" thickBot="1">
      <c r="A250" s="841" t="n"/>
      <c r="B250" s="157" t="inlineStr">
        <is>
          <t>재해/상해</t>
        </is>
      </c>
      <c r="C250" s="1079" t="n"/>
      <c r="D250" s="1039" t="n"/>
      <c r="E250" s="1024" t="n"/>
      <c r="F250" s="1029" t="n"/>
      <c r="G250" s="1024" t="n"/>
      <c r="H250" s="1174" t="n"/>
      <c r="I250" s="1024" t="n"/>
      <c r="J250" s="1175" t="n"/>
      <c r="K250" s="1024" t="n"/>
      <c r="L250" s="1115" t="n"/>
      <c r="M250" s="1024" t="n"/>
      <c r="N250" s="1116" t="n"/>
      <c r="O250" s="830" t="n"/>
      <c r="P250" s="841" t="n"/>
      <c r="Q250" s="127" t="inlineStr">
        <is>
          <t>상해</t>
        </is>
      </c>
      <c r="R250" s="963">
        <f>R199+C250+E250+G250+I250+K250+M250</f>
        <v/>
      </c>
    </row>
    <row r="251" ht="15" customHeight="1" s="797">
      <c r="A251" s="746" t="inlineStr">
        <is>
          <t>수술비</t>
        </is>
      </c>
      <c r="B251" s="158" t="inlineStr">
        <is>
          <t>질병</t>
        </is>
      </c>
      <c r="C251" s="1015" t="n"/>
      <c r="D251" s="1014" t="n"/>
      <c r="E251" s="1010" t="n"/>
      <c r="F251" s="1014" t="n"/>
      <c r="G251" s="1010" t="n"/>
      <c r="H251" s="1014" t="n"/>
      <c r="I251" s="1010" t="n"/>
      <c r="J251" s="1176" t="n"/>
      <c r="K251" s="1010" t="n"/>
      <c r="L251" s="1109" t="n"/>
      <c r="M251" s="1010" t="n"/>
      <c r="N251" s="1110" t="n"/>
      <c r="O251" s="830" t="n"/>
      <c r="P251" s="779" t="inlineStr">
        <is>
          <t>수술비</t>
        </is>
      </c>
      <c r="Q251" s="128" t="inlineStr">
        <is>
          <t>질병</t>
        </is>
      </c>
      <c r="R251" s="957">
        <f>R200+C251+E251+G251+I251+K251+M251</f>
        <v/>
      </c>
    </row>
    <row r="252" ht="15" customHeight="1" s="797">
      <c r="A252" s="832" t="n"/>
      <c r="B252" s="158" t="inlineStr">
        <is>
          <t>상해</t>
        </is>
      </c>
      <c r="C252" s="1022" t="n"/>
      <c r="D252" s="1021" t="n"/>
      <c r="E252" s="1017" t="n"/>
      <c r="F252" s="1039" t="n"/>
      <c r="G252" s="1017" t="n"/>
      <c r="H252" s="1021" t="n"/>
      <c r="I252" s="1017" t="n"/>
      <c r="J252" s="1177" t="n"/>
      <c r="K252" s="1017" t="n"/>
      <c r="L252" s="1207" t="n"/>
      <c r="M252" s="1017" t="n"/>
      <c r="N252" s="1113" t="n"/>
      <c r="O252" s="830" t="n"/>
      <c r="P252" s="832" t="n"/>
      <c r="Q252" s="129" t="inlineStr">
        <is>
          <t>상해</t>
        </is>
      </c>
      <c r="R252" s="959">
        <f>R201+C252+E252+G252+I252+K252+M252</f>
        <v/>
      </c>
    </row>
    <row r="253" ht="15" customHeight="1" s="797">
      <c r="A253" s="832" t="n"/>
      <c r="B253" s="158" t="inlineStr">
        <is>
          <t>1~5종</t>
        </is>
      </c>
      <c r="C253" s="1022" t="n"/>
      <c r="D253" s="1161" t="n"/>
      <c r="E253" s="1017" t="n"/>
      <c r="F253" s="1039" t="n"/>
      <c r="G253" s="1017" t="n"/>
      <c r="H253" s="1162" t="n"/>
      <c r="I253" s="1038" t="n"/>
      <c r="J253" s="1178" t="n"/>
      <c r="K253" s="1038" t="n"/>
      <c r="L253" s="1179" t="n"/>
      <c r="M253" s="1180" t="n"/>
      <c r="N253" s="1119" t="n"/>
      <c r="O253" s="830" t="n"/>
      <c r="P253" s="832" t="n"/>
      <c r="Q253" s="129" t="inlineStr">
        <is>
          <t>1~5종</t>
        </is>
      </c>
      <c r="R253" s="959">
        <f>R202+C253+E253+G253+I253+K253+M253</f>
        <v/>
      </c>
    </row>
    <row r="254" ht="15" customHeight="1" s="797" thickBot="1">
      <c r="A254" s="832" t="n"/>
      <c r="B254" s="159" t="inlineStr">
        <is>
          <t>64대 이상</t>
        </is>
      </c>
      <c r="C254" s="1045" t="n"/>
      <c r="D254" s="1161" t="n"/>
      <c r="E254" s="1043" t="n"/>
      <c r="F254" s="1136" t="n"/>
      <c r="G254" s="1043" t="n"/>
      <c r="H254" s="1181" t="n"/>
      <c r="I254" s="1044" t="n"/>
      <c r="J254" s="1182" t="n"/>
      <c r="K254" s="1044" t="n"/>
      <c r="L254" s="1183" t="n"/>
      <c r="M254" s="1043" t="n"/>
      <c r="N254" s="1138" t="n"/>
      <c r="O254" s="830" t="n"/>
      <c r="P254" s="832" t="n"/>
      <c r="Q254" s="130" t="inlineStr">
        <is>
          <t>64대 이상</t>
        </is>
      </c>
      <c r="R254" s="963">
        <f>R203+C254+E254+G254+I254+K254+M254</f>
        <v/>
      </c>
    </row>
    <row r="255" ht="15" customHeight="1" s="797">
      <c r="A255" s="748" t="inlineStr">
        <is>
          <t>진단비</t>
        </is>
      </c>
      <c r="B255" s="160" t="inlineStr">
        <is>
          <t>골절</t>
        </is>
      </c>
      <c r="C255" s="1010" t="n"/>
      <c r="D255" s="1014" t="n"/>
      <c r="E255" s="1010" t="n"/>
      <c r="F255" s="1014" t="n"/>
      <c r="G255" s="1010" t="n"/>
      <c r="H255" s="1014" t="n"/>
      <c r="I255" s="1010" t="n"/>
      <c r="J255" s="1176" t="n"/>
      <c r="K255" s="1010" t="n"/>
      <c r="L255" s="1109" t="n"/>
      <c r="M255" s="1010" t="n"/>
      <c r="N255" s="1110" t="n"/>
      <c r="O255" s="830" t="n"/>
      <c r="P255" s="782" t="inlineStr">
        <is>
          <t>진단비</t>
        </is>
      </c>
      <c r="Q255" s="131" t="inlineStr">
        <is>
          <t>골절</t>
        </is>
      </c>
      <c r="R255" s="957">
        <f>R204+C255+E255+G255+I255+K255+M255</f>
        <v/>
      </c>
    </row>
    <row r="256" ht="15" customHeight="1" s="797" thickBot="1">
      <c r="A256" s="832" t="n"/>
      <c r="B256" s="161" t="inlineStr">
        <is>
          <t>화상</t>
        </is>
      </c>
      <c r="C256" s="1184" t="n"/>
      <c r="D256" s="1029" t="n"/>
      <c r="E256" s="1075" t="n"/>
      <c r="F256" s="1142" t="n"/>
      <c r="G256" s="1075" t="n"/>
      <c r="H256" s="1142" t="n"/>
      <c r="I256" s="1075" t="n"/>
      <c r="J256" s="1185" t="n"/>
      <c r="K256" s="1075" t="n"/>
      <c r="L256" s="1186" t="n"/>
      <c r="M256" s="1075" t="n"/>
      <c r="N256" s="1144" t="n"/>
      <c r="O256" s="830" t="n"/>
      <c r="P256" s="832" t="n"/>
      <c r="Q256" s="132" t="inlineStr">
        <is>
          <t>화상</t>
        </is>
      </c>
      <c r="R256" s="963">
        <f>R205+C256+E256+G256+I256+K256+M256</f>
        <v/>
      </c>
    </row>
    <row r="257" ht="15" customHeight="1" s="797">
      <c r="A257" s="1187" t="inlineStr">
        <is>
          <t>입원일당</t>
        </is>
      </c>
      <c r="B257" s="162" t="inlineStr">
        <is>
          <t>질병</t>
        </is>
      </c>
      <c r="C257" s="1015" t="n"/>
      <c r="D257" s="1014" t="n"/>
      <c r="E257" s="1015" t="n"/>
      <c r="F257" s="1014" t="n"/>
      <c r="G257" s="1015" t="n"/>
      <c r="H257" s="1014" t="n"/>
      <c r="I257" s="1015" t="n"/>
      <c r="J257" s="1176" t="n"/>
      <c r="K257" s="1010" t="n"/>
      <c r="L257" s="1109" t="n"/>
      <c r="M257" s="1010" t="n"/>
      <c r="N257" s="1110" t="n"/>
      <c r="O257" s="830" t="n"/>
      <c r="P257" s="1188" t="inlineStr">
        <is>
          <t>입원일당</t>
        </is>
      </c>
      <c r="Q257" s="133" t="inlineStr">
        <is>
          <t>질병</t>
        </is>
      </c>
      <c r="R257" s="957">
        <f>R206+C257+E257+G257+I257+K257+M257</f>
        <v/>
      </c>
    </row>
    <row r="258" ht="15" customHeight="1" s="797" thickBot="1">
      <c r="A258" s="841" t="n"/>
      <c r="B258" s="163" t="inlineStr">
        <is>
          <t>재해/상해</t>
        </is>
      </c>
      <c r="C258" s="1027" t="n"/>
      <c r="D258" s="1029" t="n"/>
      <c r="E258" s="1027" t="n"/>
      <c r="F258" s="1029" t="n"/>
      <c r="G258" s="1027" t="n"/>
      <c r="H258" s="1029" t="n"/>
      <c r="I258" s="1027" t="n"/>
      <c r="J258" s="1175" t="n"/>
      <c r="K258" s="1024" t="n"/>
      <c r="L258" s="1115" t="n"/>
      <c r="M258" s="1024" t="n"/>
      <c r="N258" s="1116" t="n"/>
      <c r="O258" s="830" t="n"/>
      <c r="P258" s="841" t="n"/>
      <c r="Q258" s="134" t="inlineStr">
        <is>
          <t>재해/상해</t>
        </is>
      </c>
      <c r="R258" s="963">
        <f>R207+C258+E258+G258+I258+K258+M258</f>
        <v/>
      </c>
    </row>
    <row r="259" ht="15" customHeight="1" s="797">
      <c r="A259" s="1147" t="inlineStr">
        <is>
          <t>운전자</t>
        </is>
      </c>
      <c r="B259" s="144" t="inlineStr">
        <is>
          <t>벌금</t>
        </is>
      </c>
      <c r="C259" s="1022" t="n"/>
      <c r="D259" s="1014" t="n"/>
      <c r="E259" s="1010" t="n"/>
      <c r="F259" s="1014" t="n"/>
      <c r="G259" s="1010" t="n"/>
      <c r="H259" s="1014" t="n"/>
      <c r="I259" s="1010" t="n"/>
      <c r="J259" s="1176" t="n"/>
      <c r="K259" s="1010" t="n"/>
      <c r="L259" s="1189" t="n"/>
      <c r="M259" s="1010" t="n"/>
      <c r="N259" s="1110" t="n"/>
      <c r="O259" s="830" t="n"/>
      <c r="P259" s="1190" t="inlineStr">
        <is>
          <t>운전자</t>
        </is>
      </c>
      <c r="Q259" s="114" t="inlineStr">
        <is>
          <t>벌금</t>
        </is>
      </c>
      <c r="R259" s="957">
        <f>R208+C259+E259+G259+I259+K259+M259</f>
        <v/>
      </c>
    </row>
    <row r="260" ht="15" customHeight="1" s="797">
      <c r="A260" s="832" t="n"/>
      <c r="B260" s="144" t="inlineStr">
        <is>
          <t>변호사선임</t>
        </is>
      </c>
      <c r="C260" s="1022" t="n"/>
      <c r="D260" s="1021" t="n"/>
      <c r="E260" s="1017" t="n"/>
      <c r="F260" s="1021" t="n"/>
      <c r="G260" s="1017" t="n"/>
      <c r="H260" s="1021" t="n"/>
      <c r="I260" s="1017" t="n"/>
      <c r="J260" s="1177" t="n"/>
      <c r="K260" s="1017" t="n"/>
      <c r="L260" s="1191" t="n"/>
      <c r="M260" s="1017" t="n"/>
      <c r="N260" s="1113" t="n"/>
      <c r="O260" s="830" t="n"/>
      <c r="P260" s="832" t="n"/>
      <c r="Q260" s="114" t="inlineStr">
        <is>
          <t>변호사선임</t>
        </is>
      </c>
      <c r="R260" s="959">
        <f>R209+C260+E260+G260+I260+K260+M260</f>
        <v/>
      </c>
    </row>
    <row r="261" ht="15" customHeight="1" s="797" thickBot="1">
      <c r="A261" s="841" t="n"/>
      <c r="B261" s="164" t="inlineStr">
        <is>
          <t>교통사고처리지원</t>
        </is>
      </c>
      <c r="C261" s="1022" t="n"/>
      <c r="D261" s="1021" t="n"/>
      <c r="E261" s="1038" t="n"/>
      <c r="F261" s="1039" t="n"/>
      <c r="G261" s="1038" t="n"/>
      <c r="H261" s="1039" t="n"/>
      <c r="I261" s="1038" t="n"/>
      <c r="J261" s="1178" t="n"/>
      <c r="K261" s="1038" t="n"/>
      <c r="L261" s="1179" t="n"/>
      <c r="M261" s="1038" t="n"/>
      <c r="N261" s="1119" t="n"/>
      <c r="O261" s="830" t="n"/>
      <c r="P261" s="841" t="n"/>
      <c r="Q261" s="135" t="inlineStr">
        <is>
          <t>교통사고처리지원</t>
        </is>
      </c>
      <c r="R261" s="963">
        <f>R210+C261+E261+G261+I261+K261+M261</f>
        <v/>
      </c>
    </row>
    <row r="262" ht="15" customHeight="1" s="797" thickBot="1">
      <c r="A262" s="735" t="inlineStr">
        <is>
          <t>일상생활배상책임</t>
        </is>
      </c>
      <c r="B262" s="919" t="n"/>
      <c r="C262" s="1089" t="n"/>
      <c r="D262" s="1127" t="n"/>
      <c r="E262" s="1089" t="n"/>
      <c r="F262" s="1127" t="n"/>
      <c r="G262" s="1089" t="n"/>
      <c r="H262" s="1127" t="n"/>
      <c r="I262" s="1089" t="n"/>
      <c r="J262" s="1192" t="n"/>
      <c r="K262" s="1089" t="n"/>
      <c r="L262" s="1193" t="n"/>
      <c r="M262" s="1089" t="n"/>
      <c r="N262" s="1194" t="n"/>
      <c r="O262" s="830" t="n"/>
      <c r="P262" s="777" t="inlineStr">
        <is>
          <t>일상생활배상책임</t>
        </is>
      </c>
      <c r="Q262" s="919" t="n"/>
      <c r="R262" s="1148">
        <f>R211+C262+E262+G262+I262+K262+M262</f>
        <v/>
      </c>
    </row>
    <row r="263" ht="15" customHeight="1" s="797">
      <c r="A263" s="1149" t="inlineStr">
        <is>
          <t>기타</t>
        </is>
      </c>
      <c r="B263" s="937" t="n"/>
      <c r="C263" s="1195" t="n"/>
      <c r="D263" s="1163" t="n"/>
      <c r="E263" s="1196" t="n"/>
      <c r="F263" s="1021" t="n"/>
      <c r="G263" s="1098" t="n"/>
      <c r="H263" s="1021" t="n"/>
      <c r="I263" s="1198" t="n"/>
      <c r="J263" s="1176" t="n"/>
      <c r="K263" s="1150" t="n"/>
      <c r="L263" s="1208" t="n"/>
      <c r="M263" s="1198" t="n"/>
      <c r="N263" s="1016" t="n"/>
      <c r="O263" s="830" t="n"/>
      <c r="P263" s="1151" t="inlineStr">
        <is>
          <t>기타</t>
        </is>
      </c>
      <c r="Q263" s="980" t="n"/>
      <c r="R263" s="937" t="n"/>
    </row>
    <row r="264" ht="15" customHeight="1" s="797">
      <c r="A264" s="804" t="n"/>
      <c r="B264" s="805" t="n"/>
      <c r="C264" s="1196" t="n"/>
      <c r="D264" s="1172" t="n"/>
      <c r="E264" s="1152" t="n"/>
      <c r="F264" s="1197" t="n"/>
      <c r="G264" s="1200" t="n"/>
      <c r="H264" s="1197" t="n"/>
      <c r="I264" s="1200" t="n"/>
      <c r="J264" s="1177" t="n"/>
      <c r="K264" s="1101" t="n"/>
      <c r="L264" s="1207" t="n"/>
      <c r="M264" s="1200" t="n"/>
      <c r="N264" s="1023" t="n"/>
      <c r="O264" s="830" t="n"/>
      <c r="P264" s="804" t="n"/>
      <c r="Q264" s="804" t="n"/>
      <c r="R264" s="805" t="n"/>
    </row>
    <row r="265" ht="15" customHeight="1" s="797">
      <c r="A265" s="804" t="n"/>
      <c r="B265" s="805" t="n"/>
      <c r="C265" s="1196" t="n"/>
      <c r="D265" s="1172" t="n"/>
      <c r="E265" s="1200" t="n"/>
      <c r="F265" s="1172" t="n"/>
      <c r="G265" s="1200" t="n"/>
      <c r="H265" s="1197" t="n"/>
      <c r="I265" s="1200" t="n"/>
      <c r="J265" s="1177" t="n"/>
      <c r="K265" s="1200" t="n"/>
      <c r="L265" s="1191" t="n"/>
      <c r="M265" s="1200" t="n"/>
      <c r="N265" s="1202" t="n"/>
      <c r="O265" s="830" t="n"/>
      <c r="P265" s="804" t="n"/>
      <c r="Q265" s="804" t="n"/>
      <c r="R265" s="805" t="n"/>
    </row>
    <row r="266" ht="15" customHeight="1" s="797" thickBot="1">
      <c r="A266" s="942" t="n"/>
      <c r="B266" s="946" t="n"/>
      <c r="C266" s="1203" t="n"/>
      <c r="D266" s="1174" t="n"/>
      <c r="E266" s="1204" t="n"/>
      <c r="F266" s="1174" t="n"/>
      <c r="G266" s="1204" t="n"/>
      <c r="H266" s="1166" t="n"/>
      <c r="I266" s="1204" t="n"/>
      <c r="J266" s="1174" t="n"/>
      <c r="K266" s="1204" t="n"/>
      <c r="L266" s="1205" t="n"/>
      <c r="M266" s="1204" t="n"/>
      <c r="N266" s="1206" t="n"/>
      <c r="O266" s="830" t="n"/>
      <c r="P266" s="942" t="n"/>
      <c r="Q266" s="942" t="n"/>
      <c r="R266" s="946" t="n"/>
    </row>
  </sheetData>
  <mergeCells count="505">
    <mergeCell ref="A64:B64"/>
    <mergeCell ref="C172:D172"/>
    <mergeCell ref="P181:P185"/>
    <mergeCell ref="P257:P258"/>
    <mergeCell ref="P69:Q69"/>
    <mergeCell ref="E8:F8"/>
    <mergeCell ref="M70:N70"/>
    <mergeCell ref="C171:D171"/>
    <mergeCell ref="M60:N60"/>
    <mergeCell ref="E171:F171"/>
    <mergeCell ref="C121:D121"/>
    <mergeCell ref="M10:N10"/>
    <mergeCell ref="G66:H66"/>
    <mergeCell ref="C173:D173"/>
    <mergeCell ref="I66:J66"/>
    <mergeCell ref="E173:F173"/>
    <mergeCell ref="A49:A51"/>
    <mergeCell ref="A251:A254"/>
    <mergeCell ref="A157:A159"/>
    <mergeCell ref="E166:F166"/>
    <mergeCell ref="G68:H68"/>
    <mergeCell ref="P216:Q216"/>
    <mergeCell ref="P200:P203"/>
    <mergeCell ref="G114:H114"/>
    <mergeCell ref="P135:P141"/>
    <mergeCell ref="I170:J170"/>
    <mergeCell ref="E168:F168"/>
    <mergeCell ref="P40:P42"/>
    <mergeCell ref="A262:B262"/>
    <mergeCell ref="P237:P243"/>
    <mergeCell ref="G168:H168"/>
    <mergeCell ref="A62:B62"/>
    <mergeCell ref="P142:P145"/>
    <mergeCell ref="I172:J172"/>
    <mergeCell ref="K172:L172"/>
    <mergeCell ref="P224:Q224"/>
    <mergeCell ref="K221:L221"/>
    <mergeCell ref="M221:N221"/>
    <mergeCell ref="P211:Q211"/>
    <mergeCell ref="C3:D3"/>
    <mergeCell ref="E3:F3"/>
    <mergeCell ref="P106:P108"/>
    <mergeCell ref="K223:L223"/>
    <mergeCell ref="E117:F117"/>
    <mergeCell ref="G117:H117"/>
    <mergeCell ref="E67:F67"/>
    <mergeCell ref="G67:H67"/>
    <mergeCell ref="G61:H61"/>
    <mergeCell ref="E219:F219"/>
    <mergeCell ref="M216:N216"/>
    <mergeCell ref="I61:J61"/>
    <mergeCell ref="G219:H219"/>
    <mergeCell ref="A61:B61"/>
    <mergeCell ref="A106:A108"/>
    <mergeCell ref="I175:J175"/>
    <mergeCell ref="P227:P231"/>
    <mergeCell ref="M218:N218"/>
    <mergeCell ref="A217:B217"/>
    <mergeCell ref="G62:H62"/>
    <mergeCell ref="P101:P102"/>
    <mergeCell ref="M7:N7"/>
    <mergeCell ref="I114:J114"/>
    <mergeCell ref="K170:L170"/>
    <mergeCell ref="C123:D123"/>
    <mergeCell ref="K120:L120"/>
    <mergeCell ref="M120:N120"/>
    <mergeCell ref="C174:D174"/>
    <mergeCell ref="E174:F174"/>
    <mergeCell ref="M165:N165"/>
    <mergeCell ref="M115:N115"/>
    <mergeCell ref="G9:H9"/>
    <mergeCell ref="I9:J9"/>
    <mergeCell ref="G11:H11"/>
    <mergeCell ref="I11:J11"/>
    <mergeCell ref="A1:B1"/>
    <mergeCell ref="K173:L173"/>
    <mergeCell ref="M2:N2"/>
    <mergeCell ref="A65:B65"/>
    <mergeCell ref="C65:D65"/>
    <mergeCell ref="E69:F69"/>
    <mergeCell ref="P166:R170"/>
    <mergeCell ref="G69:H69"/>
    <mergeCell ref="A55:B55"/>
    <mergeCell ref="E6:F6"/>
    <mergeCell ref="M168:N168"/>
    <mergeCell ref="I62:J62"/>
    <mergeCell ref="A4:B4"/>
    <mergeCell ref="P130:P134"/>
    <mergeCell ref="A43:A46"/>
    <mergeCell ref="G1:H1"/>
    <mergeCell ref="G226:H226"/>
    <mergeCell ref="G217:H217"/>
    <mergeCell ref="A220:B220"/>
    <mergeCell ref="K171:L171"/>
    <mergeCell ref="M171:N171"/>
    <mergeCell ref="I65:J65"/>
    <mergeCell ref="K121:L121"/>
    <mergeCell ref="P27:P35"/>
    <mergeCell ref="A60:B60"/>
    <mergeCell ref="I222:J222"/>
    <mergeCell ref="P115:R119"/>
    <mergeCell ref="P109:Q109"/>
    <mergeCell ref="M173:N173"/>
    <mergeCell ref="P248:P250"/>
    <mergeCell ref="K123:L123"/>
    <mergeCell ref="A124:B124"/>
    <mergeCell ref="M123:N123"/>
    <mergeCell ref="C117:D117"/>
    <mergeCell ref="K174:L174"/>
    <mergeCell ref="M174:N174"/>
    <mergeCell ref="G6:H6"/>
    <mergeCell ref="P176:P180"/>
    <mergeCell ref="C115:D115"/>
    <mergeCell ref="A47:A48"/>
    <mergeCell ref="A103:A105"/>
    <mergeCell ref="P175:Q175"/>
    <mergeCell ref="M3:N3"/>
    <mergeCell ref="P97:P100"/>
    <mergeCell ref="K70:L70"/>
    <mergeCell ref="I1:J1"/>
    <mergeCell ref="P226:Q226"/>
    <mergeCell ref="M121:N121"/>
    <mergeCell ref="K167:L167"/>
    <mergeCell ref="M167:N167"/>
    <mergeCell ref="A17:A26"/>
    <mergeCell ref="A226:B226"/>
    <mergeCell ref="I217:J217"/>
    <mergeCell ref="K217:L217"/>
    <mergeCell ref="A70:B70"/>
    <mergeCell ref="I225:J225"/>
    <mergeCell ref="A90:A93"/>
    <mergeCell ref="A7:B7"/>
    <mergeCell ref="A172:B172"/>
    <mergeCell ref="C63:D63"/>
    <mergeCell ref="A52:A54"/>
    <mergeCell ref="E63:F63"/>
    <mergeCell ref="A186:A192"/>
    <mergeCell ref="I223:J223"/>
    <mergeCell ref="K2:L2"/>
    <mergeCell ref="M124:N124"/>
    <mergeCell ref="C119:D119"/>
    <mergeCell ref="E119:F119"/>
    <mergeCell ref="M116:N116"/>
    <mergeCell ref="E116:F116"/>
    <mergeCell ref="A36:A39"/>
    <mergeCell ref="P114:Q114"/>
    <mergeCell ref="E122:F122"/>
    <mergeCell ref="A216:B216"/>
    <mergeCell ref="C216:D216"/>
    <mergeCell ref="A135:A141"/>
    <mergeCell ref="P90:P93"/>
    <mergeCell ref="K175:L175"/>
    <mergeCell ref="P9:Q9"/>
    <mergeCell ref="A218:B218"/>
    <mergeCell ref="C218:D218"/>
    <mergeCell ref="P2:R6"/>
    <mergeCell ref="K119:L119"/>
    <mergeCell ref="P11:Q11"/>
    <mergeCell ref="G175:H175"/>
    <mergeCell ref="A232:A236"/>
    <mergeCell ref="I226:J226"/>
    <mergeCell ref="I8:J8"/>
    <mergeCell ref="A8:B8"/>
    <mergeCell ref="A197:A199"/>
    <mergeCell ref="Q56:R59"/>
    <mergeCell ref="C8:D8"/>
    <mergeCell ref="A171:B171"/>
    <mergeCell ref="A165:B165"/>
    <mergeCell ref="C165:D165"/>
    <mergeCell ref="A227:A231"/>
    <mergeCell ref="K222:L222"/>
    <mergeCell ref="I10:J10"/>
    <mergeCell ref="A10:B10"/>
    <mergeCell ref="A115:B115"/>
    <mergeCell ref="K66:L66"/>
    <mergeCell ref="K10:L10"/>
    <mergeCell ref="C66:D66"/>
    <mergeCell ref="M66:N66"/>
    <mergeCell ref="E66:F66"/>
    <mergeCell ref="M63:N63"/>
    <mergeCell ref="A173:B173"/>
    <mergeCell ref="K124:L124"/>
    <mergeCell ref="K3:L3"/>
    <mergeCell ref="K68:L68"/>
    <mergeCell ref="M68:N68"/>
    <mergeCell ref="A166:B166"/>
    <mergeCell ref="C68:D68"/>
    <mergeCell ref="E68:F68"/>
    <mergeCell ref="C166:D166"/>
    <mergeCell ref="M117:N117"/>
    <mergeCell ref="P1:Q1"/>
    <mergeCell ref="M67:N67"/>
    <mergeCell ref="P61:R65"/>
    <mergeCell ref="A168:B168"/>
    <mergeCell ref="M119:N119"/>
    <mergeCell ref="P155:P156"/>
    <mergeCell ref="E224:F224"/>
    <mergeCell ref="G122:H122"/>
    <mergeCell ref="G224:H224"/>
    <mergeCell ref="M69:N69"/>
    <mergeCell ref="G172:H172"/>
    <mergeCell ref="I221:J221"/>
    <mergeCell ref="P71:P75"/>
    <mergeCell ref="A120:B120"/>
    <mergeCell ref="P67:Q67"/>
    <mergeCell ref="A3:B3"/>
    <mergeCell ref="I165:J165"/>
    <mergeCell ref="K8:L8"/>
    <mergeCell ref="A5:B5"/>
    <mergeCell ref="C61:D61"/>
    <mergeCell ref="I216:J216"/>
    <mergeCell ref="A219:B219"/>
    <mergeCell ref="E61:F61"/>
    <mergeCell ref="C219:D219"/>
    <mergeCell ref="K216:L216"/>
    <mergeCell ref="P43:P46"/>
    <mergeCell ref="M122:N122"/>
    <mergeCell ref="A12:A16"/>
    <mergeCell ref="G120:H120"/>
    <mergeCell ref="A123:B123"/>
    <mergeCell ref="I120:J120"/>
    <mergeCell ref="A174:B174"/>
    <mergeCell ref="C168:D168"/>
    <mergeCell ref="K165:L165"/>
    <mergeCell ref="I115:J115"/>
    <mergeCell ref="A118:B118"/>
    <mergeCell ref="C9:D9"/>
    <mergeCell ref="E9:F9"/>
    <mergeCell ref="C167:D167"/>
    <mergeCell ref="E167:F167"/>
    <mergeCell ref="P7:Q7"/>
    <mergeCell ref="M6:N6"/>
    <mergeCell ref="C11:D11"/>
    <mergeCell ref="E11:F11"/>
    <mergeCell ref="A94:A96"/>
    <mergeCell ref="E225:F225"/>
    <mergeCell ref="G225:H225"/>
    <mergeCell ref="G4:H4"/>
    <mergeCell ref="I4:J4"/>
    <mergeCell ref="A121:B121"/>
    <mergeCell ref="A257:A258"/>
    <mergeCell ref="K218:L218"/>
    <mergeCell ref="I168:J168"/>
    <mergeCell ref="C62:D62"/>
    <mergeCell ref="C6:D6"/>
    <mergeCell ref="E62:F62"/>
    <mergeCell ref="C116:D116"/>
    <mergeCell ref="P222:Q222"/>
    <mergeCell ref="P217:R221"/>
    <mergeCell ref="K219:L219"/>
    <mergeCell ref="M219:N219"/>
    <mergeCell ref="C1:D1"/>
    <mergeCell ref="E1:F1"/>
    <mergeCell ref="C226:D226"/>
    <mergeCell ref="A130:A134"/>
    <mergeCell ref="A204:A205"/>
    <mergeCell ref="G171:H171"/>
    <mergeCell ref="I171:J171"/>
    <mergeCell ref="E65:F65"/>
    <mergeCell ref="G121:H121"/>
    <mergeCell ref="I121:J121"/>
    <mergeCell ref="C222:D222"/>
    <mergeCell ref="A206:A207"/>
    <mergeCell ref="E222:F222"/>
    <mergeCell ref="K115:L115"/>
    <mergeCell ref="P255:P256"/>
    <mergeCell ref="A244:A247"/>
    <mergeCell ref="G222:H222"/>
    <mergeCell ref="I173:J173"/>
    <mergeCell ref="P225:Q225"/>
    <mergeCell ref="G123:H123"/>
    <mergeCell ref="I123:J123"/>
    <mergeCell ref="A109:B109"/>
    <mergeCell ref="I166:J166"/>
    <mergeCell ref="A110:B113"/>
    <mergeCell ref="P49:P51"/>
    <mergeCell ref="K166:L166"/>
    <mergeCell ref="M166:N166"/>
    <mergeCell ref="A68:B68"/>
    <mergeCell ref="K116:L116"/>
    <mergeCell ref="A117:B117"/>
    <mergeCell ref="K168:L168"/>
    <mergeCell ref="M224:N224"/>
    <mergeCell ref="C175:D175"/>
    <mergeCell ref="E175:F175"/>
    <mergeCell ref="A153:A154"/>
    <mergeCell ref="P10:Q10"/>
    <mergeCell ref="M1:N1"/>
    <mergeCell ref="G70:H70"/>
    <mergeCell ref="I70:J70"/>
    <mergeCell ref="A263:B266"/>
    <mergeCell ref="P146:P148"/>
    <mergeCell ref="G7:H7"/>
    <mergeCell ref="I7:J7"/>
    <mergeCell ref="E170:F170"/>
    <mergeCell ref="K63:L63"/>
    <mergeCell ref="C124:D124"/>
    <mergeCell ref="P47:P48"/>
    <mergeCell ref="P172:Q172"/>
    <mergeCell ref="G65:H65"/>
    <mergeCell ref="P165:Q165"/>
    <mergeCell ref="E172:F172"/>
    <mergeCell ref="A63:B63"/>
    <mergeCell ref="G221:H221"/>
    <mergeCell ref="G60:H60"/>
    <mergeCell ref="I60:J60"/>
    <mergeCell ref="E223:F223"/>
    <mergeCell ref="G223:H223"/>
    <mergeCell ref="I174:J174"/>
    <mergeCell ref="G2:H2"/>
    <mergeCell ref="I124:J124"/>
    <mergeCell ref="I2:J2"/>
    <mergeCell ref="K9:L9"/>
    <mergeCell ref="M9:N9"/>
    <mergeCell ref="I116:J116"/>
    <mergeCell ref="A119:B119"/>
    <mergeCell ref="A69:B69"/>
    <mergeCell ref="Q110:R113"/>
    <mergeCell ref="K11:L11"/>
    <mergeCell ref="I218:J218"/>
    <mergeCell ref="M11:N11"/>
    <mergeCell ref="C114:D114"/>
    <mergeCell ref="E114:F114"/>
    <mergeCell ref="A200:A203"/>
    <mergeCell ref="P212:P215"/>
    <mergeCell ref="P76:P82"/>
    <mergeCell ref="A155:A156"/>
    <mergeCell ref="Q263:R266"/>
    <mergeCell ref="A248:A250"/>
    <mergeCell ref="A211:B211"/>
    <mergeCell ref="G173:H173"/>
    <mergeCell ref="A67:B67"/>
    <mergeCell ref="P197:P199"/>
    <mergeCell ref="P173:Q173"/>
    <mergeCell ref="K226:L226"/>
    <mergeCell ref="M226:N226"/>
    <mergeCell ref="P193:P196"/>
    <mergeCell ref="K114:L114"/>
    <mergeCell ref="M170:N170"/>
    <mergeCell ref="G8:H8"/>
    <mergeCell ref="A6:B6"/>
    <mergeCell ref="A259:A261"/>
    <mergeCell ref="G170:H170"/>
    <mergeCell ref="M222:N222"/>
    <mergeCell ref="C10:D10"/>
    <mergeCell ref="E10:F10"/>
    <mergeCell ref="M172:N172"/>
    <mergeCell ref="A149:A152"/>
    <mergeCell ref="G10:H10"/>
    <mergeCell ref="P161:P164"/>
    <mergeCell ref="A66:B66"/>
    <mergeCell ref="G3:H3"/>
    <mergeCell ref="A101:A102"/>
    <mergeCell ref="I3:J3"/>
    <mergeCell ref="P232:P236"/>
    <mergeCell ref="M223:N223"/>
    <mergeCell ref="I68:J68"/>
    <mergeCell ref="P120:Q120"/>
    <mergeCell ref="I117:J117"/>
    <mergeCell ref="K117:L117"/>
    <mergeCell ref="A160:B160"/>
    <mergeCell ref="I67:J67"/>
    <mergeCell ref="K61:L61"/>
    <mergeCell ref="P208:P210"/>
    <mergeCell ref="I219:J219"/>
    <mergeCell ref="M61:N61"/>
    <mergeCell ref="A122:B122"/>
    <mergeCell ref="C122:D122"/>
    <mergeCell ref="A224:B224"/>
    <mergeCell ref="P171:Q171"/>
    <mergeCell ref="C224:D224"/>
    <mergeCell ref="M175:N175"/>
    <mergeCell ref="P121:Q121"/>
    <mergeCell ref="P244:P247"/>
    <mergeCell ref="C217:D217"/>
    <mergeCell ref="A208:A210"/>
    <mergeCell ref="E217:F217"/>
    <mergeCell ref="K62:L62"/>
    <mergeCell ref="A142:A145"/>
    <mergeCell ref="P123:Q123"/>
    <mergeCell ref="P251:P254"/>
    <mergeCell ref="M114:N114"/>
    <mergeCell ref="P157:P159"/>
    <mergeCell ref="P262:Q262"/>
    <mergeCell ref="P149:P152"/>
    <mergeCell ref="G174:H174"/>
    <mergeCell ref="P83:P89"/>
    <mergeCell ref="I122:J122"/>
    <mergeCell ref="P94:P96"/>
    <mergeCell ref="P70:Q70"/>
    <mergeCell ref="K67:L67"/>
    <mergeCell ref="C120:D120"/>
    <mergeCell ref="A83:A89"/>
    <mergeCell ref="M8:N8"/>
    <mergeCell ref="C67:D67"/>
    <mergeCell ref="M62:N62"/>
    <mergeCell ref="G165:H165"/>
    <mergeCell ref="E115:F115"/>
    <mergeCell ref="I69:J69"/>
    <mergeCell ref="A9:B9"/>
    <mergeCell ref="K69:L69"/>
    <mergeCell ref="C69:D69"/>
    <mergeCell ref="A167:B167"/>
    <mergeCell ref="I6:J6"/>
    <mergeCell ref="A27:A35"/>
    <mergeCell ref="P153:P154"/>
    <mergeCell ref="A255:A256"/>
    <mergeCell ref="A11:B11"/>
    <mergeCell ref="A169:B169"/>
    <mergeCell ref="A225:B225"/>
    <mergeCell ref="C225:D225"/>
    <mergeCell ref="P60:Q60"/>
    <mergeCell ref="C4:D4"/>
    <mergeCell ref="P204:P205"/>
    <mergeCell ref="A193:A196"/>
    <mergeCell ref="E4:F4"/>
    <mergeCell ref="K122:L122"/>
    <mergeCell ref="P223:Q223"/>
    <mergeCell ref="P174:Q174"/>
    <mergeCell ref="P36:P39"/>
    <mergeCell ref="K1:L1"/>
    <mergeCell ref="P124:Q124"/>
    <mergeCell ref="A40:A42"/>
    <mergeCell ref="M65:N65"/>
    <mergeCell ref="A176:A180"/>
    <mergeCell ref="C60:D60"/>
    <mergeCell ref="I224:J224"/>
    <mergeCell ref="P17:P26"/>
    <mergeCell ref="A116:B116"/>
    <mergeCell ref="P206:P207"/>
    <mergeCell ref="A161:B164"/>
    <mergeCell ref="E124:F124"/>
    <mergeCell ref="A146:A148"/>
    <mergeCell ref="E120:F120"/>
    <mergeCell ref="A212:B215"/>
    <mergeCell ref="K6:L6"/>
    <mergeCell ref="P55:Q55"/>
    <mergeCell ref="P125:P129"/>
    <mergeCell ref="A56:B59"/>
    <mergeCell ref="E121:F121"/>
    <mergeCell ref="A222:B222"/>
    <mergeCell ref="G115:H115"/>
    <mergeCell ref="A71:A75"/>
    <mergeCell ref="E123:F123"/>
    <mergeCell ref="A125:A129"/>
    <mergeCell ref="K60:L60"/>
    <mergeCell ref="G166:H166"/>
    <mergeCell ref="P56:P59"/>
    <mergeCell ref="G116:H116"/>
    <mergeCell ref="K224:L224"/>
    <mergeCell ref="P259:P261"/>
    <mergeCell ref="G167:H167"/>
    <mergeCell ref="A175:B175"/>
    <mergeCell ref="E226:F226"/>
    <mergeCell ref="A97:A100"/>
    <mergeCell ref="M217:N217"/>
    <mergeCell ref="P66:Q66"/>
    <mergeCell ref="C70:D70"/>
    <mergeCell ref="E70:F70"/>
    <mergeCell ref="K225:L225"/>
    <mergeCell ref="M225:N225"/>
    <mergeCell ref="K7:L7"/>
    <mergeCell ref="C7:D7"/>
    <mergeCell ref="P68:Q68"/>
    <mergeCell ref="E7:F7"/>
    <mergeCell ref="K65:L65"/>
    <mergeCell ref="A170:B170"/>
    <mergeCell ref="G63:H63"/>
    <mergeCell ref="C170:D170"/>
    <mergeCell ref="I63:J63"/>
    <mergeCell ref="P110:P113"/>
    <mergeCell ref="E165:F165"/>
    <mergeCell ref="P103:P105"/>
    <mergeCell ref="A76:A82"/>
    <mergeCell ref="Q161:R164"/>
    <mergeCell ref="A181:A185"/>
    <mergeCell ref="A221:B221"/>
    <mergeCell ref="C221:D221"/>
    <mergeCell ref="P12:P16"/>
    <mergeCell ref="E221:F221"/>
    <mergeCell ref="P8:Q8"/>
    <mergeCell ref="P263:P266"/>
    <mergeCell ref="Q212:R215"/>
    <mergeCell ref="E60:F60"/>
    <mergeCell ref="A223:B223"/>
    <mergeCell ref="C223:D223"/>
    <mergeCell ref="A2:B2"/>
    <mergeCell ref="C2:D2"/>
    <mergeCell ref="P160:Q160"/>
    <mergeCell ref="E2:F2"/>
    <mergeCell ref="G124:H124"/>
    <mergeCell ref="E216:F216"/>
    <mergeCell ref="G216:H216"/>
    <mergeCell ref="I167:J167"/>
    <mergeCell ref="P122:Q122"/>
    <mergeCell ref="E218:F218"/>
    <mergeCell ref="G218:H218"/>
    <mergeCell ref="A237:A243"/>
    <mergeCell ref="P52:P54"/>
    <mergeCell ref="G119:H119"/>
    <mergeCell ref="I119:J119"/>
    <mergeCell ref="K4:L4"/>
    <mergeCell ref="M4:N4"/>
    <mergeCell ref="A114:B114"/>
    <mergeCell ref="P186:P192"/>
  </mergeCells>
  <printOptions horizontalCentered="1" verticalCentered="1"/>
  <pageMargins left="0" right="0" top="0" bottom="0" header="0" footer="0"/>
  <pageSetup orientation="landscape" paperSize="9" scale="68"/>
  <rowBreaks count="2" manualBreakCount="2">
    <brk id="153" min="0" max="1048575" man="1"/>
    <brk id="204" min="0" max="1048575" man="1"/>
  </rowBreaks>
</worksheet>
</file>

<file path=xl/worksheets/sheet6.xml><?xml version="1.0" encoding="utf-8"?>
<worksheet xmlns="http://schemas.openxmlformats.org/spreadsheetml/2006/main">
  <sheetPr>
    <tabColor rgb="FF17375E"/>
    <outlinePr summaryBelow="1" summaryRight="1"/>
    <pageSetUpPr/>
  </sheetPr>
  <dimension ref="A1:S267"/>
  <sheetViews>
    <sheetView view="pageBreakPreview" zoomScale="55" zoomScaleNormal="100" zoomScaleSheetLayoutView="55" workbookViewId="0">
      <pane ySplit="11" topLeftCell="A22" activePane="bottomLeft" state="frozen"/>
      <selection pane="bottomLeft" activeCell="G30" sqref="G30"/>
    </sheetView>
  </sheetViews>
  <sheetFormatPr baseColWidth="8" defaultColWidth="8.625" defaultRowHeight="16.5"/>
  <cols>
    <col width="7.75" customWidth="1" style="5" min="1" max="1"/>
    <col width="13.625" customWidth="1" style="3" min="2" max="2"/>
    <col width="15.125" customWidth="1" style="3" min="3" max="3"/>
    <col width="5.25" customWidth="1" style="16" min="4" max="4"/>
    <col width="15.125" customWidth="1" style="3" min="5" max="5"/>
    <col width="5.25" customWidth="1" style="16" min="6" max="6"/>
    <col width="15.125" customWidth="1" style="3" min="7" max="7"/>
    <col width="5.25" customWidth="1" style="16" min="8" max="8"/>
    <col width="15.125" customWidth="1" style="4" min="9" max="9"/>
    <col width="5.25" customWidth="1" style="16" min="10" max="10"/>
    <col width="15.125" customWidth="1" style="185" min="11" max="11"/>
    <col width="5.25" customWidth="1" style="16" min="12" max="12"/>
    <col width="15.125" customWidth="1" style="4" min="13" max="13"/>
    <col width="5.25" customWidth="1" style="78" min="14" max="14"/>
    <col width="3.625" customWidth="1" style="4" min="15" max="15"/>
    <col width="6.625" customWidth="1" style="5" min="16" max="16"/>
    <col width="12.5" customWidth="1" style="3" min="17" max="17"/>
    <col width="11.625" customWidth="1" style="17" min="18" max="18"/>
  </cols>
  <sheetData>
    <row r="1" ht="19.5" customFormat="1" customHeight="1" s="1">
      <c r="A1" s="947" t="inlineStr">
        <is>
          <t>이민호님 보장분석(전)</t>
        </is>
      </c>
      <c r="B1" s="796" t="n"/>
      <c r="C1" s="688" t="inlineStr">
        <is>
          <t>NH농협손해보험</t>
        </is>
      </c>
      <c r="D1" s="793" t="n"/>
      <c r="E1" s="688" t="inlineStr">
        <is>
          <t>NH농협손해보험</t>
        </is>
      </c>
      <c r="F1" s="793" t="n"/>
      <c r="G1" s="688" t="inlineStr">
        <is>
          <t>NH농협손해보험</t>
        </is>
      </c>
      <c r="H1" s="793" t="n"/>
      <c r="I1" s="688" t="inlineStr">
        <is>
          <t>NH농협손해보험</t>
        </is>
      </c>
      <c r="J1" s="793" t="n"/>
      <c r="K1" s="688" t="inlineStr">
        <is>
          <t>NH농협손해보험</t>
        </is>
      </c>
      <c r="L1" s="793" t="n"/>
      <c r="M1" s="995" t="inlineStr">
        <is>
          <t>NH농협손해보험</t>
        </is>
      </c>
      <c r="N1" s="996" t="n"/>
      <c r="O1" s="136" t="n"/>
      <c r="P1" s="795" t="inlineStr">
        <is>
          <t>평가 기준일</t>
        </is>
      </c>
      <c r="Q1" s="796" t="n"/>
      <c r="R1" s="137">
        <f>TODAY()</f>
        <v/>
      </c>
    </row>
    <row r="2" ht="15" customHeight="1" s="797">
      <c r="A2" s="647" t="inlineStr">
        <is>
          <t>상품명</t>
        </is>
      </c>
      <c r="B2" s="798" t="n"/>
      <c r="C2" s="696" t="inlineStr">
        <is>
          <t>가성비굿건강보험6종</t>
        </is>
      </c>
      <c r="D2" s="798" t="n"/>
      <c r="E2" s="696" t="inlineStr">
        <is>
          <t>가성비굿건강보험6종</t>
        </is>
      </c>
      <c r="F2" s="798" t="n"/>
      <c r="G2" s="696" t="inlineStr">
        <is>
          <t>베스트간병보험3종</t>
        </is>
      </c>
      <c r="H2" s="798" t="n"/>
      <c r="I2" s="696" t="inlineStr">
        <is>
          <t>올바른지구굿데이운전자보험</t>
        </is>
      </c>
      <c r="J2" s="798" t="n"/>
      <c r="K2" s="696" t="inlineStr">
        <is>
          <t>NH헤아림3.10.10건강보험3종</t>
        </is>
      </c>
      <c r="L2" s="798" t="n"/>
      <c r="M2" s="696" t="inlineStr">
        <is>
          <t>NH리치간병보험2종</t>
        </is>
      </c>
      <c r="N2" s="798" t="n"/>
      <c r="O2" s="25" t="n"/>
      <c r="P2" s="800" t="n"/>
      <c r="Q2" s="801" t="n"/>
      <c r="R2" s="802" t="n"/>
    </row>
    <row r="3" ht="15" customHeight="1" s="797">
      <c r="A3" s="647" t="inlineStr">
        <is>
          <t>계약자 / 피보험자</t>
        </is>
      </c>
      <c r="B3" s="798" t="n"/>
      <c r="C3" s="696" t="inlineStr">
        <is>
          <t>이민호/이민호</t>
        </is>
      </c>
      <c r="D3" s="798" t="n"/>
      <c r="E3" s="696" t="inlineStr">
        <is>
          <t>이민호/이민호</t>
        </is>
      </c>
      <c r="F3" s="798" t="n"/>
      <c r="G3" s="696" t="inlineStr">
        <is>
          <t>이민호/이민호</t>
        </is>
      </c>
      <c r="H3" s="798" t="n"/>
      <c r="I3" s="696" t="inlineStr">
        <is>
          <t>이민호/이민호</t>
        </is>
      </c>
      <c r="J3" s="798" t="n"/>
      <c r="K3" s="696" t="inlineStr">
        <is>
          <t>이민호/이민호</t>
        </is>
      </c>
      <c r="L3" s="798" t="n"/>
      <c r="M3" s="717" t="inlineStr">
        <is>
          <t>이민호/이민호</t>
        </is>
      </c>
      <c r="N3" s="799" t="n"/>
      <c r="O3" s="25" t="n"/>
      <c r="P3" s="804" t="n"/>
      <c r="R3" s="805" t="n"/>
    </row>
    <row r="4" ht="15" customHeight="1" s="797">
      <c r="A4" s="647" t="inlineStr">
        <is>
          <t>계약일자</t>
        </is>
      </c>
      <c r="B4" s="798" t="n"/>
      <c r="C4" s="718" t="n">
        <v>45523</v>
      </c>
      <c r="D4" s="798" t="n"/>
      <c r="E4" s="718" t="n">
        <v>45540</v>
      </c>
      <c r="F4" s="798" t="n"/>
      <c r="G4" s="718" t="n">
        <v>45545</v>
      </c>
      <c r="H4" s="798" t="n"/>
      <c r="I4" s="718" t="n">
        <v>45546</v>
      </c>
      <c r="J4" s="798" t="n"/>
      <c r="K4" s="718" t="n">
        <v>45819</v>
      </c>
      <c r="L4" s="798" t="n"/>
      <c r="M4" s="718" t="n">
        <v>45820</v>
      </c>
      <c r="N4" s="798" t="n"/>
      <c r="O4" s="25" t="n"/>
      <c r="P4" s="804" t="n"/>
      <c r="R4" s="805" t="n"/>
    </row>
    <row r="5" ht="15" customHeight="1" s="797">
      <c r="A5" s="647" t="inlineStr">
        <is>
          <t>납입기간 / 기납입기간</t>
        </is>
      </c>
      <c r="B5" s="798" t="n"/>
      <c r="C5" s="997" t="n">
        <v>30</v>
      </c>
      <c r="D5" s="1000">
        <f>IF(DATEDIF(C4,$R$1,"m")&lt;C5*12,DATEDIF(C4,$R$1,"m"),C5*12)</f>
        <v/>
      </c>
      <c r="E5" s="997" t="n">
        <v>30</v>
      </c>
      <c r="F5" s="998">
        <f>IF(DATEDIF(E4,$R$1,"m")&lt;E5*12,DATEDIF(E4,$R$1,"m"),E5*12)</f>
        <v/>
      </c>
      <c r="G5" s="997" t="n">
        <v>15</v>
      </c>
      <c r="H5" s="1000">
        <f>IF(DATEDIF(G4,$R$1,"m")&lt;G5*12,DATEDIF(G4,$R$1,"m"),G5*12)</f>
        <v/>
      </c>
      <c r="I5" s="997" t="n">
        <v>20</v>
      </c>
      <c r="J5" s="1209">
        <f>IF(DATEDIF(I4,$R$1,"m")&lt;I5*12,DATEDIF(I4,$R$1,"m"),I5*12)</f>
        <v/>
      </c>
      <c r="K5" s="999" t="n">
        <v>30</v>
      </c>
      <c r="L5" s="1000">
        <f>IF(DATEDIF(K4,$R$1,"m")&lt;K5*12,DATEDIF(K4,$R$1,"m"),K5*12)</f>
        <v/>
      </c>
      <c r="M5" s="997" t="n">
        <v>10</v>
      </c>
      <c r="N5" s="1106">
        <f>IF(DATEDIF(M4,$R$1,"m")&lt;M5*12,DATEDIF(M4,$R$1,"m"),M5*12)</f>
        <v/>
      </c>
      <c r="O5" s="25" t="n"/>
      <c r="P5" s="804" t="n"/>
      <c r="R5" s="805" t="n"/>
    </row>
    <row r="6" ht="15" customHeight="1" s="797">
      <c r="A6" s="647" t="inlineStr">
        <is>
          <t>보장기간</t>
        </is>
      </c>
      <c r="B6" s="798" t="n"/>
      <c r="C6" s="696" t="inlineStr">
        <is>
          <t>90세</t>
        </is>
      </c>
      <c r="D6" s="798" t="n"/>
      <c r="E6" s="696" t="inlineStr">
        <is>
          <t>90세</t>
        </is>
      </c>
      <c r="F6" s="798" t="n"/>
      <c r="G6" s="696" t="inlineStr">
        <is>
          <t>100세</t>
        </is>
      </c>
      <c r="H6" s="798" t="n"/>
      <c r="I6" s="696" t="inlineStr">
        <is>
          <t>77세</t>
        </is>
      </c>
      <c r="J6" s="798" t="n"/>
      <c r="K6" s="696" t="inlineStr">
        <is>
          <t>90세</t>
        </is>
      </c>
      <c r="L6" s="798" t="n"/>
      <c r="M6" s="717" t="inlineStr">
        <is>
          <t>100세</t>
        </is>
      </c>
      <c r="N6" s="799" t="n"/>
      <c r="O6" s="25" t="n"/>
      <c r="P6" s="808" t="n"/>
      <c r="Q6" s="809" t="n"/>
      <c r="R6" s="810" t="n"/>
    </row>
    <row r="7" ht="15" customHeight="1" s="797">
      <c r="A7" s="632" t="inlineStr">
        <is>
          <t>비고 / 갱신종류</t>
        </is>
      </c>
      <c r="B7" s="811" t="n"/>
      <c r="C7" s="1002" t="inlineStr">
        <is>
          <t>종합/비갱신</t>
        </is>
      </c>
      <c r="D7" s="798" t="n"/>
      <c r="E7" s="1002" t="inlineStr">
        <is>
          <t>암치료비/갱신</t>
        </is>
      </c>
      <c r="F7" s="798" t="n"/>
      <c r="G7" s="1002" t="inlineStr">
        <is>
          <t>장기요양+간병/비갱신</t>
        </is>
      </c>
      <c r="H7" s="798" t="n"/>
      <c r="I7" s="1002" t="inlineStr">
        <is>
          <t>운전자+상해/20년만기</t>
        </is>
      </c>
      <c r="J7" s="798" t="n"/>
      <c r="K7" s="1002" t="inlineStr">
        <is>
          <t>종합/비갱신</t>
        </is>
      </c>
      <c r="L7" s="798" t="n"/>
      <c r="M7" s="1003" t="inlineStr">
        <is>
          <t>장기요양/비갱신</t>
        </is>
      </c>
      <c r="N7" s="799" t="n"/>
      <c r="O7" s="25" t="n"/>
      <c r="P7" s="950" t="n"/>
      <c r="Q7" s="798" t="n"/>
      <c r="R7" s="27" t="inlineStr">
        <is>
          <t>총 보장 (원)</t>
        </is>
      </c>
    </row>
    <row r="8" ht="15" customHeight="1" s="797">
      <c r="A8" s="639" t="inlineStr">
        <is>
          <t>월 보험료</t>
        </is>
      </c>
      <c r="B8" s="798" t="n"/>
      <c r="C8" s="1004" t="n">
        <v>165676</v>
      </c>
      <c r="D8" s="798" t="n"/>
      <c r="E8" s="1004" t="n">
        <v>52102</v>
      </c>
      <c r="F8" s="798" t="n"/>
      <c r="G8" s="1004" t="n">
        <v>148688</v>
      </c>
      <c r="H8" s="798" t="n"/>
      <c r="I8" s="1004" t="n">
        <v>20000</v>
      </c>
      <c r="J8" s="798" t="n"/>
      <c r="K8" s="1004" t="n">
        <v>221395</v>
      </c>
      <c r="L8" s="798" t="n"/>
      <c r="M8" s="1004" t="n">
        <v>140000</v>
      </c>
      <c r="N8" s="798" t="n"/>
      <c r="O8" s="814" t="n"/>
      <c r="P8" s="647" t="inlineStr">
        <is>
          <t>합산 월 보험료</t>
        </is>
      </c>
      <c r="Q8" s="798" t="n"/>
      <c r="R8" s="816">
        <f>SUM(B8:N8)</f>
        <v/>
      </c>
    </row>
    <row r="9" ht="15" customHeight="1" s="797">
      <c r="A9" s="647" t="inlineStr">
        <is>
          <t>보험료 총액</t>
        </is>
      </c>
      <c r="B9" s="798" t="n"/>
      <c r="C9" s="1007">
        <f>C8*C5*12</f>
        <v/>
      </c>
      <c r="D9" s="798" t="n"/>
      <c r="E9" s="1210">
        <f>E8*E5*12</f>
        <v/>
      </c>
      <c r="F9" s="803" t="n"/>
      <c r="G9" s="1007">
        <f>G8*G5*12</f>
        <v/>
      </c>
      <c r="H9" s="798" t="n"/>
      <c r="I9" s="1007">
        <f>I8*I5*12</f>
        <v/>
      </c>
      <c r="J9" s="798" t="n"/>
      <c r="K9" s="1007">
        <f>K8*K5*12</f>
        <v/>
      </c>
      <c r="L9" s="798" t="n"/>
      <c r="M9" s="1009">
        <f>M8*M5*12</f>
        <v/>
      </c>
      <c r="N9" s="799" t="n"/>
      <c r="O9" s="814" t="n"/>
      <c r="P9" s="647" t="inlineStr">
        <is>
          <t>합산 보험료 총액</t>
        </is>
      </c>
      <c r="Q9" s="798" t="n"/>
      <c r="R9" s="818">
        <f>SUM(B9:N9)</f>
        <v/>
      </c>
    </row>
    <row r="10" ht="15" customHeight="1" s="797">
      <c r="A10" s="647" t="inlineStr">
        <is>
          <t>기 납입금</t>
        </is>
      </c>
      <c r="B10" s="798" t="n"/>
      <c r="C10" s="1007">
        <f>C8*D5</f>
        <v/>
      </c>
      <c r="D10" s="798" t="n"/>
      <c r="E10" s="1210">
        <f>E8*F5</f>
        <v/>
      </c>
      <c r="F10" s="803" t="n"/>
      <c r="G10" s="1007">
        <f>G8*H5</f>
        <v/>
      </c>
      <c r="H10" s="798" t="n"/>
      <c r="I10" s="1007">
        <f>I8*J5</f>
        <v/>
      </c>
      <c r="J10" s="798" t="n"/>
      <c r="K10" s="1007">
        <f>K8*L5</f>
        <v/>
      </c>
      <c r="L10" s="798" t="n"/>
      <c r="M10" s="1009">
        <f>M8*N5</f>
        <v/>
      </c>
      <c r="N10" s="799" t="n"/>
      <c r="O10" s="814" t="n"/>
      <c r="P10" s="647" t="inlineStr">
        <is>
          <t>합산 기 납입금</t>
        </is>
      </c>
      <c r="Q10" s="798" t="n"/>
      <c r="R10" s="818">
        <f>SUM(B10:N10)</f>
        <v/>
      </c>
    </row>
    <row r="11" ht="15" customHeight="1" s="797" thickBot="1">
      <c r="A11" s="632" t="inlineStr">
        <is>
          <t>미 납입금</t>
        </is>
      </c>
      <c r="B11" s="811" t="n"/>
      <c r="C11" s="1007">
        <f>C9-C10</f>
        <v/>
      </c>
      <c r="D11" s="798" t="n"/>
      <c r="E11" s="1210">
        <f>E9-E10</f>
        <v/>
      </c>
      <c r="F11" s="803" t="n"/>
      <c r="G11" s="1007">
        <f>G9-G10</f>
        <v/>
      </c>
      <c r="H11" s="798" t="n"/>
      <c r="I11" s="1007">
        <f>I9-I10</f>
        <v/>
      </c>
      <c r="J11" s="798" t="n"/>
      <c r="K11" s="1007">
        <f>K9-K10</f>
        <v/>
      </c>
      <c r="L11" s="798" t="n"/>
      <c r="M11" s="1009">
        <f>M9-M10</f>
        <v/>
      </c>
      <c r="N11" s="799" t="n"/>
      <c r="O11" s="814" t="n"/>
      <c r="P11" s="953" t="inlineStr">
        <is>
          <t>합산 미 납입금</t>
        </is>
      </c>
      <c r="Q11" s="954" t="n"/>
      <c r="R11" s="818">
        <f>SUM(B11:N11)</f>
        <v/>
      </c>
    </row>
    <row r="12" ht="15" customHeight="1" s="797">
      <c r="A12" s="1107" t="inlineStr">
        <is>
          <t>실비
(갱신)</t>
        </is>
      </c>
      <c r="B12" s="324" t="inlineStr">
        <is>
          <t>질병입원의료비</t>
        </is>
      </c>
      <c r="C12" s="1010" t="n"/>
      <c r="D12" s="1011" t="n"/>
      <c r="E12" s="1010" t="n"/>
      <c r="F12" s="1211" t="n"/>
      <c r="G12" s="1010" t="n"/>
      <c r="H12" s="1012" t="n"/>
      <c r="I12" s="1010" t="n"/>
      <c r="J12" s="1012" t="n"/>
      <c r="K12" s="1010" t="n"/>
      <c r="L12" s="1011" t="n"/>
      <c r="M12" s="1010" t="n"/>
      <c r="N12" s="1016" t="n"/>
      <c r="O12" s="830" t="n"/>
      <c r="P12" s="1107" t="inlineStr">
        <is>
          <t>실비
(갱신)</t>
        </is>
      </c>
      <c r="Q12" s="324" t="inlineStr">
        <is>
          <t>질병입원의료비</t>
        </is>
      </c>
      <c r="R12" s="831">
        <f>C12+E12+G12+I12+K12+M12</f>
        <v/>
      </c>
    </row>
    <row r="13" ht="15" customHeight="1" s="797">
      <c r="A13" s="832" t="n"/>
      <c r="B13" s="325" t="inlineStr">
        <is>
          <t>질병통원의료비</t>
        </is>
      </c>
      <c r="C13" s="1017" t="n"/>
      <c r="D13" s="1018" t="n"/>
      <c r="E13" s="1017" t="n"/>
      <c r="F13" s="1212" t="n"/>
      <c r="G13" s="1017" t="n"/>
      <c r="H13" s="1019" t="n"/>
      <c r="I13" s="1017" t="n"/>
      <c r="J13" s="1019" t="n"/>
      <c r="K13" s="1017" t="n"/>
      <c r="L13" s="1018" t="n"/>
      <c r="M13" s="1017" t="n"/>
      <c r="N13" s="1023" t="n"/>
      <c r="O13" s="830" t="n"/>
      <c r="P13" s="832" t="n"/>
      <c r="Q13" s="325" t="inlineStr">
        <is>
          <t>질병통원의료비</t>
        </is>
      </c>
      <c r="R13" s="840">
        <f>C13+E13+G13+I13+K13+M13</f>
        <v/>
      </c>
    </row>
    <row r="14" ht="15" customHeight="1" s="797">
      <c r="A14" s="832" t="n"/>
      <c r="B14" s="325" t="inlineStr">
        <is>
          <t>상해입원의료비</t>
        </is>
      </c>
      <c r="C14" s="1017" t="n"/>
      <c r="D14" s="1018" t="n"/>
      <c r="E14" s="1017" t="n"/>
      <c r="F14" s="1212" t="n"/>
      <c r="G14" s="1017" t="n"/>
      <c r="H14" s="1019" t="n"/>
      <c r="I14" s="1017" t="n"/>
      <c r="J14" s="1019" t="n"/>
      <c r="K14" s="1017" t="n"/>
      <c r="L14" s="1018" t="n"/>
      <c r="M14" s="1017" t="n"/>
      <c r="N14" s="1023" t="n"/>
      <c r="O14" s="830" t="n"/>
      <c r="P14" s="832" t="n"/>
      <c r="Q14" s="325" t="inlineStr">
        <is>
          <t>상해입원의료비</t>
        </is>
      </c>
      <c r="R14" s="840">
        <f>C14+E14+G14+I14+K14+M14</f>
        <v/>
      </c>
    </row>
    <row r="15" ht="15" customHeight="1" s="797">
      <c r="A15" s="832" t="n"/>
      <c r="B15" s="325" t="inlineStr">
        <is>
          <t>상해통원의료비</t>
        </is>
      </c>
      <c r="C15" s="1017" t="n"/>
      <c r="D15" s="1018" t="n"/>
      <c r="E15" s="1017" t="n"/>
      <c r="F15" s="1212" t="n"/>
      <c r="G15" s="1017" t="n"/>
      <c r="H15" s="1019" t="n"/>
      <c r="I15" s="1017" t="n"/>
      <c r="J15" s="1019" t="n"/>
      <c r="K15" s="1017" t="n"/>
      <c r="L15" s="1018" t="n"/>
      <c r="M15" s="1017" t="n"/>
      <c r="N15" s="1023" t="n"/>
      <c r="O15" s="830" t="n"/>
      <c r="P15" s="832" t="n"/>
      <c r="Q15" s="325" t="inlineStr">
        <is>
          <t>상해통원의료비</t>
        </is>
      </c>
      <c r="R15" s="840">
        <f>C15+E15+G15+I15+K15+M15</f>
        <v/>
      </c>
    </row>
    <row r="16" ht="15" customHeight="1" s="797" thickBot="1">
      <c r="A16" s="841" t="n"/>
      <c r="B16" s="141" t="inlineStr">
        <is>
          <t>3대비급여 의료비</t>
        </is>
      </c>
      <c r="C16" s="1027" t="n"/>
      <c r="D16" s="1025" t="n"/>
      <c r="E16" s="1024" t="n"/>
      <c r="F16" s="1213" t="n"/>
      <c r="G16" s="1024" t="n"/>
      <c r="H16" s="1026" t="n"/>
      <c r="I16" s="1024" t="n"/>
      <c r="J16" s="1026" t="n"/>
      <c r="K16" s="1027" t="n"/>
      <c r="L16" s="1025" t="n"/>
      <c r="M16" s="1024" t="n"/>
      <c r="N16" s="1030" t="n"/>
      <c r="O16" s="830" t="n"/>
      <c r="P16" s="841" t="n"/>
      <c r="Q16" s="141" t="inlineStr">
        <is>
          <t>3대비급여 의료비</t>
        </is>
      </c>
      <c r="R16" s="1031">
        <f>C16+E16+G16+I16+K16+M16</f>
        <v/>
      </c>
    </row>
    <row r="17" ht="15" customHeight="1" s="797">
      <c r="A17" s="626" t="inlineStr">
        <is>
          <t>암</t>
        </is>
      </c>
      <c r="B17" s="344" t="inlineStr">
        <is>
          <t>암진단비</t>
        </is>
      </c>
      <c r="C17" s="1010" t="n">
        <v>30000000</v>
      </c>
      <c r="D17" s="1032" t="inlineStr">
        <is>
          <t>90세</t>
        </is>
      </c>
      <c r="E17" s="1017" t="n"/>
      <c r="F17" s="1033" t="n"/>
      <c r="G17" s="1017" t="n"/>
      <c r="H17" s="1033" t="n"/>
      <c r="I17" s="1017" t="n"/>
      <c r="J17" s="1033" t="n"/>
      <c r="K17" s="1010" t="n">
        <v>30000000</v>
      </c>
      <c r="L17" s="1034" t="inlineStr">
        <is>
          <t>90세</t>
        </is>
      </c>
      <c r="M17" s="1010" t="n"/>
      <c r="N17" s="1046" t="n"/>
      <c r="O17" s="830" t="n"/>
      <c r="P17" s="626" t="inlineStr">
        <is>
          <t>암</t>
        </is>
      </c>
      <c r="Q17" s="344" t="inlineStr">
        <is>
          <t>암진단비</t>
        </is>
      </c>
      <c r="R17" s="831">
        <f>C17+E17+G17+I17+K17+M17</f>
        <v/>
      </c>
    </row>
    <row r="18" ht="15" customHeight="1" s="797">
      <c r="A18" s="832" t="n"/>
      <c r="B18" s="343" t="inlineStr">
        <is>
          <t>암수술</t>
        </is>
      </c>
      <c r="C18" s="1017" t="n"/>
      <c r="D18" s="1035" t="n"/>
      <c r="E18" s="1017" t="n"/>
      <c r="F18" s="1033" t="n"/>
      <c r="G18" s="1017" t="n"/>
      <c r="H18" s="1033" t="n"/>
      <c r="I18" s="1017" t="n"/>
      <c r="J18" s="1033" t="n"/>
      <c r="K18" s="1017" t="n"/>
      <c r="L18" s="1037" t="n"/>
      <c r="M18" s="1017" t="n"/>
      <c r="N18" s="1046" t="n"/>
      <c r="O18" s="830" t="n"/>
      <c r="P18" s="832" t="n"/>
      <c r="Q18" s="343" t="inlineStr">
        <is>
          <t>암수술</t>
        </is>
      </c>
      <c r="R18" s="840">
        <f>C18+E18+G18+I18+K18+M18</f>
        <v/>
      </c>
    </row>
    <row r="19" ht="15" customHeight="1" s="797">
      <c r="A19" s="832" t="n"/>
      <c r="B19" s="326" t="inlineStr">
        <is>
          <t>다빈치로봇수술</t>
        </is>
      </c>
      <c r="C19" s="1017" t="n">
        <v>2500000</v>
      </c>
      <c r="D19" s="1042" t="inlineStr">
        <is>
          <t>90세</t>
        </is>
      </c>
      <c r="E19" s="1017" t="n"/>
      <c r="F19" s="1033" t="n"/>
      <c r="G19" s="1017" t="n"/>
      <c r="H19" s="1033" t="n"/>
      <c r="I19" s="1017" t="n"/>
      <c r="J19" s="1033" t="n"/>
      <c r="K19" s="1017" t="n"/>
      <c r="L19" s="1037" t="n"/>
      <c r="M19" s="1038" t="n"/>
      <c r="N19" s="1046" t="n"/>
      <c r="O19" s="830" t="n"/>
      <c r="P19" s="832" t="n"/>
      <c r="Q19" s="326" t="inlineStr">
        <is>
          <t>다빈치로봇수술</t>
        </is>
      </c>
      <c r="R19" s="840">
        <f>C19+E19+G19+I19+K19+M19</f>
        <v/>
      </c>
    </row>
    <row r="20" ht="15" customHeight="1" s="797">
      <c r="A20" s="832" t="n"/>
      <c r="B20" s="343" t="inlineStr">
        <is>
          <t>항암방사선</t>
        </is>
      </c>
      <c r="C20" s="1017" t="n">
        <v>10000000</v>
      </c>
      <c r="D20" s="1042" t="inlineStr">
        <is>
          <t>90세</t>
        </is>
      </c>
      <c r="E20" s="1017" t="n"/>
      <c r="F20" s="1033" t="n"/>
      <c r="G20" s="1017" t="n"/>
      <c r="H20" s="1033" t="n"/>
      <c r="I20" s="1017" t="n"/>
      <c r="J20" s="1033" t="n"/>
      <c r="K20" s="1017" t="n"/>
      <c r="L20" s="1037" t="n"/>
      <c r="M20" s="1079" t="n"/>
      <c r="N20" s="1046" t="n"/>
      <c r="O20" s="830" t="n"/>
      <c r="P20" s="832" t="n"/>
      <c r="Q20" s="343" t="inlineStr">
        <is>
          <t>항암방사선</t>
        </is>
      </c>
      <c r="R20" s="840">
        <f>C20+E20+G20+I20+K20+M20</f>
        <v/>
      </c>
    </row>
    <row r="21" ht="15" customHeight="1" s="797">
      <c r="A21" s="832" t="n"/>
      <c r="B21" s="326" t="inlineStr">
        <is>
          <t>중입자방사선</t>
        </is>
      </c>
      <c r="C21" s="1017" t="n"/>
      <c r="D21" s="1042" t="n"/>
      <c r="E21" s="1017" t="n"/>
      <c r="F21" s="1033" t="n"/>
      <c r="G21" s="1017" t="n"/>
      <c r="H21" s="1033" t="n"/>
      <c r="I21" s="1017" t="n"/>
      <c r="J21" s="1033" t="n"/>
      <c r="K21" s="1017" t="n"/>
      <c r="L21" s="1037" t="n"/>
      <c r="M21" s="1079" t="n"/>
      <c r="N21" s="1046" t="n"/>
      <c r="O21" s="830" t="n"/>
      <c r="P21" s="832" t="n"/>
      <c r="Q21" s="326" t="inlineStr">
        <is>
          <t>중입자방사선</t>
        </is>
      </c>
      <c r="R21" s="840">
        <f>C21+E21+G21+I21+K21+M21</f>
        <v/>
      </c>
    </row>
    <row r="22" ht="15" customHeight="1" s="797">
      <c r="A22" s="832" t="n"/>
      <c r="B22" s="326" t="inlineStr">
        <is>
          <t>양성자방사선</t>
        </is>
      </c>
      <c r="C22" s="1017" t="n"/>
      <c r="D22" s="1042" t="n"/>
      <c r="E22" s="1017" t="n"/>
      <c r="F22" s="1033" t="n"/>
      <c r="G22" s="1017" t="n"/>
      <c r="H22" s="1033" t="n"/>
      <c r="I22" s="1017" t="n"/>
      <c r="J22" s="1033" t="n"/>
      <c r="K22" s="1017" t="n"/>
      <c r="L22" s="1037" t="n"/>
      <c r="M22" s="1079" t="n"/>
      <c r="N22" s="1046" t="n"/>
      <c r="O22" s="830" t="n"/>
      <c r="P22" s="832" t="n"/>
      <c r="Q22" s="326" t="inlineStr">
        <is>
          <t>양성자방사선</t>
        </is>
      </c>
      <c r="R22" s="840">
        <f>C22+E22+G22+I22+K22+M22</f>
        <v/>
      </c>
    </row>
    <row r="23" ht="15" customHeight="1" s="797">
      <c r="A23" s="832" t="n"/>
      <c r="B23" s="326" t="inlineStr">
        <is>
          <t>세기조절방사선</t>
        </is>
      </c>
      <c r="C23" s="1017" t="n"/>
      <c r="D23" s="1042" t="n"/>
      <c r="E23" s="1017" t="n"/>
      <c r="F23" s="1033" t="n"/>
      <c r="G23" s="1017" t="n"/>
      <c r="H23" s="1033" t="n"/>
      <c r="I23" s="1017" t="n"/>
      <c r="J23" s="1033" t="n"/>
      <c r="K23" s="1017" t="n"/>
      <c r="L23" s="1037" t="n"/>
      <c r="M23" s="1079" t="n"/>
      <c r="N23" s="1046" t="n"/>
      <c r="O23" s="830" t="n"/>
      <c r="P23" s="832" t="n"/>
      <c r="Q23" s="326" t="inlineStr">
        <is>
          <t>세기조절방사선</t>
        </is>
      </c>
      <c r="R23" s="840">
        <f>C23+E23+G23+I23+K23+M23</f>
        <v/>
      </c>
    </row>
    <row r="24" ht="15" customHeight="1" s="797">
      <c r="A24" s="832" t="n"/>
      <c r="B24" s="343" t="inlineStr">
        <is>
          <t>항암약물</t>
        </is>
      </c>
      <c r="C24" s="1017" t="n">
        <v>10000000</v>
      </c>
      <c r="D24" s="1042" t="inlineStr">
        <is>
          <t>90세</t>
        </is>
      </c>
      <c r="E24" s="1043" t="n"/>
      <c r="F24" s="1214" t="n"/>
      <c r="G24" s="1043" t="n"/>
      <c r="H24" s="1033" t="n"/>
      <c r="I24" s="1043" t="n"/>
      <c r="J24" s="1033" t="n"/>
      <c r="K24" s="1043" t="n"/>
      <c r="L24" s="1037" t="n"/>
      <c r="M24" s="1054" t="n"/>
      <c r="N24" s="1046" t="n"/>
      <c r="O24" s="830" t="n"/>
      <c r="P24" s="832" t="n"/>
      <c r="Q24" s="343" t="inlineStr">
        <is>
          <t>항암약물</t>
        </is>
      </c>
      <c r="R24" s="840">
        <f>C24+E24+G24+I24+K24+M24</f>
        <v/>
      </c>
    </row>
    <row r="25" ht="15" customHeight="1" s="797">
      <c r="A25" s="832" t="n"/>
      <c r="B25" s="326" t="inlineStr">
        <is>
          <t>표적항암약물</t>
        </is>
      </c>
      <c r="C25" s="1043" t="n">
        <v>50000000</v>
      </c>
      <c r="D25" s="1215" t="inlineStr">
        <is>
          <t>10년갱신</t>
        </is>
      </c>
      <c r="E25" s="1043" t="n"/>
      <c r="F25" s="1214" t="n"/>
      <c r="G25" s="1043" t="n"/>
      <c r="H25" s="1033" t="n"/>
      <c r="I25" s="1043" t="n"/>
      <c r="J25" s="1033" t="n"/>
      <c r="K25" s="1043" t="n"/>
      <c r="L25" s="1037" t="n"/>
      <c r="M25" s="1054" t="n"/>
      <c r="N25" s="1046" t="n"/>
      <c r="O25" s="830" t="n"/>
      <c r="P25" s="832" t="n"/>
      <c r="Q25" s="326" t="inlineStr">
        <is>
          <t>표적항암약물</t>
        </is>
      </c>
      <c r="R25" s="840">
        <f>C25+E25+G25+I25+K25+M25</f>
        <v/>
      </c>
    </row>
    <row r="26" ht="15" customHeight="1" s="797" thickBot="1">
      <c r="A26" s="832" t="n"/>
      <c r="B26" s="327" t="inlineStr">
        <is>
          <t>면역항암약물</t>
        </is>
      </c>
      <c r="C26" s="1024" t="n"/>
      <c r="D26" s="1049" t="n"/>
      <c r="E26" s="1024" t="n"/>
      <c r="F26" s="1216" t="n"/>
      <c r="G26" s="1024" t="n"/>
      <c r="H26" s="1033" t="n"/>
      <c r="I26" s="1024" t="n"/>
      <c r="J26" s="1033" t="n"/>
      <c r="K26" s="1024" t="n"/>
      <c r="L26" s="1037" t="n"/>
      <c r="M26" s="1024" t="n"/>
      <c r="N26" s="1046" t="n"/>
      <c r="O26" s="830" t="n"/>
      <c r="P26" s="832" t="n"/>
      <c r="Q26" s="327" t="inlineStr">
        <is>
          <t>면역항암약물</t>
        </is>
      </c>
      <c r="R26" s="840">
        <f>C26+E26+G26+I26+K26+M26</f>
        <v/>
      </c>
    </row>
    <row r="27" ht="15" customHeight="1" s="797">
      <c r="A27" s="721" t="inlineStr">
        <is>
          <t>2대
질병</t>
        </is>
      </c>
      <c r="B27" s="346" t="inlineStr">
        <is>
          <t>뇌혈관진단</t>
        </is>
      </c>
      <c r="C27" s="1017" t="n"/>
      <c r="D27" s="1011" t="n"/>
      <c r="E27" s="1017" t="n"/>
      <c r="F27" s="1012" t="n"/>
      <c r="G27" s="1017" t="n"/>
      <c r="H27" s="1012" t="n"/>
      <c r="I27" s="1017" t="n"/>
      <c r="J27" s="1012" t="n"/>
      <c r="K27" s="1017" t="n">
        <v>10000000</v>
      </c>
      <c r="L27" s="1034" t="inlineStr">
        <is>
          <t>90세</t>
        </is>
      </c>
      <c r="M27" s="1010" t="n"/>
      <c r="N27" s="1050" t="n"/>
      <c r="O27" s="830" t="n"/>
      <c r="P27" s="721">
        <f>A27</f>
        <v/>
      </c>
      <c r="Q27" s="145" t="inlineStr">
        <is>
          <t>뇌혈관</t>
        </is>
      </c>
      <c r="R27" s="831">
        <f>C27+E27+G27+I27+K27+M27</f>
        <v/>
      </c>
    </row>
    <row r="28" ht="15" customHeight="1" s="797">
      <c r="A28" s="832" t="n"/>
      <c r="B28" s="347" t="inlineStr">
        <is>
          <t>뇌졸증진단</t>
        </is>
      </c>
      <c r="C28" s="1017" t="n"/>
      <c r="D28" s="1036" t="n"/>
      <c r="E28" s="1038" t="n"/>
      <c r="F28" s="1033" t="n"/>
      <c r="G28" s="1017" t="n"/>
      <c r="H28" s="1033" t="n"/>
      <c r="I28" s="1017" t="n"/>
      <c r="J28" s="1033" t="n"/>
      <c r="K28" s="1017" t="n"/>
      <c r="L28" s="1037" t="n"/>
      <c r="M28" s="1038" t="n"/>
      <c r="N28" s="1046" t="n"/>
      <c r="O28" s="830" t="n"/>
      <c r="P28" s="832" t="n"/>
      <c r="Q28" s="146" t="inlineStr">
        <is>
          <t>뇌졸증</t>
        </is>
      </c>
      <c r="R28" s="840">
        <f>C28+E28+G28+I28+K28+M28</f>
        <v/>
      </c>
    </row>
    <row r="29" ht="15" customHeight="1" s="797" thickBot="1">
      <c r="A29" s="832" t="n"/>
      <c r="B29" s="348" t="inlineStr">
        <is>
          <t>뇌출혈진단</t>
        </is>
      </c>
      <c r="C29" s="1044" t="n"/>
      <c r="D29" s="1051" t="n"/>
      <c r="E29" s="1044" t="n"/>
      <c r="F29" s="1052" t="n"/>
      <c r="G29" s="1044" t="n"/>
      <c r="H29" s="1052" t="n"/>
      <c r="I29" s="1044" t="n"/>
      <c r="J29" s="1052" t="n"/>
      <c r="K29" s="1044" t="n"/>
      <c r="L29" s="1053" t="n"/>
      <c r="M29" s="1044" t="n"/>
      <c r="N29" s="1055" t="n"/>
      <c r="O29" s="830" t="n"/>
      <c r="P29" s="832" t="n"/>
      <c r="Q29" s="147" t="inlineStr">
        <is>
          <t>뇌출혈</t>
        </is>
      </c>
      <c r="R29" s="849">
        <f>C29+E29+G29+I29+K29+M29</f>
        <v/>
      </c>
    </row>
    <row r="30" ht="15" customHeight="1" s="797">
      <c r="A30" s="832" t="n"/>
      <c r="B30" s="349" t="inlineStr">
        <is>
          <t>심장질환진단</t>
        </is>
      </c>
      <c r="C30" s="1010" t="n"/>
      <c r="D30" s="1011" t="n"/>
      <c r="E30" s="1010" t="n"/>
      <c r="F30" s="1012" t="n"/>
      <c r="G30" s="1010" t="n"/>
      <c r="H30" s="1012" t="n"/>
      <c r="I30" s="1010" t="n"/>
      <c r="J30" s="1012" t="n"/>
      <c r="K30" s="1010" t="n"/>
      <c r="L30" s="1034" t="n"/>
      <c r="M30" s="1010" t="n"/>
      <c r="N30" s="1050" t="n"/>
      <c r="O30" s="830" t="n"/>
      <c r="P30" s="832" t="n"/>
      <c r="Q30" s="148" t="inlineStr">
        <is>
          <t>심장질환</t>
        </is>
      </c>
      <c r="R30" s="831">
        <f>C30+E30+G30+I30+K30+M30</f>
        <v/>
      </c>
    </row>
    <row r="31" ht="15" customHeight="1" s="797">
      <c r="A31" s="832" t="n"/>
      <c r="B31" s="350" t="inlineStr">
        <is>
          <t>허혈성심장진단</t>
        </is>
      </c>
      <c r="C31" s="1017" t="n"/>
      <c r="D31" s="1036" t="n"/>
      <c r="E31" s="1017" t="n"/>
      <c r="F31" s="1033" t="n"/>
      <c r="G31" s="1017" t="n"/>
      <c r="H31" s="1033" t="n"/>
      <c r="I31" s="1017" t="n"/>
      <c r="J31" s="1033" t="n"/>
      <c r="K31" s="1017" t="n">
        <v>10000000</v>
      </c>
      <c r="L31" s="1037" t="inlineStr">
        <is>
          <t>90세</t>
        </is>
      </c>
      <c r="M31" s="1017" t="n"/>
      <c r="N31" s="1046" t="n"/>
      <c r="O31" s="830" t="n"/>
      <c r="P31" s="832" t="n"/>
      <c r="Q31" s="149" t="inlineStr">
        <is>
          <t>허혈성심장</t>
        </is>
      </c>
      <c r="R31" s="840">
        <f>C31+E31+G31+I31+K31+M31</f>
        <v/>
      </c>
    </row>
    <row r="32" ht="15" customHeight="1" s="797" thickBot="1">
      <c r="A32" s="832" t="n"/>
      <c r="B32" s="351" t="inlineStr">
        <is>
          <t>급성심근경색진단</t>
        </is>
      </c>
      <c r="C32" s="1024" t="n"/>
      <c r="D32" s="1025" t="n"/>
      <c r="E32" s="1024" t="n"/>
      <c r="F32" s="1026" t="n"/>
      <c r="G32" s="1024" t="n"/>
      <c r="H32" s="1026" t="n"/>
      <c r="I32" s="1024" t="n"/>
      <c r="J32" s="1026" t="n"/>
      <c r="K32" s="1027" t="n"/>
      <c r="L32" s="1056" t="n"/>
      <c r="M32" s="1024" t="n"/>
      <c r="N32" s="1057" t="n"/>
      <c r="O32" s="830" t="n"/>
      <c r="P32" s="832" t="n"/>
      <c r="Q32" s="150" t="inlineStr">
        <is>
          <t>급성심근경색</t>
        </is>
      </c>
      <c r="R32" s="1031">
        <f>C32+E32+G32+I32+K32+M32</f>
        <v/>
      </c>
    </row>
    <row r="33" ht="15" customHeight="1" s="797" thickBot="1">
      <c r="A33" s="832" t="n"/>
      <c r="B33" s="283" t="inlineStr">
        <is>
          <t>2대질환주요치료비</t>
        </is>
      </c>
      <c r="C33" s="1075" t="n"/>
      <c r="D33" s="1217" t="n"/>
      <c r="E33" s="1075" t="n"/>
      <c r="F33" s="1033" t="n"/>
      <c r="G33" s="1075" t="n"/>
      <c r="H33" s="1033" t="n"/>
      <c r="I33" s="1075" t="n"/>
      <c r="J33" s="1033" t="n"/>
      <c r="K33" s="1075" t="n">
        <v>20000000</v>
      </c>
      <c r="L33" s="1218" t="inlineStr">
        <is>
          <t>90세</t>
        </is>
      </c>
      <c r="M33" s="1075" t="n"/>
      <c r="N33" s="1219" t="n"/>
      <c r="O33" s="830" t="n"/>
      <c r="P33" s="832" t="n"/>
      <c r="Q33" s="283" t="inlineStr">
        <is>
          <t>2대질환주요치료비</t>
        </is>
      </c>
      <c r="R33" s="927">
        <f>C33+E33+G33+I33+K33+M33</f>
        <v/>
      </c>
    </row>
    <row r="34" ht="15" customHeight="1" s="797">
      <c r="A34" s="1132" t="inlineStr">
        <is>
          <t>후유장해</t>
        </is>
      </c>
      <c r="B34" s="152" t="inlineStr">
        <is>
          <t>질병 80% 이상</t>
        </is>
      </c>
      <c r="C34" s="1010" t="n"/>
      <c r="D34" s="1058" t="n"/>
      <c r="E34" s="1010" t="n"/>
      <c r="F34" s="1012" t="n"/>
      <c r="G34" s="1010" t="n"/>
      <c r="H34" s="1012" t="n"/>
      <c r="I34" s="1010" t="n"/>
      <c r="J34" s="1012" t="n"/>
      <c r="K34" s="1010" t="n"/>
      <c r="L34" s="1034" t="n"/>
      <c r="M34" s="1010" t="n"/>
      <c r="N34" s="1050" t="n"/>
      <c r="O34" s="830" t="n"/>
      <c r="P34" s="1132">
        <f>A34</f>
        <v/>
      </c>
      <c r="Q34" s="152" t="inlineStr">
        <is>
          <t>질병 80% 이상</t>
        </is>
      </c>
      <c r="R34" s="831">
        <f>C34+E34+G34+I34+K34+M34</f>
        <v/>
      </c>
    </row>
    <row r="35" ht="15" customHeight="1" s="797">
      <c r="A35" s="832" t="n"/>
      <c r="B35" s="153" t="inlineStr">
        <is>
          <t>질병 3% ~80%</t>
        </is>
      </c>
      <c r="C35" s="1017" t="n"/>
      <c r="D35" s="1059" t="n"/>
      <c r="E35" s="1017" t="n"/>
      <c r="F35" s="1087" t="n"/>
      <c r="G35" s="1017" t="n"/>
      <c r="H35" s="1019" t="n"/>
      <c r="I35" s="1017" t="n"/>
      <c r="J35" s="1019" t="n"/>
      <c r="K35" s="1017" t="n"/>
      <c r="L35" s="1060" t="n"/>
      <c r="M35" s="1017" t="n"/>
      <c r="N35" s="1061" t="n"/>
      <c r="O35" s="830" t="n"/>
      <c r="P35" s="832" t="n"/>
      <c r="Q35" s="153" t="inlineStr">
        <is>
          <t>질병 3% ~80%</t>
        </is>
      </c>
      <c r="R35" s="840">
        <f>C35+E35+G35+I35+K35+M35</f>
        <v/>
      </c>
    </row>
    <row r="36" ht="15" customHeight="1" s="797">
      <c r="A36" s="832" t="n"/>
      <c r="B36" s="153" t="inlineStr">
        <is>
          <t>상해 80% 이상</t>
        </is>
      </c>
      <c r="C36" s="1017" t="n">
        <v>50000000</v>
      </c>
      <c r="D36" s="1062" t="inlineStr">
        <is>
          <t>90세</t>
        </is>
      </c>
      <c r="E36" s="1017" t="n">
        <v>10000000</v>
      </c>
      <c r="F36" s="1062" t="inlineStr">
        <is>
          <t>90세</t>
        </is>
      </c>
      <c r="G36" s="1017" t="n"/>
      <c r="H36" s="1018" t="n"/>
      <c r="I36" s="1017" t="n"/>
      <c r="J36" s="1018" t="n"/>
      <c r="K36" s="1017" t="n">
        <v>100000000</v>
      </c>
      <c r="L36" s="1060" t="inlineStr">
        <is>
          <t>90세</t>
        </is>
      </c>
      <c r="M36" s="1017" t="n"/>
      <c r="N36" s="1061" t="n"/>
      <c r="O36" s="830" t="n"/>
      <c r="P36" s="832" t="n"/>
      <c r="Q36" s="153" t="inlineStr">
        <is>
          <t>상해 80% 이상</t>
        </is>
      </c>
      <c r="R36" s="840">
        <f>C36+E36+G36+I36+K36+M36</f>
        <v/>
      </c>
    </row>
    <row r="37" ht="15" customHeight="1" s="797" thickBot="1">
      <c r="A37" s="841" t="n"/>
      <c r="B37" s="154" t="inlineStr">
        <is>
          <t>상해 3% ~ 80%</t>
        </is>
      </c>
      <c r="C37" s="1024" t="n">
        <v>50000000</v>
      </c>
      <c r="D37" s="1063" t="inlineStr">
        <is>
          <t>90세</t>
        </is>
      </c>
      <c r="E37" s="1024" t="n">
        <v>10000000</v>
      </c>
      <c r="F37" s="1063" t="inlineStr">
        <is>
          <t>90세</t>
        </is>
      </c>
      <c r="G37" s="1017" t="n"/>
      <c r="H37" s="1025" t="n"/>
      <c r="I37" s="1017" t="n"/>
      <c r="J37" s="1025" t="n"/>
      <c r="K37" s="1017" t="n">
        <v>20000000</v>
      </c>
      <c r="L37" s="1056" t="inlineStr">
        <is>
          <t>90세</t>
        </is>
      </c>
      <c r="M37" s="1024" t="n"/>
      <c r="N37" s="1057" t="n"/>
      <c r="O37" s="830" t="n"/>
      <c r="P37" s="841" t="n"/>
      <c r="Q37" s="154" t="inlineStr">
        <is>
          <t>상해 3% ~ 80%</t>
        </is>
      </c>
      <c r="R37" s="1031">
        <f>C37+E37+G37+I37+K37+M37</f>
        <v/>
      </c>
    </row>
    <row r="38" ht="15" customHeight="1" s="797">
      <c r="A38" s="1133" t="inlineStr">
        <is>
          <t>사망</t>
        </is>
      </c>
      <c r="B38" s="155" t="inlineStr">
        <is>
          <t>일반</t>
        </is>
      </c>
      <c r="C38" s="1038" t="n"/>
      <c r="D38" s="1064" t="n"/>
      <c r="E38" s="1220" t="n"/>
      <c r="F38" s="1012" t="n"/>
      <c r="G38" s="1010" t="n"/>
      <c r="H38" s="1011" t="n"/>
      <c r="I38" s="1010" t="n"/>
      <c r="J38" s="1011" t="n"/>
      <c r="K38" s="1010" t="n"/>
      <c r="L38" s="1034" t="n"/>
      <c r="M38" s="1010" t="n"/>
      <c r="N38" s="1050" t="n"/>
      <c r="O38" s="830" t="n"/>
      <c r="P38" s="1133" t="inlineStr">
        <is>
          <t>사망</t>
        </is>
      </c>
      <c r="Q38" s="155" t="inlineStr">
        <is>
          <t>일반</t>
        </is>
      </c>
      <c r="R38" s="831">
        <f>C38+E38+G38+I38+K38+M38</f>
        <v/>
      </c>
    </row>
    <row r="39" ht="15" customHeight="1" s="797">
      <c r="A39" s="832" t="n"/>
      <c r="B39" s="156" t="inlineStr">
        <is>
          <t>질병</t>
        </is>
      </c>
      <c r="C39" s="1017" t="n"/>
      <c r="D39" s="1065" t="n"/>
      <c r="E39" s="1038" t="n"/>
      <c r="F39" s="1019" t="n"/>
      <c r="G39" s="1017" t="n"/>
      <c r="H39" s="1018" t="n"/>
      <c r="I39" s="1017" t="n"/>
      <c r="J39" s="1018" t="n"/>
      <c r="K39" s="1017" t="n"/>
      <c r="L39" s="1060" t="n"/>
      <c r="M39" s="1017" t="n"/>
      <c r="N39" s="1061" t="n"/>
      <c r="O39" s="830" t="n"/>
      <c r="P39" s="832" t="n"/>
      <c r="Q39" s="156" t="inlineStr">
        <is>
          <t>질병</t>
        </is>
      </c>
      <c r="R39" s="840">
        <f>C39+E39+G39+I39+K39+M39</f>
        <v/>
      </c>
    </row>
    <row r="40" ht="15" customHeight="1" s="797" thickBot="1">
      <c r="A40" s="841" t="n"/>
      <c r="B40" s="157" t="inlineStr">
        <is>
          <t>상해</t>
        </is>
      </c>
      <c r="C40" s="1024" t="n"/>
      <c r="D40" s="1066" t="n"/>
      <c r="E40" s="1024" t="n"/>
      <c r="F40" s="1026" t="n"/>
      <c r="G40" s="1024" t="n"/>
      <c r="H40" s="1025" t="n"/>
      <c r="I40" s="1024" t="n"/>
      <c r="J40" s="1025" t="n"/>
      <c r="K40" s="1024" t="n">
        <v>100000000</v>
      </c>
      <c r="L40" s="1056" t="inlineStr">
        <is>
          <t>90세</t>
        </is>
      </c>
      <c r="M40" s="1024" t="n"/>
      <c r="N40" s="1057" t="n"/>
      <c r="O40" s="830" t="n"/>
      <c r="P40" s="841" t="n"/>
      <c r="Q40" s="157" t="inlineStr">
        <is>
          <t>상해</t>
        </is>
      </c>
      <c r="R40" s="1031">
        <f>C40+E40+G40+I40+K40+M40</f>
        <v/>
      </c>
      <c r="S40" s="2" t="n"/>
    </row>
    <row r="41" ht="15" customHeight="1" s="797">
      <c r="A41" s="746" t="inlineStr">
        <is>
          <t>수술비</t>
        </is>
      </c>
      <c r="B41" s="158" t="inlineStr">
        <is>
          <t>질병</t>
        </is>
      </c>
      <c r="C41" s="1015" t="n">
        <v>300000</v>
      </c>
      <c r="D41" s="1032" t="inlineStr">
        <is>
          <t>90세</t>
        </is>
      </c>
      <c r="E41" s="1015" t="n"/>
      <c r="F41" s="1033" t="n"/>
      <c r="G41" s="1010" t="n"/>
      <c r="H41" s="1036" t="n"/>
      <c r="I41" s="1010" t="n"/>
      <c r="J41" s="1036" t="n"/>
      <c r="K41" s="1015" t="n"/>
      <c r="L41" s="1034" t="n"/>
      <c r="M41" s="1038" t="n"/>
      <c r="N41" s="1046" t="n"/>
      <c r="O41" s="830" t="n"/>
      <c r="P41" s="746" t="inlineStr">
        <is>
          <t>수술비</t>
        </is>
      </c>
      <c r="Q41" s="158" t="inlineStr">
        <is>
          <t>질병</t>
        </is>
      </c>
      <c r="R41" s="831">
        <f>C41+E41+G41+I41+K41+M41</f>
        <v/>
      </c>
    </row>
    <row r="42" ht="15" customHeight="1" s="797">
      <c r="A42" s="832" t="n"/>
      <c r="B42" s="158" t="inlineStr">
        <is>
          <t>상해</t>
        </is>
      </c>
      <c r="C42" s="1022" t="n"/>
      <c r="D42" s="1068" t="n"/>
      <c r="E42" s="1022" t="n"/>
      <c r="F42" s="1019" t="n"/>
      <c r="G42" s="1017" t="n"/>
      <c r="H42" s="1018" t="n"/>
      <c r="I42" s="1017" t="n"/>
      <c r="J42" s="1018" t="n"/>
      <c r="K42" s="1022" t="n"/>
      <c r="L42" s="1060" t="n"/>
      <c r="M42" s="1017" t="n"/>
      <c r="N42" s="1046" t="n"/>
      <c r="O42" s="830" t="n"/>
      <c r="P42" s="832" t="n"/>
      <c r="Q42" s="158" t="inlineStr">
        <is>
          <t>상해</t>
        </is>
      </c>
      <c r="R42" s="881">
        <f>C42+E42+G42+I42+K42+M42</f>
        <v/>
      </c>
    </row>
    <row r="43" ht="15" customHeight="1" s="797">
      <c r="A43" s="832" t="n"/>
      <c r="B43" s="292" t="inlineStr">
        <is>
          <t>질병1-5종</t>
        </is>
      </c>
      <c r="C43" s="1022" t="n">
        <v>6000000</v>
      </c>
      <c r="D43" s="1068" t="inlineStr">
        <is>
          <t>90세</t>
        </is>
      </c>
      <c r="E43" s="1022" t="n"/>
      <c r="F43" s="1033" t="n"/>
      <c r="G43" s="1017" t="n"/>
      <c r="H43" s="1036" t="n"/>
      <c r="I43" s="1017" t="n"/>
      <c r="J43" s="1036" t="n"/>
      <c r="K43" s="1017" t="n"/>
      <c r="L43" s="1037" t="n"/>
      <c r="M43" s="1017" t="n"/>
      <c r="N43" s="1046" t="n"/>
      <c r="O43" s="830" t="n"/>
      <c r="P43" s="832" t="n"/>
      <c r="Q43" s="292" t="inlineStr">
        <is>
          <t>질병1-5종</t>
        </is>
      </c>
      <c r="R43" s="840">
        <f>C43+E43+G43+I43+K43+M43</f>
        <v/>
      </c>
    </row>
    <row r="44" ht="15" customHeight="1" s="797" thickBot="1">
      <c r="A44" s="832" t="n"/>
      <c r="B44" s="287" t="inlineStr">
        <is>
          <t>N대질병</t>
        </is>
      </c>
      <c r="C44" s="1045" t="n">
        <v>20000000</v>
      </c>
      <c r="D44" s="1067" t="inlineStr">
        <is>
          <t>90세</t>
        </is>
      </c>
      <c r="E44" s="1045" t="n"/>
      <c r="F44" s="1052" t="n"/>
      <c r="G44" s="1043" t="n"/>
      <c r="H44" s="1051" t="n"/>
      <c r="I44" s="1043" t="n"/>
      <c r="J44" s="1051" t="n"/>
      <c r="K44" s="1045" t="n"/>
      <c r="L44" s="1070" t="n"/>
      <c r="M44" s="1045" t="n"/>
      <c r="N44" s="1071" t="n"/>
      <c r="O44" s="830" t="n"/>
      <c r="P44" s="832" t="n"/>
      <c r="Q44" s="287" t="inlineStr">
        <is>
          <t>N대질병</t>
        </is>
      </c>
      <c r="R44" s="1031">
        <f>C44+E44+G44+I44+K44+M44</f>
        <v/>
      </c>
    </row>
    <row r="45" ht="15" customHeight="1" s="797">
      <c r="A45" s="1139" t="inlineStr">
        <is>
          <t>진단비</t>
        </is>
      </c>
      <c r="B45" s="229" t="inlineStr">
        <is>
          <t>골절</t>
        </is>
      </c>
      <c r="C45" s="1010" t="n">
        <v>300000</v>
      </c>
      <c r="D45" s="1073" t="inlineStr">
        <is>
          <t>90세</t>
        </is>
      </c>
      <c r="E45" s="1010" t="n"/>
      <c r="F45" s="1012" t="n"/>
      <c r="G45" s="1010" t="n"/>
      <c r="H45" s="1011" t="n"/>
      <c r="I45" s="1010" t="n">
        <v>200000</v>
      </c>
      <c r="J45" s="1011" t="inlineStr">
        <is>
          <t>77세</t>
        </is>
      </c>
      <c r="K45" s="1010" t="n"/>
      <c r="L45" s="1034" t="n"/>
      <c r="M45" s="1010" t="n"/>
      <c r="N45" s="1050" t="n"/>
      <c r="O45" s="830" t="n"/>
      <c r="P45" s="748" t="inlineStr">
        <is>
          <t>진단비</t>
        </is>
      </c>
      <c r="Q45" s="229" t="inlineStr">
        <is>
          <t>골절</t>
        </is>
      </c>
      <c r="R45" s="831">
        <f>C45+E45+G45+I45+K45+M45</f>
        <v/>
      </c>
    </row>
    <row r="46" ht="15" customHeight="1" s="797" thickBot="1">
      <c r="A46" s="841" t="n"/>
      <c r="B46" s="252" t="inlineStr">
        <is>
          <t>화상</t>
        </is>
      </c>
      <c r="C46" s="1075" t="n"/>
      <c r="D46" s="1076" t="n"/>
      <c r="E46" s="1075" t="n"/>
      <c r="F46" s="1026" t="n"/>
      <c r="G46" s="1075" t="n"/>
      <c r="H46" s="1025" t="n"/>
      <c r="I46" s="1075" t="n"/>
      <c r="J46" s="1025" t="n"/>
      <c r="K46" s="1075" t="n"/>
      <c r="L46" s="1218" t="n"/>
      <c r="M46" s="1075" t="n"/>
      <c r="N46" s="1219" t="n"/>
      <c r="O46" s="830" t="n"/>
      <c r="P46" s="832" t="n"/>
      <c r="Q46" s="161" t="inlineStr">
        <is>
          <t>화상</t>
        </is>
      </c>
      <c r="R46" s="1031">
        <f>C46+E46+G46+I46+K46+M46</f>
        <v/>
      </c>
    </row>
    <row r="47" ht="15" customHeight="1" s="797">
      <c r="A47" s="751" t="inlineStr">
        <is>
          <t>간병인</t>
        </is>
      </c>
      <c r="B47" s="308" t="inlineStr">
        <is>
          <t>병원사용</t>
        </is>
      </c>
      <c r="C47" s="1038" t="n"/>
      <c r="D47" s="1059" t="n"/>
      <c r="E47" s="1038" t="n"/>
      <c r="F47" s="1033" t="n"/>
      <c r="G47" s="1038" t="n">
        <v>100000</v>
      </c>
      <c r="H47" s="1037" t="inlineStr">
        <is>
          <t>100세</t>
        </is>
      </c>
      <c r="I47" s="1038" t="n"/>
      <c r="J47" s="1036" t="n"/>
      <c r="K47" s="1079" t="n">
        <v>100000</v>
      </c>
      <c r="L47" s="1037" t="inlineStr">
        <is>
          <t>90세</t>
        </is>
      </c>
      <c r="M47" s="1079" t="n"/>
      <c r="N47" s="1046" t="n"/>
      <c r="O47" s="830" t="n"/>
      <c r="P47" s="751" t="inlineStr">
        <is>
          <t>간병인</t>
        </is>
      </c>
      <c r="Q47" s="308" t="inlineStr">
        <is>
          <t>병원사용</t>
        </is>
      </c>
      <c r="R47" s="831">
        <f>C47+E47+G47+I47+K47+M47</f>
        <v/>
      </c>
    </row>
    <row r="48" ht="15" customHeight="1" s="797">
      <c r="A48" s="832" t="n"/>
      <c r="B48" s="309" t="inlineStr">
        <is>
          <t>요양병원사용</t>
        </is>
      </c>
      <c r="C48" s="1044" t="n"/>
      <c r="D48" s="1081" t="n"/>
      <c r="E48" s="1044" t="n"/>
      <c r="F48" s="1033" t="n"/>
      <c r="G48" s="1044" t="n">
        <v>20000</v>
      </c>
      <c r="H48" s="1037" t="inlineStr">
        <is>
          <t>100세</t>
        </is>
      </c>
      <c r="I48" s="1044" t="n"/>
      <c r="J48" s="1036" t="n"/>
      <c r="K48" s="1054" t="n">
        <v>30000</v>
      </c>
      <c r="L48" s="1053" t="inlineStr">
        <is>
          <t>90세</t>
        </is>
      </c>
      <c r="M48" s="1054" t="n"/>
      <c r="N48" s="1055" t="n"/>
      <c r="O48" s="830" t="n"/>
      <c r="P48" s="832" t="n"/>
      <c r="Q48" s="309" t="inlineStr">
        <is>
          <t>요양병원사용</t>
        </is>
      </c>
      <c r="R48" s="840">
        <f>C48+E48+G48+I48+K48+M48</f>
        <v/>
      </c>
    </row>
    <row r="49" ht="15" customHeight="1" s="797" thickBot="1">
      <c r="A49" s="841" t="n"/>
      <c r="B49" s="310" t="inlineStr">
        <is>
          <t>간호간병통합사용</t>
        </is>
      </c>
      <c r="C49" s="1024" t="n"/>
      <c r="D49" s="1083" t="n"/>
      <c r="E49" s="1024" t="n"/>
      <c r="F49" s="1033" t="n"/>
      <c r="G49" s="1024" t="n">
        <v>20000</v>
      </c>
      <c r="H49" s="1037" t="inlineStr">
        <is>
          <t>100세</t>
        </is>
      </c>
      <c r="I49" s="1024" t="n"/>
      <c r="J49" s="1036" t="n"/>
      <c r="K49" s="1027" t="n"/>
      <c r="L49" s="1056" t="n"/>
      <c r="M49" s="1027" t="n"/>
      <c r="N49" s="1057" t="n"/>
      <c r="O49" s="830" t="n"/>
      <c r="P49" s="841" t="n"/>
      <c r="Q49" s="310" t="inlineStr">
        <is>
          <t>간호간병통합사용</t>
        </is>
      </c>
      <c r="R49" s="1031">
        <f>C49+E49+G49+I49+K49+M49</f>
        <v/>
      </c>
    </row>
    <row r="50" ht="15" customHeight="1" s="797">
      <c r="A50" s="1147" t="inlineStr">
        <is>
          <t>운전자</t>
        </is>
      </c>
      <c r="B50" s="144" t="inlineStr">
        <is>
          <t>벌금</t>
        </is>
      </c>
      <c r="C50" s="1010" t="n"/>
      <c r="D50" s="1084" t="n"/>
      <c r="E50" s="1013" t="n"/>
      <c r="F50" s="1012" t="n"/>
      <c r="G50" s="1010" t="n"/>
      <c r="H50" s="1034" t="n"/>
      <c r="I50" s="1010" t="n">
        <v>20000000</v>
      </c>
      <c r="J50" s="1011" t="inlineStr">
        <is>
          <t>77세</t>
        </is>
      </c>
      <c r="K50" s="1010" t="n"/>
      <c r="L50" s="1034" t="n"/>
      <c r="M50" s="1010" t="n"/>
      <c r="N50" s="1050" t="n"/>
      <c r="O50" s="830" t="n"/>
      <c r="P50" s="1147" t="inlineStr">
        <is>
          <t>운전자</t>
        </is>
      </c>
      <c r="Q50" s="144" t="inlineStr">
        <is>
          <t>벌금</t>
        </is>
      </c>
      <c r="R50" s="831">
        <f>C50+E50+G50+I50+K50+M50</f>
        <v/>
      </c>
    </row>
    <row r="51" ht="15" customHeight="1" s="797">
      <c r="A51" s="832" t="n"/>
      <c r="B51" s="144" t="inlineStr">
        <is>
          <t>변호사선임</t>
        </is>
      </c>
      <c r="C51" s="1017" t="n"/>
      <c r="D51" s="1086" t="n"/>
      <c r="E51" s="1020" t="n"/>
      <c r="F51" s="1019" t="n"/>
      <c r="G51" s="1017" t="n"/>
      <c r="H51" s="1060" t="n"/>
      <c r="I51" s="1017" t="n">
        <v>50000000</v>
      </c>
      <c r="J51" s="16" t="inlineStr">
        <is>
          <t>77세</t>
        </is>
      </c>
      <c r="K51" s="1017" t="n"/>
      <c r="L51" s="1060" t="n"/>
      <c r="M51" s="1017" t="n"/>
      <c r="N51" s="1061" t="n"/>
      <c r="O51" s="830" t="n"/>
      <c r="P51" s="832" t="n"/>
      <c r="Q51" s="144" t="inlineStr">
        <is>
          <t>변호사선임</t>
        </is>
      </c>
      <c r="R51" s="840">
        <f>C51+E51+G51+I51+K51+M51</f>
        <v/>
      </c>
    </row>
    <row r="52" ht="15" customHeight="1" s="797" thickBot="1">
      <c r="A52" s="841" t="n"/>
      <c r="B52" s="164" t="inlineStr">
        <is>
          <t>교통사고처리지원</t>
        </is>
      </c>
      <c r="C52" s="1038" t="n"/>
      <c r="D52" s="1059" t="n"/>
      <c r="E52" s="1117" t="n"/>
      <c r="F52" s="1033" t="n"/>
      <c r="G52" s="1038" t="n"/>
      <c r="H52" s="1037" t="n"/>
      <c r="I52" s="1038" t="n">
        <v>200000000</v>
      </c>
      <c r="J52" s="1018" t="inlineStr">
        <is>
          <t>77세</t>
        </is>
      </c>
      <c r="K52" s="1038" t="n"/>
      <c r="L52" s="1037" t="n"/>
      <c r="M52" s="1038" t="n"/>
      <c r="N52" s="1046" t="n"/>
      <c r="O52" s="830" t="n"/>
      <c r="P52" s="841" t="n"/>
      <c r="Q52" s="164" t="inlineStr">
        <is>
          <t>교통사고처리지원</t>
        </is>
      </c>
      <c r="R52" s="1031">
        <f>C52+E52+G52+I52+K52+M52</f>
        <v/>
      </c>
    </row>
    <row r="53" ht="15" customHeight="1" s="797" thickBot="1">
      <c r="A53" s="735" t="inlineStr">
        <is>
          <t>일상생활배상책임</t>
        </is>
      </c>
      <c r="B53" s="919" t="n"/>
      <c r="C53" s="1089" t="n"/>
      <c r="D53" s="1090" t="n"/>
      <c r="E53" s="1089" t="n"/>
      <c r="F53" s="1091" t="n"/>
      <c r="G53" s="1089" t="n"/>
      <c r="H53" s="1092" t="n"/>
      <c r="I53" s="1089" t="n"/>
      <c r="J53" s="1095" t="n"/>
      <c r="K53" s="1089" t="n"/>
      <c r="L53" s="1092" t="n"/>
      <c r="M53" s="1089" t="n"/>
      <c r="N53" s="1221" t="n"/>
      <c r="O53" s="830" t="n"/>
      <c r="P53" s="735" t="inlineStr">
        <is>
          <t>일상생활배상책임</t>
        </is>
      </c>
      <c r="Q53" s="919" t="n"/>
      <c r="R53" s="1031">
        <f>C53+E53+G53+I53+K53+M53</f>
        <v/>
      </c>
    </row>
    <row r="54" ht="15" customHeight="1" s="797">
      <c r="A54" s="1149" t="inlineStr">
        <is>
          <t>기타</t>
        </is>
      </c>
      <c r="B54" s="937" t="n"/>
      <c r="C54" s="1098" t="inlineStr">
        <is>
          <t>2대질병산정특례1000만</t>
        </is>
      </c>
      <c r="D54" s="1099" t="inlineStr">
        <is>
          <t>20년갱신</t>
        </is>
      </c>
      <c r="E54" s="1098" t="inlineStr">
        <is>
          <t>암주요치료지원금1억</t>
        </is>
      </c>
      <c r="F54" s="1018" t="inlineStr">
        <is>
          <t>10년갱신</t>
        </is>
      </c>
      <c r="G54" s="1098" t="inlineStr">
        <is>
          <t>장기요양진단1급1,000만</t>
        </is>
      </c>
      <c r="H54" s="1034" t="inlineStr">
        <is>
          <t>100세</t>
        </is>
      </c>
      <c r="I54" s="1098" t="inlineStr">
        <is>
          <t>자동차부상치료30만원</t>
        </is>
      </c>
      <c r="J54" s="1222" t="inlineStr">
        <is>
          <t>77세</t>
        </is>
      </c>
      <c r="K54" s="1102" t="inlineStr">
        <is>
          <t>상해입원수술50만</t>
        </is>
      </c>
      <c r="L54" s="1034" t="inlineStr">
        <is>
          <t>90세</t>
        </is>
      </c>
      <c r="M54" s="1098" t="inlineStr">
        <is>
          <t>장기요양진단1급1,000만</t>
        </is>
      </c>
      <c r="N54" s="1223" t="inlineStr">
        <is>
          <t>100세</t>
        </is>
      </c>
      <c r="O54" s="830" t="n"/>
      <c r="P54" s="1151" t="inlineStr">
        <is>
          <t>기타</t>
        </is>
      </c>
      <c r="Q54" s="936" t="n"/>
      <c r="R54" s="937" t="n"/>
    </row>
    <row r="55" ht="15" customHeight="1" s="797">
      <c r="A55" s="804" t="n"/>
      <c r="B55" s="805" t="n"/>
      <c r="C55" s="1101" t="inlineStr">
        <is>
          <t>특정암산적특례2000만</t>
        </is>
      </c>
      <c r="D55" s="1041" t="inlineStr">
        <is>
          <t>20년갱신</t>
        </is>
      </c>
      <c r="E55" s="1101" t="inlineStr">
        <is>
          <t>암주요치료1000만</t>
        </is>
      </c>
      <c r="F55" s="1036" t="inlineStr">
        <is>
          <t>10년갱신</t>
        </is>
      </c>
      <c r="G55" s="1101" t="inlineStr">
        <is>
          <t>장기요양진단2급2000만</t>
        </is>
      </c>
      <c r="H55" s="1060" t="inlineStr">
        <is>
          <t>100세</t>
        </is>
      </c>
      <c r="I55" s="1101" t="n"/>
      <c r="J55" s="1224" t="n"/>
      <c r="K55" s="316" t="inlineStr">
        <is>
          <t>상해1~8종수술1500만</t>
        </is>
      </c>
      <c r="L55" s="1060" t="inlineStr">
        <is>
          <t>90세</t>
        </is>
      </c>
      <c r="M55" s="1101" t="inlineStr">
        <is>
          <t>장기요양진단2급500만</t>
        </is>
      </c>
      <c r="N55" s="1225" t="inlineStr">
        <is>
          <t>100세</t>
        </is>
      </c>
      <c r="O55" s="830" t="n"/>
      <c r="P55" s="804" t="n"/>
      <c r="Q55" s="804" t="n"/>
      <c r="R55" s="805" t="n"/>
    </row>
    <row r="56" ht="15" customHeight="1" s="797">
      <c r="A56" s="804" t="n"/>
      <c r="B56" s="805" t="n"/>
      <c r="C56" s="1101" t="inlineStr">
        <is>
          <t>방사선세기조절2,000만</t>
        </is>
      </c>
      <c r="D56" s="1041" t="inlineStr">
        <is>
          <t>10년갱신</t>
        </is>
      </c>
      <c r="E56" s="1101" t="n"/>
      <c r="F56" s="1036" t="n"/>
      <c r="G56" s="1101" t="inlineStr">
        <is>
          <t>장기요양진단4급1000만</t>
        </is>
      </c>
      <c r="H56" s="1060" t="inlineStr">
        <is>
          <t>100세</t>
        </is>
      </c>
      <c r="I56" s="1101" t="n"/>
      <c r="J56" s="1036" t="n"/>
      <c r="K56" s="1102" t="n"/>
      <c r="L56" s="1018" t="n"/>
      <c r="M56" s="1101" t="inlineStr">
        <is>
          <t>장기요양진단4급1,000만</t>
        </is>
      </c>
      <c r="N56" s="1223" t="inlineStr">
        <is>
          <t>100세</t>
        </is>
      </c>
      <c r="O56" s="830" t="n"/>
      <c r="P56" s="804" t="n"/>
      <c r="Q56" s="804" t="n"/>
      <c r="R56" s="805" t="n"/>
    </row>
    <row r="57" ht="15" customHeight="1" s="797" thickBot="1">
      <c r="A57" s="942" t="n"/>
      <c r="B57" s="946" t="n"/>
      <c r="C57" s="1103" t="inlineStr">
        <is>
          <t>방사선양성자2,000만</t>
        </is>
      </c>
      <c r="D57" s="1049" t="inlineStr">
        <is>
          <t>10년갱신</t>
        </is>
      </c>
      <c r="E57" s="1103" t="n"/>
      <c r="F57" s="1226" t="n"/>
      <c r="G57" s="1103" t="inlineStr">
        <is>
          <t>장기요양진단5급1000만</t>
        </is>
      </c>
      <c r="H57" s="1056" t="inlineStr">
        <is>
          <t>100세</t>
        </is>
      </c>
      <c r="I57" s="1103" t="n"/>
      <c r="J57" s="1026" t="n"/>
      <c r="K57" s="1104" t="n"/>
      <c r="L57" s="1026" t="n"/>
      <c r="M57" s="1103" t="n"/>
      <c r="N57" s="1057" t="n"/>
      <c r="O57" s="830" t="n"/>
      <c r="P57" s="942" t="n"/>
      <c r="Q57" s="942" t="n"/>
      <c r="R57" s="946" t="n"/>
    </row>
    <row r="58" ht="17.25" customHeight="1" s="797">
      <c r="A58" s="947">
        <f>A1</f>
        <v/>
      </c>
      <c r="B58" s="796" t="n"/>
      <c r="C58" s="994" t="inlineStr">
        <is>
          <t>푸본현대생명</t>
        </is>
      </c>
      <c r="D58" s="796" t="n"/>
      <c r="E58" s="994" t="n"/>
      <c r="F58" s="796" t="n"/>
      <c r="G58" s="994" t="n"/>
      <c r="H58" s="796" t="n"/>
      <c r="I58" s="994" t="n"/>
      <c r="J58" s="796" t="n"/>
      <c r="K58" s="994" t="n"/>
      <c r="L58" s="796" t="n"/>
      <c r="M58" s="995" t="n"/>
      <c r="N58" s="996" t="n"/>
      <c r="O58" s="138" t="n"/>
      <c r="P58" s="795" t="inlineStr">
        <is>
          <t>평가 기준일</t>
        </is>
      </c>
      <c r="Q58" s="796" t="n"/>
      <c r="R58" s="137">
        <f>R1</f>
        <v/>
      </c>
    </row>
    <row r="59" ht="15" customHeight="1" s="797">
      <c r="A59" s="647" t="inlineStr">
        <is>
          <t>상품명</t>
        </is>
      </c>
      <c r="B59" s="798" t="n"/>
      <c r="C59" s="696" t="inlineStr">
        <is>
          <t>건강보험마이픽</t>
        </is>
      </c>
      <c r="D59" s="798" t="n"/>
      <c r="E59" s="696" t="n"/>
      <c r="F59" s="798" t="n"/>
      <c r="G59" s="696" t="n"/>
      <c r="H59" s="798" t="n"/>
      <c r="I59" s="696" t="n"/>
      <c r="J59" s="798" t="n"/>
      <c r="K59" s="696" t="n"/>
      <c r="L59" s="798" t="n"/>
      <c r="M59" s="696" t="n"/>
      <c r="N59" s="798" t="n"/>
      <c r="O59" s="25" t="n"/>
      <c r="P59" s="948" t="n"/>
      <c r="Q59" s="801" t="n"/>
      <c r="R59" s="802" t="n"/>
    </row>
    <row r="60" ht="15" customHeight="1" s="797">
      <c r="A60" s="647" t="inlineStr">
        <is>
          <t>계약자 / 피보험자</t>
        </is>
      </c>
      <c r="B60" s="798" t="n"/>
      <c r="C60" s="718" t="inlineStr">
        <is>
          <t>이민호/이민호</t>
        </is>
      </c>
      <c r="D60" s="798" t="n"/>
      <c r="E60" s="718" t="n"/>
      <c r="F60" s="798" t="n"/>
      <c r="G60" s="718" t="n"/>
      <c r="H60" s="798" t="n"/>
      <c r="I60" s="718" t="n"/>
      <c r="J60" s="798" t="n"/>
      <c r="K60" s="718" t="n"/>
      <c r="L60" s="798" t="n"/>
      <c r="M60" s="718" t="n"/>
      <c r="N60" s="798" t="n"/>
      <c r="O60" s="25" t="n"/>
      <c r="P60" s="804" t="n"/>
      <c r="R60" s="805" t="n"/>
    </row>
    <row r="61" ht="15" customHeight="1" s="797">
      <c r="A61" s="647" t="inlineStr">
        <is>
          <t>계약일자</t>
        </is>
      </c>
      <c r="B61" s="798" t="n"/>
      <c r="C61" s="718" t="n">
        <v>45895</v>
      </c>
      <c r="D61" s="798" t="n"/>
      <c r="E61" s="718" t="n"/>
      <c r="F61" s="798" t="n"/>
      <c r="G61" s="718" t="n"/>
      <c r="H61" s="798" t="n"/>
      <c r="I61" s="718" t="n"/>
      <c r="J61" s="798" t="n"/>
      <c r="K61" s="718" t="n"/>
      <c r="L61" s="798" t="n"/>
      <c r="M61" s="718" t="n"/>
      <c r="N61" s="798" t="n"/>
      <c r="O61" s="25" t="n"/>
      <c r="P61" s="804" t="n"/>
      <c r="R61" s="805" t="n"/>
    </row>
    <row r="62" ht="15" customHeight="1" s="797">
      <c r="A62" s="647" t="inlineStr">
        <is>
          <t>납입기간 / 기납입기간</t>
        </is>
      </c>
      <c r="B62" s="798" t="n"/>
      <c r="C62" s="997" t="n">
        <v>20</v>
      </c>
      <c r="D62" s="1000">
        <f>IF(DATEDIF(C61,$R$1,"m")&lt;C62*12,DATEDIF(C61,$R$1,"m"),C62*12)</f>
        <v/>
      </c>
      <c r="E62" s="997" t="n"/>
      <c r="F62" s="1000">
        <f>IF(DATEDIF(E61,$R$1,"m")&lt;E62*12,DATEDIF(E61,$R$1,"m"),E62*12)</f>
        <v/>
      </c>
      <c r="G62" s="997" t="n"/>
      <c r="H62" s="1000">
        <f>IF(DATEDIF(G61,$R$1,"m")&lt;G62*12,DATEDIF(G61,$R$1,"m"),G62*12)</f>
        <v/>
      </c>
      <c r="I62" s="997" t="n"/>
      <c r="J62" s="1000">
        <f>IF(DATEDIF(I61,$R$1,"m")&lt;I62*12,DATEDIF(I61,$R$1,"m"),I62*12)</f>
        <v/>
      </c>
      <c r="K62" s="997" t="n"/>
      <c r="L62" s="1000">
        <f>IF(DATEDIF(K61,$R$1,"m")&lt;K62*12,DATEDIF(K61,$R$1,"m"),K62*12)</f>
        <v/>
      </c>
      <c r="M62" s="997" t="n"/>
      <c r="N62" s="1106">
        <f>IF(DATEDIF(M61,$R$1,"m")&lt;M62*12,DATEDIF(M61,$R$1,"m"),M62*12)</f>
        <v/>
      </c>
      <c r="O62" s="25" t="n"/>
      <c r="P62" s="804" t="n"/>
      <c r="R62" s="805" t="n"/>
    </row>
    <row r="63" ht="15" customHeight="1" s="797">
      <c r="A63" s="647" t="inlineStr">
        <is>
          <t>보장기간</t>
        </is>
      </c>
      <c r="B63" s="798" t="n"/>
      <c r="C63" s="696" t="inlineStr">
        <is>
          <t>종신</t>
        </is>
      </c>
      <c r="D63" s="798" t="n"/>
      <c r="E63" s="696" t="n"/>
      <c r="F63" s="798" t="n"/>
      <c r="G63" s="696" t="n"/>
      <c r="H63" s="798" t="n"/>
      <c r="I63" s="696" t="n"/>
      <c r="J63" s="798" t="n"/>
      <c r="K63" s="696" t="n"/>
      <c r="L63" s="798" t="n"/>
      <c r="M63" s="696" t="n"/>
      <c r="N63" s="798" t="n"/>
      <c r="O63" s="25" t="n"/>
      <c r="P63" s="808" t="n"/>
      <c r="Q63" s="809" t="n"/>
      <c r="R63" s="810" t="n"/>
    </row>
    <row r="64" ht="15" customHeight="1" s="797">
      <c r="A64" s="632" t="inlineStr">
        <is>
          <t>비고 / 갱신종류</t>
        </is>
      </c>
      <c r="B64" s="811" t="n"/>
      <c r="C64" s="1002" t="inlineStr">
        <is>
          <t>암치료/비갱신</t>
        </is>
      </c>
      <c r="D64" s="798" t="n"/>
      <c r="E64" s="1002" t="n"/>
      <c r="F64" s="798" t="n"/>
      <c r="G64" s="1002" t="n"/>
      <c r="H64" s="798" t="n"/>
      <c r="I64" s="1002" t="n"/>
      <c r="J64" s="798" t="n"/>
      <c r="K64" s="1002" t="n"/>
      <c r="L64" s="798" t="n"/>
      <c r="M64" s="1003" t="n"/>
      <c r="N64" s="799" t="n"/>
      <c r="O64" s="25" t="n"/>
      <c r="P64" s="950" t="n"/>
      <c r="Q64" s="798" t="n"/>
      <c r="R64" s="27" t="inlineStr">
        <is>
          <t>총 보장 (원)</t>
        </is>
      </c>
    </row>
    <row r="65" ht="15" customHeight="1" s="797">
      <c r="A65" s="639" t="inlineStr">
        <is>
          <t>월 보험료</t>
        </is>
      </c>
      <c r="B65" s="798" t="n"/>
      <c r="C65" s="1004" t="n">
        <v>56594</v>
      </c>
      <c r="D65" s="798" t="n"/>
      <c r="E65" s="1004" t="n"/>
      <c r="F65" s="798" t="n"/>
      <c r="G65" s="1004" t="n"/>
      <c r="H65" s="798" t="n"/>
      <c r="I65" s="1004" t="n"/>
      <c r="J65" s="798" t="n"/>
      <c r="K65" s="1004" t="n"/>
      <c r="L65" s="798" t="n"/>
      <c r="M65" s="1004" t="n"/>
      <c r="N65" s="798" t="n"/>
      <c r="O65" s="814" t="n"/>
      <c r="P65" s="647" t="inlineStr">
        <is>
          <t>합산 월 보험료</t>
        </is>
      </c>
      <c r="Q65" s="798" t="n"/>
      <c r="R65" s="951">
        <f>R8+C65+E65+G65+I65+K65+M65</f>
        <v/>
      </c>
    </row>
    <row r="66" ht="15" customHeight="1" s="797">
      <c r="A66" s="647" t="inlineStr">
        <is>
          <t>보험료 총액</t>
        </is>
      </c>
      <c r="B66" s="798" t="n"/>
      <c r="C66" s="1007">
        <f>C65*C62*12</f>
        <v/>
      </c>
      <c r="D66" s="798" t="n"/>
      <c r="E66" s="1007">
        <f>E65*E62*12</f>
        <v/>
      </c>
      <c r="F66" s="798" t="n"/>
      <c r="G66" s="1007">
        <f>G65*G62*12</f>
        <v/>
      </c>
      <c r="H66" s="798" t="n"/>
      <c r="I66" s="1007">
        <f>I65*I62*12</f>
        <v/>
      </c>
      <c r="J66" s="798" t="n"/>
      <c r="K66" s="1007">
        <f>K65*K62*12</f>
        <v/>
      </c>
      <c r="L66" s="798" t="n"/>
      <c r="M66" s="1009">
        <f>M65*M62*12</f>
        <v/>
      </c>
      <c r="N66" s="799" t="n"/>
      <c r="O66" s="814" t="n"/>
      <c r="P66" s="647" t="inlineStr">
        <is>
          <t>합산 보험료 총액</t>
        </is>
      </c>
      <c r="Q66" s="798" t="n"/>
      <c r="R66" s="952">
        <f>R9+C66+E66+G66+I66+K66+M66</f>
        <v/>
      </c>
    </row>
    <row r="67" ht="15" customHeight="1" s="797">
      <c r="A67" s="647" t="inlineStr">
        <is>
          <t>기 납입금</t>
        </is>
      </c>
      <c r="B67" s="798" t="n"/>
      <c r="C67" s="1007">
        <f>C65*D62</f>
        <v/>
      </c>
      <c r="D67" s="798" t="n"/>
      <c r="E67" s="1007">
        <f>E65*F62</f>
        <v/>
      </c>
      <c r="F67" s="798" t="n"/>
      <c r="G67" s="1007">
        <f>G65*H62</f>
        <v/>
      </c>
      <c r="H67" s="798" t="n"/>
      <c r="I67" s="1007">
        <f>I65*J62</f>
        <v/>
      </c>
      <c r="J67" s="798" t="n"/>
      <c r="K67" s="1007">
        <f>K65*L62</f>
        <v/>
      </c>
      <c r="L67" s="798" t="n"/>
      <c r="M67" s="1009">
        <f>M65*N62</f>
        <v/>
      </c>
      <c r="N67" s="799" t="n"/>
      <c r="O67" s="814" t="n"/>
      <c r="P67" s="647" t="inlineStr">
        <is>
          <t>합산 기 납입금</t>
        </is>
      </c>
      <c r="Q67" s="798" t="n"/>
      <c r="R67" s="952">
        <f>R10+C67+E67+G67+I67+K67+M67</f>
        <v/>
      </c>
    </row>
    <row r="68" ht="15" customHeight="1" s="797" thickBot="1">
      <c r="A68" s="632" t="inlineStr">
        <is>
          <t>미 납입금</t>
        </is>
      </c>
      <c r="B68" s="811" t="n"/>
      <c r="C68" s="1007">
        <f>C66-C67</f>
        <v/>
      </c>
      <c r="D68" s="798" t="n"/>
      <c r="E68" s="1007">
        <f>E66-E67</f>
        <v/>
      </c>
      <c r="F68" s="798" t="n"/>
      <c r="G68" s="1007">
        <f>G66-G67</f>
        <v/>
      </c>
      <c r="H68" s="798" t="n"/>
      <c r="I68" s="1007">
        <f>I66-I67</f>
        <v/>
      </c>
      <c r="J68" s="798" t="n"/>
      <c r="K68" s="1007">
        <f>K66-K67</f>
        <v/>
      </c>
      <c r="L68" s="798" t="n"/>
      <c r="M68" s="1009">
        <f>M66-M67</f>
        <v/>
      </c>
      <c r="N68" s="799" t="n"/>
      <c r="O68" s="814" t="n"/>
      <c r="P68" s="953" t="inlineStr">
        <is>
          <t>합산 미 납입금</t>
        </is>
      </c>
      <c r="Q68" s="954" t="n"/>
      <c r="R68" s="955">
        <f>R11+C68+E68+G68+I68+K68+M68</f>
        <v/>
      </c>
    </row>
    <row r="69" ht="15" customHeight="1" s="797">
      <c r="A69" s="1107" t="inlineStr">
        <is>
          <t>실비
(갱신)</t>
        </is>
      </c>
      <c r="B69" s="324" t="inlineStr">
        <is>
          <t>질병입원의료비</t>
        </is>
      </c>
      <c r="C69" s="1108" t="n"/>
      <c r="D69" s="1014" t="n"/>
      <c r="E69" s="1013" t="n"/>
      <c r="F69" s="1014" t="n"/>
      <c r="G69" s="1013" t="n"/>
      <c r="H69" s="1014" t="n"/>
      <c r="I69" s="1013" t="n"/>
      <c r="J69" s="1014" t="n"/>
      <c r="K69" s="1013" t="n"/>
      <c r="L69" s="1109" t="n"/>
      <c r="M69" s="1013" t="n"/>
      <c r="N69" s="1110" t="n"/>
      <c r="O69" s="830" t="n"/>
      <c r="P69" s="1107" t="inlineStr">
        <is>
          <t>실비
(갱신)</t>
        </is>
      </c>
      <c r="Q69" s="324" t="inlineStr">
        <is>
          <t>질병입원의료비</t>
        </is>
      </c>
      <c r="R69" s="957">
        <f>R12+C69+E69+G69+I69+K69+M69</f>
        <v/>
      </c>
    </row>
    <row r="70" ht="15" customHeight="1" s="797">
      <c r="A70" s="832" t="n"/>
      <c r="B70" s="325" t="inlineStr">
        <is>
          <t>질병통원의료비</t>
        </is>
      </c>
      <c r="C70" s="1111" t="n"/>
      <c r="D70" s="1021" t="n"/>
      <c r="E70" s="1020" t="n"/>
      <c r="F70" s="1021" t="n"/>
      <c r="G70" s="1020" t="n"/>
      <c r="H70" s="1021" t="n"/>
      <c r="I70" s="1020" t="n"/>
      <c r="J70" s="1021" t="n"/>
      <c r="K70" s="1020" t="n"/>
      <c r="L70" s="1112" t="n"/>
      <c r="M70" s="1020" t="n"/>
      <c r="N70" s="1113" t="n"/>
      <c r="O70" s="830" t="n"/>
      <c r="P70" s="832" t="n"/>
      <c r="Q70" s="325" t="inlineStr">
        <is>
          <t>질병통원의료비</t>
        </is>
      </c>
      <c r="R70" s="959">
        <f>R13+C70+E70+G70+I70+K70+M70</f>
        <v/>
      </c>
    </row>
    <row r="71" ht="15" customHeight="1" s="797">
      <c r="A71" s="832" t="n"/>
      <c r="B71" s="325" t="inlineStr">
        <is>
          <t>상해입원의료비</t>
        </is>
      </c>
      <c r="C71" s="1111" t="n"/>
      <c r="D71" s="1021" t="n"/>
      <c r="E71" s="1111" t="n"/>
      <c r="F71" s="1021" t="n"/>
      <c r="G71" s="1020" t="n"/>
      <c r="H71" s="1021" t="n"/>
      <c r="I71" s="1020" t="n"/>
      <c r="J71" s="1021" t="n"/>
      <c r="K71" s="1020" t="n"/>
      <c r="L71" s="1112" t="n"/>
      <c r="M71" s="1020" t="n"/>
      <c r="N71" s="1113" t="n"/>
      <c r="O71" s="830" t="n"/>
      <c r="P71" s="832" t="n"/>
      <c r="Q71" s="325" t="inlineStr">
        <is>
          <t>상해입원의료비</t>
        </is>
      </c>
      <c r="R71" s="959">
        <f>R14+C71+E71+G71+I71+K71+M71</f>
        <v/>
      </c>
    </row>
    <row r="72" ht="15" customHeight="1" s="797">
      <c r="A72" s="832" t="n"/>
      <c r="B72" s="325" t="inlineStr">
        <is>
          <t>상해통원의료비</t>
        </is>
      </c>
      <c r="C72" s="1111" t="n"/>
      <c r="D72" s="1021" t="n"/>
      <c r="E72" s="1111" t="n"/>
      <c r="F72" s="1021" t="n"/>
      <c r="G72" s="1020" t="n"/>
      <c r="H72" s="1021" t="n"/>
      <c r="I72" s="1020" t="n"/>
      <c r="J72" s="1021" t="n"/>
      <c r="K72" s="1020" t="n"/>
      <c r="L72" s="1112" t="n"/>
      <c r="M72" s="1020" t="n"/>
      <c r="N72" s="1113" t="n"/>
      <c r="O72" s="830" t="n"/>
      <c r="P72" s="832" t="n"/>
      <c r="Q72" s="325" t="inlineStr">
        <is>
          <t>상해통원의료비</t>
        </is>
      </c>
      <c r="R72" s="959">
        <f>R15+C72+E72+G72+I72+K72+M72</f>
        <v/>
      </c>
    </row>
    <row r="73" ht="15" customHeight="1" s="797" thickBot="1">
      <c r="A73" s="841" t="n"/>
      <c r="B73" s="141" t="inlineStr">
        <is>
          <t>3대비급여 의료비</t>
        </is>
      </c>
      <c r="C73" s="1114" t="n"/>
      <c r="D73" s="1029" t="n"/>
      <c r="E73" s="1114" t="n"/>
      <c r="F73" s="1029" t="n"/>
      <c r="G73" s="1028" t="n"/>
      <c r="H73" s="1029" t="n"/>
      <c r="I73" s="1028" t="n"/>
      <c r="J73" s="1029" t="n"/>
      <c r="K73" s="1028" t="n"/>
      <c r="L73" s="1115" t="n"/>
      <c r="M73" s="1028" t="n"/>
      <c r="N73" s="1116" t="n"/>
      <c r="O73" s="830" t="n"/>
      <c r="P73" s="841" t="n"/>
      <c r="Q73" s="141" t="inlineStr">
        <is>
          <t>3대비급여 의료비</t>
        </is>
      </c>
      <c r="R73" s="963">
        <f>R16+C73+E73+G73+I73+K73+M73</f>
        <v/>
      </c>
    </row>
    <row r="74" ht="15" customHeight="1" s="797">
      <c r="A74" s="626" t="inlineStr">
        <is>
          <t>암</t>
        </is>
      </c>
      <c r="B74" s="344" t="inlineStr">
        <is>
          <t>암진단비</t>
        </is>
      </c>
      <c r="C74" s="1010" t="n"/>
      <c r="D74" s="1014" t="n"/>
      <c r="E74" s="1013" t="n"/>
      <c r="F74" s="1014" t="n"/>
      <c r="G74" s="1013" t="n"/>
      <c r="H74" s="1014" t="n"/>
      <c r="I74" s="1013" t="n"/>
      <c r="J74" s="1014" t="n"/>
      <c r="K74" s="1013" t="n"/>
      <c r="L74" s="1109" t="n"/>
      <c r="M74" s="1013" t="n"/>
      <c r="N74" s="1110" t="n"/>
      <c r="O74" s="830" t="n"/>
      <c r="P74" s="626" t="inlineStr">
        <is>
          <t>암</t>
        </is>
      </c>
      <c r="Q74" s="344" t="inlineStr">
        <is>
          <t>암진단비</t>
        </is>
      </c>
      <c r="R74" s="957">
        <f>R17+C74+E74+G74+I74+K74+M74</f>
        <v/>
      </c>
    </row>
    <row r="75" ht="15" customHeight="1" s="797">
      <c r="A75" s="832" t="n"/>
      <c r="B75" s="343" t="inlineStr">
        <is>
          <t>암수술</t>
        </is>
      </c>
      <c r="C75" s="1079" t="n"/>
      <c r="D75" s="1039" t="n"/>
      <c r="E75" s="1020" t="n"/>
      <c r="F75" s="1039" t="n"/>
      <c r="G75" s="1020" t="n"/>
      <c r="H75" s="1039" t="n"/>
      <c r="I75" s="1020" t="n"/>
      <c r="J75" s="1039" t="n"/>
      <c r="K75" s="1117" t="n"/>
      <c r="L75" s="1118" t="n"/>
      <c r="M75" s="1117" t="n"/>
      <c r="N75" s="1119" t="n"/>
      <c r="O75" s="830" t="n"/>
      <c r="P75" s="832" t="n"/>
      <c r="Q75" s="343" t="inlineStr">
        <is>
          <t>암수술</t>
        </is>
      </c>
      <c r="R75" s="959">
        <f>R18+C75+E75+G75+I75+K75+M75</f>
        <v/>
      </c>
    </row>
    <row r="76" ht="15" customHeight="1" s="797">
      <c r="A76" s="832" t="n"/>
      <c r="B76" s="326" t="inlineStr">
        <is>
          <t>다빈치로봇수술</t>
        </is>
      </c>
      <c r="C76" s="1079" t="n">
        <v>30000000</v>
      </c>
      <c r="D76" s="1039" t="inlineStr">
        <is>
          <t>종신</t>
        </is>
      </c>
      <c r="E76" s="1117" t="n"/>
      <c r="F76" s="1039" t="n"/>
      <c r="G76" s="1020" t="n"/>
      <c r="H76" s="1039" t="n"/>
      <c r="I76" s="1117" t="n"/>
      <c r="J76" s="1039" t="n"/>
      <c r="K76" s="1117" t="n"/>
      <c r="L76" s="1118" t="n"/>
      <c r="M76" s="1117" t="n"/>
      <c r="N76" s="1119" t="n"/>
      <c r="O76" s="830" t="n"/>
      <c r="P76" s="832" t="n"/>
      <c r="Q76" s="326" t="inlineStr">
        <is>
          <t>다빈치로봇수술</t>
        </is>
      </c>
      <c r="R76" s="959">
        <f>R19+C76+E76+G76+I76+K76+M76</f>
        <v/>
      </c>
    </row>
    <row r="77" ht="15" customHeight="1" s="797">
      <c r="A77" s="832" t="n"/>
      <c r="B77" s="343" t="inlineStr">
        <is>
          <t>항암방사선</t>
        </is>
      </c>
      <c r="C77" s="1079" t="n">
        <v>45000000</v>
      </c>
      <c r="D77" s="1039" t="inlineStr">
        <is>
          <t>종신</t>
        </is>
      </c>
      <c r="E77" s="1117" t="n"/>
      <c r="F77" s="1039" t="n"/>
      <c r="G77" s="1020" t="n"/>
      <c r="H77" s="1039" t="n"/>
      <c r="I77" s="1117" t="n"/>
      <c r="J77" s="1039" t="n"/>
      <c r="K77" s="1117" t="n"/>
      <c r="L77" s="1118" t="n"/>
      <c r="M77" s="1117" t="n"/>
      <c r="N77" s="1119" t="n"/>
      <c r="O77" s="830" t="n"/>
      <c r="P77" s="832" t="n"/>
      <c r="Q77" s="343" t="inlineStr">
        <is>
          <t>항암방사선</t>
        </is>
      </c>
      <c r="R77" s="959">
        <f>R20+C77+E77+G77+I77+K77+M77</f>
        <v/>
      </c>
    </row>
    <row r="78" ht="15" customHeight="1" s="797">
      <c r="A78" s="832" t="n"/>
      <c r="B78" s="326" t="inlineStr">
        <is>
          <t>중입자방사선</t>
        </is>
      </c>
      <c r="C78" s="1079" t="n"/>
      <c r="D78" s="1039" t="n"/>
      <c r="E78" s="1117" t="n"/>
      <c r="F78" s="1039" t="n"/>
      <c r="G78" s="1020" t="n"/>
      <c r="H78" s="1039" t="n"/>
      <c r="I78" s="1117" t="n"/>
      <c r="J78" s="1039" t="n"/>
      <c r="K78" s="1117" t="n"/>
      <c r="L78" s="1118" t="n"/>
      <c r="M78" s="1117" t="n"/>
      <c r="N78" s="1119" t="n"/>
      <c r="O78" s="830" t="n"/>
      <c r="P78" s="832" t="n"/>
      <c r="Q78" s="326" t="inlineStr">
        <is>
          <t>중입자방사선</t>
        </is>
      </c>
      <c r="R78" s="959">
        <f>R21+C78+E78+G78+I78+K78+M78</f>
        <v/>
      </c>
    </row>
    <row r="79" ht="15" customHeight="1" s="797">
      <c r="A79" s="832" t="n"/>
      <c r="B79" s="326" t="inlineStr">
        <is>
          <t>양성자방사선</t>
        </is>
      </c>
      <c r="C79" s="1079" t="n"/>
      <c r="D79" s="1039" t="n"/>
      <c r="E79" s="1117" t="n"/>
      <c r="F79" s="1039" t="n"/>
      <c r="G79" s="1020" t="n"/>
      <c r="H79" s="1039" t="n"/>
      <c r="I79" s="1117" t="n"/>
      <c r="J79" s="1039" t="n"/>
      <c r="K79" s="1117" t="n"/>
      <c r="L79" s="1118" t="n"/>
      <c r="M79" s="1117" t="n"/>
      <c r="N79" s="1119" t="n"/>
      <c r="O79" s="830" t="n"/>
      <c r="P79" s="832" t="n"/>
      <c r="Q79" s="326" t="inlineStr">
        <is>
          <t>양성자방사선</t>
        </is>
      </c>
      <c r="R79" s="959">
        <f>R22+C79+E79+G79+I79+K79+M79</f>
        <v/>
      </c>
    </row>
    <row r="80" ht="15" customHeight="1" s="797">
      <c r="A80" s="832" t="n"/>
      <c r="B80" s="326" t="inlineStr">
        <is>
          <t>세기조절방사선</t>
        </is>
      </c>
      <c r="C80" s="1079" t="n">
        <v>45000000</v>
      </c>
      <c r="D80" s="1039" t="inlineStr">
        <is>
          <t>종신</t>
        </is>
      </c>
      <c r="E80" s="1117" t="n"/>
      <c r="F80" s="1039" t="n"/>
      <c r="G80" s="1020" t="n"/>
      <c r="H80" s="1039" t="n"/>
      <c r="I80" s="1117" t="n"/>
      <c r="J80" s="1039" t="n"/>
      <c r="K80" s="1117" t="n"/>
      <c r="L80" s="1118" t="n"/>
      <c r="M80" s="1117" t="n"/>
      <c r="N80" s="1119" t="n"/>
      <c r="O80" s="830" t="n"/>
      <c r="P80" s="832" t="n"/>
      <c r="Q80" s="326" t="inlineStr">
        <is>
          <t>세기조절방사선</t>
        </is>
      </c>
      <c r="R80" s="959">
        <f>R19+C80+E80+G80+I80+K80+M80</f>
        <v/>
      </c>
    </row>
    <row r="81" ht="15" customHeight="1" s="797">
      <c r="A81" s="832" t="n"/>
      <c r="B81" s="343" t="inlineStr">
        <is>
          <t>항암약물</t>
        </is>
      </c>
      <c r="C81" s="1079" t="n"/>
      <c r="D81" s="1039" t="n"/>
      <c r="E81" s="1020" t="n"/>
      <c r="F81" s="1039" t="n"/>
      <c r="G81" s="1117" t="n"/>
      <c r="H81" s="1039" t="n"/>
      <c r="I81" s="1120" t="n"/>
      <c r="J81" s="1039" t="n"/>
      <c r="K81" s="1117" t="n"/>
      <c r="L81" s="1118" t="n"/>
      <c r="M81" s="1117" t="n"/>
      <c r="N81" s="1119" t="n"/>
      <c r="O81" s="830" t="n"/>
      <c r="P81" s="832" t="n"/>
      <c r="Q81" s="343" t="inlineStr">
        <is>
          <t>항암약물</t>
        </is>
      </c>
      <c r="R81" s="959">
        <f>R23+C81+E81+G81+I81+K81+M81</f>
        <v/>
      </c>
    </row>
    <row r="82" ht="15" customHeight="1" s="797">
      <c r="A82" s="832" t="n"/>
      <c r="B82" s="326" t="inlineStr">
        <is>
          <t>표적항암약물</t>
        </is>
      </c>
      <c r="C82" s="1054" t="n"/>
      <c r="D82" s="1122" t="n"/>
      <c r="E82" s="1125" t="n"/>
      <c r="F82" s="1039" t="n"/>
      <c r="G82" s="1121" t="n"/>
      <c r="H82" s="1039" t="n"/>
      <c r="I82" s="1145" t="n"/>
      <c r="J82" s="1039" t="n"/>
      <c r="K82" s="1117" t="n"/>
      <c r="L82" s="1118" t="n"/>
      <c r="M82" s="1117" t="n"/>
      <c r="N82" s="1119" t="n"/>
      <c r="O82" s="830" t="n"/>
      <c r="P82" s="832" t="n"/>
      <c r="Q82" s="326" t="inlineStr">
        <is>
          <t>표적항암약물</t>
        </is>
      </c>
      <c r="R82" s="959">
        <f>R24+C82+E82+G82+I82+K82+M82</f>
        <v/>
      </c>
    </row>
    <row r="83" ht="15" customHeight="1" s="797" thickBot="1">
      <c r="A83" s="832" t="n"/>
      <c r="B83" s="327" t="inlineStr">
        <is>
          <t>면역항암약물</t>
        </is>
      </c>
      <c r="C83" s="1114" t="n"/>
      <c r="D83" s="1029" t="n"/>
      <c r="E83" s="1028" t="n"/>
      <c r="F83" s="1039" t="n"/>
      <c r="G83" s="1028" t="n"/>
      <c r="H83" s="1039" t="n"/>
      <c r="I83" s="1028" t="n"/>
      <c r="J83" s="1039" t="n"/>
      <c r="K83" s="1117" t="n"/>
      <c r="L83" s="1118" t="n"/>
      <c r="M83" s="1117" t="n"/>
      <c r="N83" s="1119" t="n"/>
      <c r="O83" s="830" t="n"/>
      <c r="P83" s="832" t="n"/>
      <c r="Q83" s="327" t="inlineStr">
        <is>
          <t>면역항암약물</t>
        </is>
      </c>
      <c r="R83" s="963">
        <f>R26+C83+E83+G83+I83+K83+M83</f>
        <v/>
      </c>
    </row>
    <row r="84" ht="15" customHeight="1" s="797">
      <c r="A84" s="721" t="inlineStr">
        <is>
          <t>2대
질병</t>
        </is>
      </c>
      <c r="B84" s="145" t="inlineStr">
        <is>
          <t>뇌혈관</t>
        </is>
      </c>
      <c r="C84" s="1020" t="n"/>
      <c r="D84" s="1014" t="n"/>
      <c r="E84" s="1020" t="n"/>
      <c r="F84" s="1014" t="n"/>
      <c r="G84" s="1020" t="n"/>
      <c r="H84" s="1014" t="n"/>
      <c r="I84" s="1013" t="n"/>
      <c r="J84" s="1014" t="n"/>
      <c r="K84" s="1013" t="n"/>
      <c r="L84" s="1109" t="n"/>
      <c r="M84" s="1013" t="n"/>
      <c r="N84" s="1110" t="n"/>
      <c r="O84" s="830" t="n"/>
      <c r="P84" s="721" t="inlineStr">
        <is>
          <t>2대
질병</t>
        </is>
      </c>
      <c r="Q84" s="145" t="inlineStr">
        <is>
          <t>뇌혈관</t>
        </is>
      </c>
      <c r="R84" s="957">
        <f>R27+C84+E84+G84+I84+K84+M84</f>
        <v/>
      </c>
    </row>
    <row r="85" ht="15" customHeight="1" s="797">
      <c r="A85" s="832" t="n"/>
      <c r="B85" s="146" t="inlineStr">
        <is>
          <t>뇌졸증</t>
        </is>
      </c>
      <c r="C85" s="1020" t="n"/>
      <c r="D85" s="1039" t="n"/>
      <c r="E85" s="1117" t="n"/>
      <c r="F85" s="1039" t="n"/>
      <c r="G85" s="1020" t="n"/>
      <c r="H85" s="1039" t="n"/>
      <c r="I85" s="1117" t="n"/>
      <c r="J85" s="1039" t="n"/>
      <c r="K85" s="1020" t="n"/>
      <c r="L85" s="1118" t="n"/>
      <c r="M85" s="1117" t="n"/>
      <c r="N85" s="1119" t="n"/>
      <c r="O85" s="830" t="n"/>
      <c r="P85" s="832" t="n"/>
      <c r="Q85" s="146" t="inlineStr">
        <is>
          <t>뇌졸증</t>
        </is>
      </c>
      <c r="R85" s="959">
        <f>R28+C85+E85+G85+I85+K85+M85</f>
        <v/>
      </c>
    </row>
    <row r="86" ht="15" customHeight="1" s="797" thickBot="1">
      <c r="A86" s="832" t="n"/>
      <c r="B86" s="147" t="inlineStr">
        <is>
          <t>뇌출혈</t>
        </is>
      </c>
      <c r="C86" s="1121" t="n"/>
      <c r="D86" s="1122" t="n"/>
      <c r="E86" s="1121" t="n"/>
      <c r="F86" s="1122" t="n"/>
      <c r="G86" s="1121" t="n"/>
      <c r="H86" s="1122" t="n"/>
      <c r="I86" s="1121" t="n"/>
      <c r="J86" s="1122" t="n"/>
      <c r="K86" s="1121" t="n"/>
      <c r="L86" s="1123" t="n"/>
      <c r="M86" s="1121" t="n"/>
      <c r="N86" s="1124" t="n"/>
      <c r="O86" s="830" t="n"/>
      <c r="P86" s="832" t="n"/>
      <c r="Q86" s="147" t="inlineStr">
        <is>
          <t>뇌출혈</t>
        </is>
      </c>
      <c r="R86" s="963">
        <f>R29+C86+E86+G86+I86+K86+M86</f>
        <v/>
      </c>
    </row>
    <row r="87" ht="15" customHeight="1" s="797">
      <c r="A87" s="832" t="n"/>
      <c r="B87" s="148" t="inlineStr">
        <is>
          <t>심장질환</t>
        </is>
      </c>
      <c r="C87" s="1013" t="n"/>
      <c r="D87" s="1014" t="n"/>
      <c r="E87" s="1013" t="n"/>
      <c r="F87" s="1014" t="n"/>
      <c r="G87" s="1013" t="n"/>
      <c r="H87" s="1014" t="n"/>
      <c r="I87" s="1013" t="n"/>
      <c r="J87" s="1014" t="n"/>
      <c r="K87" s="1013" t="n"/>
      <c r="L87" s="1109" t="n"/>
      <c r="M87" s="1013" t="n"/>
      <c r="N87" s="1110" t="n"/>
      <c r="O87" s="830" t="n"/>
      <c r="P87" s="832" t="n"/>
      <c r="Q87" s="148" t="inlineStr">
        <is>
          <t>심장질환</t>
        </is>
      </c>
      <c r="R87" s="957">
        <f>R30+C87+E87+G87+I87+K87+M87</f>
        <v/>
      </c>
    </row>
    <row r="88" ht="15" customHeight="1" s="797">
      <c r="A88" s="832" t="n"/>
      <c r="B88" s="149" t="inlineStr">
        <is>
          <t>허혈성심장</t>
        </is>
      </c>
      <c r="C88" s="1020" t="n"/>
      <c r="D88" s="1039" t="n"/>
      <c r="E88" s="1020" t="n"/>
      <c r="F88" s="1039" t="n"/>
      <c r="G88" s="1020" t="n"/>
      <c r="H88" s="1039" t="n"/>
      <c r="I88" s="1020" t="n"/>
      <c r="J88" s="1021" t="n"/>
      <c r="K88" s="1020" t="n"/>
      <c r="L88" s="1118" t="n"/>
      <c r="M88" s="1117" t="n"/>
      <c r="N88" s="1119" t="n"/>
      <c r="O88" s="830" t="n"/>
      <c r="P88" s="832" t="n"/>
      <c r="Q88" s="149" t="inlineStr">
        <is>
          <t>허혈성심장</t>
        </is>
      </c>
      <c r="R88" s="959">
        <f>R31+C88+E88+G88+I88+K88+M88</f>
        <v/>
      </c>
    </row>
    <row r="89" ht="15" customHeight="1" s="797" thickBot="1">
      <c r="A89" s="832" t="n"/>
      <c r="B89" s="150" t="inlineStr">
        <is>
          <t>급성심근경색</t>
        </is>
      </c>
      <c r="C89" s="1028" t="n"/>
      <c r="D89" s="1029" t="n"/>
      <c r="E89" s="1121" t="n"/>
      <c r="F89" s="1122" t="n"/>
      <c r="G89" s="1121" t="n"/>
      <c r="H89" s="1122" t="n"/>
      <c r="I89" s="1121" t="n"/>
      <c r="J89" s="1122" t="n"/>
      <c r="K89" s="1125" t="n"/>
      <c r="L89" s="1123" t="n"/>
      <c r="M89" s="1125" t="n"/>
      <c r="N89" s="1124" t="n"/>
      <c r="O89" s="830" t="n"/>
      <c r="P89" s="832" t="n"/>
      <c r="Q89" s="150" t="inlineStr">
        <is>
          <t>급성심근경색</t>
        </is>
      </c>
      <c r="R89" s="963">
        <f>R32+C89+E89+G89+I89+K89+M89</f>
        <v/>
      </c>
    </row>
    <row r="90" ht="15" customHeight="1" s="797" thickBot="1">
      <c r="A90" s="832" t="n"/>
      <c r="B90" s="283" t="inlineStr">
        <is>
          <t>2대질환주요치료비</t>
        </is>
      </c>
      <c r="C90" s="1126" t="n"/>
      <c r="D90" s="1127" t="n"/>
      <c r="E90" s="1128" t="n"/>
      <c r="F90" s="1127" t="n"/>
      <c r="G90" s="1128" t="n"/>
      <c r="H90" s="1127" t="n"/>
      <c r="I90" s="1128" t="n"/>
      <c r="J90" s="1127" t="n"/>
      <c r="K90" s="1128" t="n"/>
      <c r="L90" s="1129" t="n"/>
      <c r="M90" s="1128" t="n"/>
      <c r="N90" s="1130" t="n"/>
      <c r="O90" s="830" t="n"/>
      <c r="P90" s="832" t="n"/>
      <c r="Q90" s="283" t="inlineStr">
        <is>
          <t>2대질환주요치료비</t>
        </is>
      </c>
      <c r="R90" s="1131">
        <f>R33+C90+E90+G90+I90+K90+M90</f>
        <v/>
      </c>
    </row>
    <row r="91" ht="15" customHeight="1" s="797">
      <c r="A91" s="1132" t="inlineStr">
        <is>
          <t>후유장해</t>
        </is>
      </c>
      <c r="B91" s="152" t="inlineStr">
        <is>
          <t>질병 80% 이상</t>
        </is>
      </c>
      <c r="C91" s="1108" t="n"/>
      <c r="D91" s="1014" t="n"/>
      <c r="E91" s="1013" t="n"/>
      <c r="F91" s="1014" t="n"/>
      <c r="G91" s="1013" t="n"/>
      <c r="H91" s="1014" t="n"/>
      <c r="I91" s="1013" t="n"/>
      <c r="J91" s="1014" t="n"/>
      <c r="K91" s="1013" t="n"/>
      <c r="L91" s="1109" t="n"/>
      <c r="M91" s="1013" t="n"/>
      <c r="N91" s="1110" t="n"/>
      <c r="O91" s="830" t="n"/>
      <c r="P91" s="1132" t="inlineStr">
        <is>
          <t>후유장해</t>
        </is>
      </c>
      <c r="Q91" s="152" t="inlineStr">
        <is>
          <t>질병 80% 이상</t>
        </is>
      </c>
      <c r="R91" s="957">
        <f>R34+C91+E91+G91+I91+K91+M91</f>
        <v/>
      </c>
    </row>
    <row r="92" ht="15" customHeight="1" s="797">
      <c r="A92" s="832" t="n"/>
      <c r="B92" s="153" t="inlineStr">
        <is>
          <t>질병 3% ~80%</t>
        </is>
      </c>
      <c r="C92" s="1111" t="n"/>
      <c r="D92" s="1021" t="n"/>
      <c r="E92" s="1020" t="n"/>
      <c r="F92" s="1039" t="n"/>
      <c r="G92" s="1020" t="n"/>
      <c r="H92" s="1021" t="n"/>
      <c r="I92" s="1020" t="n"/>
      <c r="J92" s="1021" t="n"/>
      <c r="K92" s="1020" t="n"/>
      <c r="L92" s="1112" t="n"/>
      <c r="M92" s="1020" t="n"/>
      <c r="N92" s="1113" t="n"/>
      <c r="O92" s="830" t="n"/>
      <c r="P92" s="832" t="n"/>
      <c r="Q92" s="153" t="inlineStr">
        <is>
          <t>질병 3% ~80%</t>
        </is>
      </c>
      <c r="R92" s="959">
        <f>R35+C92+E92+G92+I92+K92+M92</f>
        <v/>
      </c>
    </row>
    <row r="93" ht="15" customHeight="1" s="797">
      <c r="A93" s="832" t="n"/>
      <c r="B93" s="153" t="inlineStr">
        <is>
          <t>상해 80% 이상</t>
        </is>
      </c>
      <c r="C93" s="1111" t="n"/>
      <c r="D93" s="1021" t="n"/>
      <c r="E93" s="1020" t="n"/>
      <c r="F93" s="4" t="n"/>
      <c r="G93" s="1020" t="n"/>
      <c r="H93" s="1021" t="n"/>
      <c r="I93" s="1020" t="n"/>
      <c r="J93" s="1021" t="n"/>
      <c r="K93" s="1020" t="n"/>
      <c r="L93" s="1112" t="n"/>
      <c r="M93" s="1020" t="n"/>
      <c r="N93" s="1113" t="n"/>
      <c r="O93" s="830" t="n"/>
      <c r="P93" s="832" t="n"/>
      <c r="Q93" s="153" t="inlineStr">
        <is>
          <t>상해 80% 이상</t>
        </is>
      </c>
      <c r="R93" s="959">
        <f>R36+C93+E93+G93+I93+K93+M93</f>
        <v/>
      </c>
    </row>
    <row r="94" ht="15" customHeight="1" s="797" thickBot="1">
      <c r="A94" s="841" t="n"/>
      <c r="B94" s="154" t="inlineStr">
        <is>
          <t>상해 3% ~ 80%</t>
        </is>
      </c>
      <c r="C94" s="1114" t="n"/>
      <c r="D94" s="1029" t="n"/>
      <c r="E94" s="1028" t="n"/>
      <c r="F94" s="1029" t="n"/>
      <c r="G94" s="1020" t="n"/>
      <c r="H94" s="1029" t="n"/>
      <c r="I94" s="1028" t="n"/>
      <c r="J94" s="1029" t="n"/>
      <c r="K94" s="1028" t="n"/>
      <c r="L94" s="1115" t="n"/>
      <c r="M94" s="1028" t="n"/>
      <c r="N94" s="1116" t="n"/>
      <c r="O94" s="830" t="n"/>
      <c r="P94" s="841" t="n"/>
      <c r="Q94" s="154" t="inlineStr">
        <is>
          <t>상해 3% ~ 80%</t>
        </is>
      </c>
      <c r="R94" s="963">
        <f>R37+C94+E94+G94+I94+K94+M94</f>
        <v/>
      </c>
    </row>
    <row r="95" ht="15" customHeight="1" s="797">
      <c r="A95" s="1133" t="inlineStr">
        <is>
          <t>사망</t>
        </is>
      </c>
      <c r="B95" s="155" t="inlineStr">
        <is>
          <t>일반</t>
        </is>
      </c>
      <c r="C95" s="1108" t="n"/>
      <c r="D95" s="1014" t="n"/>
      <c r="E95" s="1117" t="n"/>
      <c r="F95" s="1014" t="n"/>
      <c r="G95" s="1013" t="n"/>
      <c r="H95" s="1014" t="n"/>
      <c r="I95" s="1013" t="n"/>
      <c r="J95" s="1014" t="n"/>
      <c r="K95" s="1013" t="n"/>
      <c r="L95" s="1109" t="n"/>
      <c r="M95" s="1117" t="n"/>
      <c r="N95" s="1119" t="n"/>
      <c r="O95" s="830" t="n"/>
      <c r="P95" s="1133" t="inlineStr">
        <is>
          <t>사망</t>
        </is>
      </c>
      <c r="Q95" s="155" t="inlineStr">
        <is>
          <t>일반</t>
        </is>
      </c>
      <c r="R95" s="957">
        <f>R38+C95+E95+G95+I95+K95+M95</f>
        <v/>
      </c>
    </row>
    <row r="96" ht="15" customHeight="1" s="797">
      <c r="A96" s="832" t="n"/>
      <c r="B96" s="156" t="inlineStr">
        <is>
          <t>질병</t>
        </is>
      </c>
      <c r="C96" s="1111" t="n"/>
      <c r="D96" s="1021" t="n"/>
      <c r="E96" s="1020" t="n"/>
      <c r="F96" s="1021" t="n"/>
      <c r="G96" s="1020" t="n"/>
      <c r="H96" s="1021" t="n"/>
      <c r="I96" s="1020" t="n"/>
      <c r="J96" s="1021" t="n"/>
      <c r="K96" s="1020" t="n"/>
      <c r="L96" s="1112" t="n"/>
      <c r="M96" s="1020" t="n"/>
      <c r="N96" s="1113" t="n"/>
      <c r="O96" s="830" t="n"/>
      <c r="P96" s="832" t="n"/>
      <c r="Q96" s="156" t="inlineStr">
        <is>
          <t>질병</t>
        </is>
      </c>
      <c r="R96" s="959">
        <f>R39+C96+E96+G96+I96+K96+M96</f>
        <v/>
      </c>
    </row>
    <row r="97" ht="15" customHeight="1" s="797" thickBot="1">
      <c r="A97" s="841" t="n"/>
      <c r="B97" s="157" t="inlineStr">
        <is>
          <t>상해</t>
        </is>
      </c>
      <c r="C97" s="1120" t="n"/>
      <c r="D97" s="1039" t="n"/>
      <c r="E97" s="1028" t="n"/>
      <c r="F97" s="1029" t="n"/>
      <c r="G97" s="1028" t="n"/>
      <c r="H97" s="1029" t="n"/>
      <c r="I97" s="1028" t="n"/>
      <c r="J97" s="1029" t="n"/>
      <c r="K97" s="1028" t="n"/>
      <c r="L97" s="1115" t="n"/>
      <c r="M97" s="1028" t="n"/>
      <c r="N97" s="1116" t="n"/>
      <c r="O97" s="830" t="n"/>
      <c r="P97" s="841" t="n"/>
      <c r="Q97" s="157" t="inlineStr">
        <is>
          <t>상해</t>
        </is>
      </c>
      <c r="R97" s="963">
        <f>R40+C97+E97+G97+I97+K97+M97</f>
        <v/>
      </c>
    </row>
    <row r="98" ht="15" customHeight="1" s="797">
      <c r="A98" s="746" t="inlineStr">
        <is>
          <t>수술비</t>
        </is>
      </c>
      <c r="B98" s="158" t="inlineStr">
        <is>
          <t>질병</t>
        </is>
      </c>
      <c r="C98" s="1108" t="n"/>
      <c r="D98" s="1014" t="n"/>
      <c r="E98" s="1013" t="n"/>
      <c r="F98" s="1014" t="n"/>
      <c r="G98" s="1013" t="n"/>
      <c r="H98" s="1014" t="n"/>
      <c r="I98" s="1013" t="n"/>
      <c r="J98" s="1014" t="n"/>
      <c r="K98" s="1013" t="n"/>
      <c r="L98" s="1109" t="n"/>
      <c r="M98" s="1013" t="n"/>
      <c r="N98" s="1110" t="n"/>
      <c r="O98" s="830" t="n"/>
      <c r="P98" s="746" t="inlineStr">
        <is>
          <t>수술비</t>
        </is>
      </c>
      <c r="Q98" s="158" t="inlineStr">
        <is>
          <t>질병</t>
        </is>
      </c>
      <c r="R98" s="957">
        <f>R41+C98+E98+G98+I98+K98+M98</f>
        <v/>
      </c>
    </row>
    <row r="99" ht="15" customHeight="1" s="797">
      <c r="A99" s="832" t="n"/>
      <c r="B99" s="158" t="inlineStr">
        <is>
          <t>상해</t>
        </is>
      </c>
      <c r="C99" s="1111" t="n"/>
      <c r="D99" s="1021" t="n"/>
      <c r="E99" s="1020" t="n"/>
      <c r="F99" s="1039" t="n"/>
      <c r="G99" s="1020" t="n"/>
      <c r="H99" s="1021" t="n"/>
      <c r="I99" s="1020" t="n"/>
      <c r="J99" s="1021" t="n"/>
      <c r="K99" s="1020" t="n"/>
      <c r="L99" s="1112" t="n"/>
      <c r="M99" s="1020" t="n"/>
      <c r="N99" s="1113" t="n"/>
      <c r="O99" s="830" t="n"/>
      <c r="P99" s="832" t="n"/>
      <c r="Q99" s="158" t="inlineStr">
        <is>
          <t>상해</t>
        </is>
      </c>
      <c r="R99" s="959">
        <f>R42+C99+E99+G99+I99+K99+M99</f>
        <v/>
      </c>
    </row>
    <row r="100" ht="15" customHeight="1" s="797">
      <c r="A100" s="832" t="n"/>
      <c r="B100" s="292" t="inlineStr">
        <is>
          <t>질병1-5종</t>
        </is>
      </c>
      <c r="C100" s="1111" t="n"/>
      <c r="D100" s="1021" t="n"/>
      <c r="E100" s="1020" t="n"/>
      <c r="F100" s="1039" t="n"/>
      <c r="G100" s="1020" t="n"/>
      <c r="H100" s="1039" t="n"/>
      <c r="I100" s="1117" t="n"/>
      <c r="J100" s="1039" t="n"/>
      <c r="K100" s="1117" t="n"/>
      <c r="L100" s="1118" t="n"/>
      <c r="M100" s="1134" t="n"/>
      <c r="N100" s="1119" t="n"/>
      <c r="O100" s="830" t="n"/>
      <c r="P100" s="832" t="n"/>
      <c r="Q100" s="292" t="inlineStr">
        <is>
          <t>질병1-5종</t>
        </is>
      </c>
      <c r="R100" s="959">
        <f>R43+C100+E100+G100+I100+K100+M100</f>
        <v/>
      </c>
    </row>
    <row r="101" ht="15" customHeight="1" s="797" thickBot="1">
      <c r="A101" s="832" t="n"/>
      <c r="B101" s="287" t="inlineStr">
        <is>
          <t>N대질병</t>
        </is>
      </c>
      <c r="C101" s="1135" t="n"/>
      <c r="D101" s="1136" t="n"/>
      <c r="E101" s="1125" t="n"/>
      <c r="F101" s="1136" t="n"/>
      <c r="G101" s="1125" t="n"/>
      <c r="H101" s="1136" t="n"/>
      <c r="I101" s="1121" t="n"/>
      <c r="J101" s="1136" t="n"/>
      <c r="K101" s="1121" t="n"/>
      <c r="L101" s="1137" t="n"/>
      <c r="M101" s="1125" t="n"/>
      <c r="N101" s="1138" t="n"/>
      <c r="O101" s="830" t="n"/>
      <c r="P101" s="832" t="n"/>
      <c r="Q101" s="287" t="inlineStr">
        <is>
          <t>N대질병</t>
        </is>
      </c>
      <c r="R101" s="963">
        <f>R44+C101+E101+G101+I101+K101+M101</f>
        <v/>
      </c>
    </row>
    <row r="102" ht="15" customHeight="1" s="797">
      <c r="A102" s="1139" t="inlineStr">
        <is>
          <t>진단비</t>
        </is>
      </c>
      <c r="B102" s="229" t="inlineStr">
        <is>
          <t>골절</t>
        </is>
      </c>
      <c r="C102" s="1013" t="n"/>
      <c r="D102" s="1014" t="n"/>
      <c r="E102" s="1013" t="n"/>
      <c r="F102" s="1014" t="n"/>
      <c r="G102" s="1013" t="n"/>
      <c r="H102" s="1014" t="n"/>
      <c r="I102" s="1013" t="n"/>
      <c r="J102" s="1014" t="n"/>
      <c r="K102" s="1013" t="n"/>
      <c r="L102" s="1109" t="n"/>
      <c r="M102" s="1013" t="n"/>
      <c r="N102" s="1110" t="n"/>
      <c r="O102" s="830" t="n"/>
      <c r="P102" s="1139" t="inlineStr">
        <is>
          <t>진단비</t>
        </is>
      </c>
      <c r="Q102" s="229" t="inlineStr">
        <is>
          <t>골절</t>
        </is>
      </c>
      <c r="R102" s="957">
        <f>R45+C102+E102+G102+I102+K102+M102</f>
        <v/>
      </c>
    </row>
    <row r="103" ht="15" customHeight="1" s="797" thickBot="1">
      <c r="A103" s="841" t="n"/>
      <c r="B103" s="252" t="inlineStr">
        <is>
          <t>화상</t>
        </is>
      </c>
      <c r="C103" s="1140" t="n"/>
      <c r="D103" s="1029" t="n"/>
      <c r="E103" s="1141" t="n"/>
      <c r="F103" s="1142" t="n"/>
      <c r="G103" s="1141" t="n"/>
      <c r="H103" s="1142" t="n"/>
      <c r="I103" s="1141" t="n"/>
      <c r="J103" s="1142" t="n"/>
      <c r="K103" s="1141" t="n"/>
      <c r="L103" s="1143" t="n"/>
      <c r="M103" s="1141" t="n"/>
      <c r="N103" s="1144" t="n"/>
      <c r="O103" s="830" t="n"/>
      <c r="P103" s="841" t="n"/>
      <c r="Q103" s="252" t="inlineStr">
        <is>
          <t>화상</t>
        </is>
      </c>
      <c r="R103" s="963">
        <f>R46+C103+E103+G103+I103+K103+M103</f>
        <v/>
      </c>
    </row>
    <row r="104" ht="15" customHeight="1" s="797">
      <c r="A104" s="751" t="inlineStr">
        <is>
          <t>간병인</t>
        </is>
      </c>
      <c r="B104" s="308" t="inlineStr">
        <is>
          <t>병원사용</t>
        </is>
      </c>
      <c r="C104" s="1108" t="n"/>
      <c r="D104" s="1014" t="n"/>
      <c r="E104" s="1108" t="n"/>
      <c r="F104" s="1014" t="n"/>
      <c r="G104" s="1108" t="n"/>
      <c r="H104" s="1014" t="n"/>
      <c r="I104" s="1108" t="n"/>
      <c r="J104" s="1014" t="n"/>
      <c r="K104" s="1013" t="n"/>
      <c r="L104" s="1109" t="n"/>
      <c r="M104" s="1013" t="n"/>
      <c r="N104" s="1110" t="n"/>
      <c r="O104" s="830" t="n"/>
      <c r="P104" s="751" t="inlineStr">
        <is>
          <t>간병인</t>
        </is>
      </c>
      <c r="Q104" s="308" t="inlineStr">
        <is>
          <t>병원사용</t>
        </is>
      </c>
      <c r="R104" s="957">
        <f>R47+C104+E104+G104+I104+K104+M104</f>
        <v/>
      </c>
    </row>
    <row r="105" ht="15" customHeight="1" s="797">
      <c r="A105" s="832" t="n"/>
      <c r="B105" s="309" t="inlineStr">
        <is>
          <t>요양병원사용</t>
        </is>
      </c>
      <c r="C105" s="1145" t="n"/>
      <c r="D105" s="1122" t="n"/>
      <c r="E105" s="1145" t="n"/>
      <c r="F105" s="1122" t="n"/>
      <c r="G105" s="1145" t="n"/>
      <c r="H105" s="1122" t="n"/>
      <c r="I105" s="1145" t="n"/>
      <c r="J105" s="1122" t="n"/>
      <c r="K105" s="1121" t="n"/>
      <c r="L105" s="1123" t="n"/>
      <c r="M105" s="1121" t="n"/>
      <c r="N105" s="1124" t="n"/>
      <c r="O105" s="830" t="n"/>
      <c r="P105" s="832" t="n"/>
      <c r="Q105" s="309" t="inlineStr">
        <is>
          <t>요양병원사용</t>
        </is>
      </c>
      <c r="R105" s="1146" t="n"/>
    </row>
    <row r="106" ht="15" customHeight="1" s="797" thickBot="1">
      <c r="A106" s="841" t="n"/>
      <c r="B106" s="310" t="inlineStr">
        <is>
          <t>간호간병통합사용</t>
        </is>
      </c>
      <c r="C106" s="1114" t="n"/>
      <c r="D106" s="1029" t="n"/>
      <c r="E106" s="1114" t="n"/>
      <c r="F106" s="1029" t="n"/>
      <c r="G106" s="1114" t="n"/>
      <c r="H106" s="1029" t="n"/>
      <c r="I106" s="1114" t="n"/>
      <c r="J106" s="1029" t="n"/>
      <c r="K106" s="1028" t="n"/>
      <c r="L106" s="1115" t="n"/>
      <c r="M106" s="1028" t="n"/>
      <c r="N106" s="1116" t="n"/>
      <c r="O106" s="830" t="n"/>
      <c r="P106" s="841" t="n"/>
      <c r="Q106" s="310" t="inlineStr">
        <is>
          <t>간호간병통합사용</t>
        </is>
      </c>
      <c r="R106" s="963">
        <f>R49+C106+E106+G106+I106+K106+M106</f>
        <v/>
      </c>
    </row>
    <row r="107" ht="15" customHeight="1" s="797">
      <c r="A107" s="1147" t="inlineStr">
        <is>
          <t>운전자</t>
        </is>
      </c>
      <c r="B107" s="144" t="inlineStr">
        <is>
          <t>벌금</t>
        </is>
      </c>
      <c r="C107" s="1111" t="n"/>
      <c r="D107" s="1014" t="n"/>
      <c r="E107" s="1013" t="n"/>
      <c r="F107" s="1014" t="n"/>
      <c r="G107" s="1013" t="n"/>
      <c r="H107" s="1014" t="n"/>
      <c r="I107" s="1013" t="n"/>
      <c r="J107" s="1014" t="n"/>
      <c r="K107" s="1013" t="n"/>
      <c r="L107" s="1109" t="n"/>
      <c r="M107" s="1013" t="n"/>
      <c r="N107" s="1110" t="n"/>
      <c r="O107" s="830" t="n"/>
      <c r="P107" s="1147" t="inlineStr">
        <is>
          <t>운전자</t>
        </is>
      </c>
      <c r="Q107" s="144" t="inlineStr">
        <is>
          <t>벌금</t>
        </is>
      </c>
      <c r="R107" s="957">
        <f>R50+C107+E107+G107+I107+K107+M107</f>
        <v/>
      </c>
    </row>
    <row r="108" ht="15" customHeight="1" s="797">
      <c r="A108" s="832" t="n"/>
      <c r="B108" s="144" t="inlineStr">
        <is>
          <t>변호사선임</t>
        </is>
      </c>
      <c r="C108" s="1111" t="n"/>
      <c r="D108" s="1021" t="n"/>
      <c r="E108" s="1020" t="n"/>
      <c r="F108" s="1021" t="n"/>
      <c r="G108" s="1020" t="n"/>
      <c r="H108" s="1021" t="n"/>
      <c r="I108" s="1020" t="n"/>
      <c r="J108" s="1021" t="n"/>
      <c r="K108" s="1020" t="n"/>
      <c r="L108" s="1112" t="n"/>
      <c r="M108" s="1020" t="n"/>
      <c r="N108" s="1113" t="n"/>
      <c r="O108" s="830" t="n"/>
      <c r="P108" s="832" t="n"/>
      <c r="Q108" s="144" t="inlineStr">
        <is>
          <t>변호사선임</t>
        </is>
      </c>
      <c r="R108" s="959">
        <f>R51+C108+E108+G108+I108+K108+M108</f>
        <v/>
      </c>
    </row>
    <row r="109" ht="15" customHeight="1" s="797" thickBot="1">
      <c r="A109" s="841" t="n"/>
      <c r="B109" s="164" t="inlineStr">
        <is>
          <t>교통사고처리지원</t>
        </is>
      </c>
      <c r="C109" s="1111" t="n"/>
      <c r="D109" s="1021" t="n"/>
      <c r="E109" s="1117" t="n"/>
      <c r="F109" s="1039" t="n"/>
      <c r="G109" s="1117" t="n"/>
      <c r="H109" s="1039" t="n"/>
      <c r="I109" s="1117" t="n"/>
      <c r="J109" s="1039" t="n"/>
      <c r="K109" s="1117" t="n"/>
      <c r="L109" s="1118" t="n"/>
      <c r="M109" s="1117" t="n"/>
      <c r="N109" s="1119" t="n"/>
      <c r="O109" s="830" t="n"/>
      <c r="P109" s="841" t="n"/>
      <c r="Q109" s="164" t="inlineStr">
        <is>
          <t>교통사고처리지원</t>
        </is>
      </c>
      <c r="R109" s="963">
        <f>R52+C109+E109+G109+I109+K109+M109</f>
        <v/>
      </c>
    </row>
    <row r="110" ht="15" customHeight="1" s="797" thickBot="1">
      <c r="A110" s="735" t="inlineStr">
        <is>
          <t>일상생활배상책임</t>
        </is>
      </c>
      <c r="B110" s="919" t="n"/>
      <c r="C110" s="1128" t="n"/>
      <c r="D110" s="1127" t="n"/>
      <c r="E110" s="1128" t="n"/>
      <c r="F110" s="1127" t="n"/>
      <c r="G110" s="1128" t="n"/>
      <c r="H110" s="1127" t="n"/>
      <c r="I110" s="1128" t="n"/>
      <c r="J110" s="1127" t="n"/>
      <c r="K110" s="1128" t="n"/>
      <c r="L110" s="1129" t="n"/>
      <c r="M110" s="1128" t="n"/>
      <c r="N110" s="1130" t="n"/>
      <c r="O110" s="830" t="n"/>
      <c r="P110" s="735" t="inlineStr">
        <is>
          <t>일상생활배상책임</t>
        </is>
      </c>
      <c r="Q110" s="919" t="n"/>
      <c r="R110" s="1148">
        <f>R53+C110+E110+G110+I110+K110+M110</f>
        <v/>
      </c>
    </row>
    <row r="111" ht="15" customHeight="1" s="797">
      <c r="A111" s="1149" t="inlineStr">
        <is>
          <t>기타</t>
        </is>
      </c>
      <c r="B111" s="937" t="n"/>
      <c r="C111" s="1100" t="n"/>
      <c r="D111" s="1014" t="n"/>
      <c r="E111" s="1102" t="n"/>
      <c r="F111" s="1019" t="n"/>
      <c r="G111" s="1150" t="n"/>
      <c r="H111" s="1021" t="n"/>
      <c r="I111" s="1150" t="n"/>
      <c r="J111" s="1014" t="n"/>
      <c r="K111" s="1150" t="n"/>
      <c r="L111" s="1109" t="n"/>
      <c r="M111" s="1150" t="n"/>
      <c r="N111" s="1110" t="n"/>
      <c r="O111" s="830" t="n"/>
      <c r="P111" s="1151" t="inlineStr">
        <is>
          <t>기타</t>
        </is>
      </c>
      <c r="Q111" s="980" t="n"/>
      <c r="R111" s="937" t="n"/>
    </row>
    <row r="112" ht="15" customHeight="1" s="797">
      <c r="A112" s="804" t="n"/>
      <c r="B112" s="805" t="n"/>
      <c r="C112" s="1102" t="n"/>
      <c r="D112" s="1021" t="n"/>
      <c r="E112" s="1152" t="n"/>
      <c r="F112" s="1021" t="n"/>
      <c r="G112" s="1153" t="n"/>
      <c r="H112" s="1021" t="n"/>
      <c r="I112" s="1153" t="n"/>
      <c r="J112" s="1021" t="n"/>
      <c r="K112" s="1153" t="n"/>
      <c r="L112" s="1112" t="n"/>
      <c r="M112" s="1153" t="n"/>
      <c r="N112" s="1113" t="n"/>
      <c r="O112" s="830" t="n"/>
      <c r="P112" s="804" t="n"/>
      <c r="Q112" s="804" t="n"/>
      <c r="R112" s="805" t="n"/>
    </row>
    <row r="113" ht="15" customHeight="1" s="797">
      <c r="A113" s="804" t="n"/>
      <c r="B113" s="805" t="n"/>
      <c r="C113" s="1102" t="n"/>
      <c r="D113" s="1021" t="n"/>
      <c r="E113" s="1153" t="n"/>
      <c r="F113" s="1021" t="n"/>
      <c r="G113" s="1153" t="n"/>
      <c r="H113" s="1021" t="n"/>
      <c r="I113" s="1153" t="n"/>
      <c r="J113" s="1021" t="n"/>
      <c r="K113" s="1153" t="n"/>
      <c r="L113" s="1112" t="n"/>
      <c r="M113" s="1153" t="n"/>
      <c r="N113" s="1113" t="n"/>
      <c r="O113" s="830" t="n"/>
      <c r="P113" s="804" t="n"/>
      <c r="Q113" s="804" t="n"/>
      <c r="R113" s="805" t="n"/>
    </row>
    <row r="114" ht="15" customHeight="1" s="797" thickBot="1">
      <c r="A114" s="942" t="n"/>
      <c r="B114" s="946" t="n"/>
      <c r="C114" s="1104" t="n"/>
      <c r="D114" s="1029" t="n"/>
      <c r="E114" s="1154" t="n"/>
      <c r="F114" s="1029" t="n"/>
      <c r="G114" s="1154" t="n"/>
      <c r="H114" s="1029" t="n"/>
      <c r="I114" s="1154" t="n"/>
      <c r="J114" s="1029" t="n"/>
      <c r="K114" s="1154" t="n"/>
      <c r="L114" s="1115" t="n"/>
      <c r="M114" s="1154" t="n"/>
      <c r="N114" s="1116" t="n"/>
      <c r="O114" s="830" t="n"/>
      <c r="P114" s="942" t="n"/>
      <c r="Q114" s="942" t="n"/>
      <c r="R114" s="946" t="n"/>
    </row>
    <row r="115" ht="15" customHeight="1" s="797">
      <c r="A115" s="947">
        <f>A58</f>
        <v/>
      </c>
      <c r="B115" s="796" t="n"/>
      <c r="C115" s="1155" t="n"/>
      <c r="D115" s="796" t="n"/>
      <c r="E115" s="1155" t="n"/>
      <c r="F115" s="796" t="n"/>
      <c r="G115" s="1155" t="n"/>
      <c r="H115" s="796" t="n"/>
      <c r="I115" s="1155" t="n"/>
      <c r="J115" s="796" t="n"/>
      <c r="K115" s="1155" t="n"/>
      <c r="L115" s="796" t="n"/>
      <c r="M115" s="1155" t="n"/>
      <c r="N115" s="796" t="n"/>
      <c r="O115" s="138" t="n"/>
      <c r="P115" s="795" t="inlineStr">
        <is>
          <t>평가 기준일</t>
        </is>
      </c>
      <c r="Q115" s="796" t="n"/>
      <c r="R115" s="137">
        <f>R58</f>
        <v/>
      </c>
    </row>
    <row r="116" ht="15" customHeight="1" s="797">
      <c r="A116" s="647" t="inlineStr">
        <is>
          <t>상품명</t>
        </is>
      </c>
      <c r="B116" s="798" t="n"/>
      <c r="C116" s="754" t="n"/>
      <c r="D116" s="798" t="n"/>
      <c r="E116" s="754" t="n"/>
      <c r="F116" s="798" t="n"/>
      <c r="G116" s="754" t="n"/>
      <c r="H116" s="798" t="n"/>
      <c r="I116" s="754" t="n"/>
      <c r="J116" s="798" t="n"/>
      <c r="K116" s="754" t="n"/>
      <c r="L116" s="798" t="n"/>
      <c r="M116" s="754" t="n"/>
      <c r="N116" s="798" t="n"/>
      <c r="O116" s="25" t="n"/>
      <c r="P116" s="948" t="n"/>
      <c r="Q116" s="801" t="n"/>
      <c r="R116" s="802" t="n"/>
    </row>
    <row r="117" ht="15" customHeight="1" s="797">
      <c r="A117" s="647" t="inlineStr">
        <is>
          <t>계약자 / 피보험자</t>
        </is>
      </c>
      <c r="B117" s="798" t="n"/>
      <c r="C117" s="756" t="n"/>
      <c r="D117" s="798" t="n"/>
      <c r="E117" s="756" t="n"/>
      <c r="F117" s="798" t="n"/>
      <c r="G117" s="756" t="n"/>
      <c r="H117" s="798" t="n"/>
      <c r="I117" s="756" t="n"/>
      <c r="J117" s="798" t="n"/>
      <c r="K117" s="756" t="n"/>
      <c r="L117" s="798" t="n"/>
      <c r="M117" s="756" t="n"/>
      <c r="N117" s="798" t="n"/>
      <c r="O117" s="25" t="n"/>
      <c r="P117" s="804" t="n"/>
      <c r="R117" s="805" t="n"/>
    </row>
    <row r="118" ht="15" customHeight="1" s="797">
      <c r="A118" s="647" t="inlineStr">
        <is>
          <t>계약일자</t>
        </is>
      </c>
      <c r="B118" s="798" t="n"/>
      <c r="C118" s="756" t="n"/>
      <c r="D118" s="798" t="n"/>
      <c r="E118" s="756" t="n"/>
      <c r="F118" s="798" t="n"/>
      <c r="G118" s="756" t="n"/>
      <c r="H118" s="798" t="n"/>
      <c r="I118" s="756" t="n"/>
      <c r="J118" s="798" t="n"/>
      <c r="K118" s="756" t="n"/>
      <c r="L118" s="798" t="n"/>
      <c r="M118" s="756" t="n"/>
      <c r="N118" s="798" t="n"/>
      <c r="O118" s="25" t="n"/>
      <c r="P118" s="804" t="n"/>
      <c r="R118" s="805" t="n"/>
    </row>
    <row r="119" ht="15" customHeight="1" s="797">
      <c r="A119" s="647" t="inlineStr">
        <is>
          <t>납입기간 / 기납입기간</t>
        </is>
      </c>
      <c r="B119" s="798" t="n"/>
      <c r="C119" s="997" t="n"/>
      <c r="D119" s="1000">
        <f>IF(DATEDIF(C118,$R$1,"m")&lt;C119*12,DATEDIF(C118,$R$1,"m"),C119*12)</f>
        <v/>
      </c>
      <c r="E119" s="997" t="n"/>
      <c r="F119" s="1000">
        <f>IF(DATEDIF(E118,$R$1,"m")&lt;E119*12,DATEDIF(E118,$R$1,"m"),E119*12)</f>
        <v/>
      </c>
      <c r="G119" s="997" t="n"/>
      <c r="H119" s="1000">
        <f>IF(DATEDIF(G118,$R$1,"m")&lt;G119*12,DATEDIF(G118,$R$1,"m"),G119*12)</f>
        <v/>
      </c>
      <c r="I119" s="997" t="n"/>
      <c r="J119" s="1000">
        <f>IF(DATEDIF(I118,$R$1,"m")&lt;I119*12,DATEDIF(I118,$R$1,"m"),I119*12)</f>
        <v/>
      </c>
      <c r="K119" s="997" t="n"/>
      <c r="L119" s="1000">
        <f>IF(DATEDIF(K118,$R$1,"m")&lt;K119*12,DATEDIF(K118,$R$1,"m"),K119*12)</f>
        <v/>
      </c>
      <c r="M119" s="997" t="n"/>
      <c r="N119" s="1106">
        <f>IF(DATEDIF(M118,$R$1,"m")&lt;M119*12,DATEDIF(M118,$R$1,"m"),M119*12)</f>
        <v/>
      </c>
      <c r="O119" s="25" t="n"/>
      <c r="P119" s="804" t="n"/>
      <c r="R119" s="805" t="n"/>
    </row>
    <row r="120" ht="15" customHeight="1" s="797">
      <c r="A120" s="647" t="inlineStr">
        <is>
          <t>보장기간</t>
        </is>
      </c>
      <c r="B120" s="798" t="n"/>
      <c r="C120" s="696" t="n"/>
      <c r="D120" s="798" t="n"/>
      <c r="E120" s="696" t="n"/>
      <c r="F120" s="798" t="n"/>
      <c r="G120" s="696" t="n"/>
      <c r="H120" s="798" t="n"/>
      <c r="I120" s="696" t="n"/>
      <c r="J120" s="798" t="n"/>
      <c r="K120" s="696" t="n"/>
      <c r="L120" s="798" t="n"/>
      <c r="M120" s="696" t="n"/>
      <c r="N120" s="798" t="n"/>
      <c r="O120" s="25" t="n"/>
      <c r="P120" s="808" t="n"/>
      <c r="Q120" s="809" t="n"/>
      <c r="R120" s="810" t="n"/>
    </row>
    <row r="121" ht="15" customHeight="1" s="797">
      <c r="A121" s="632" t="inlineStr">
        <is>
          <t>비고 / 갱신종류</t>
        </is>
      </c>
      <c r="B121" s="811" t="n"/>
      <c r="C121" s="1156" t="n"/>
      <c r="D121" s="798" t="n"/>
      <c r="E121" s="1156" t="n"/>
      <c r="F121" s="798" t="n"/>
      <c r="G121" s="1156" t="n"/>
      <c r="H121" s="798" t="n"/>
      <c r="I121" s="1156" t="n"/>
      <c r="J121" s="798" t="n"/>
      <c r="K121" s="1156" t="n"/>
      <c r="L121" s="798" t="n"/>
      <c r="M121" s="1157" t="n"/>
      <c r="N121" s="799" t="n"/>
      <c r="O121" s="25" t="n"/>
      <c r="P121" s="950" t="n"/>
      <c r="Q121" s="798" t="n"/>
      <c r="R121" s="27" t="inlineStr">
        <is>
          <t>총 보장 (원)</t>
        </is>
      </c>
    </row>
    <row r="122" ht="15" customHeight="1" s="797">
      <c r="A122" s="639" t="inlineStr">
        <is>
          <t>월 보험료</t>
        </is>
      </c>
      <c r="B122" s="798" t="n"/>
      <c r="C122" s="1004" t="n"/>
      <c r="D122" s="798" t="n"/>
      <c r="E122" s="1004" t="n"/>
      <c r="F122" s="798" t="n"/>
      <c r="G122" s="1004" t="n"/>
      <c r="H122" s="798" t="n"/>
      <c r="I122" s="1004" t="n"/>
      <c r="J122" s="798" t="n"/>
      <c r="K122" s="1004" t="n"/>
      <c r="L122" s="798" t="n"/>
      <c r="M122" s="1004" t="n"/>
      <c r="N122" s="798" t="n"/>
      <c r="O122" s="814" t="n"/>
      <c r="P122" s="982" t="inlineStr">
        <is>
          <t>합산 월 보험료</t>
        </is>
      </c>
      <c r="Q122" s="798" t="n"/>
      <c r="R122" s="951">
        <f>R65+C122+E122+G122+I122+K122+M122</f>
        <v/>
      </c>
    </row>
    <row r="123" ht="15" customHeight="1" s="797">
      <c r="A123" s="647" t="inlineStr">
        <is>
          <t>보험료 총액</t>
        </is>
      </c>
      <c r="B123" s="798" t="n"/>
      <c r="C123" s="1007">
        <f>C122*C119*12</f>
        <v/>
      </c>
      <c r="D123" s="798" t="n"/>
      <c r="E123" s="1007">
        <f>E122*E119*12</f>
        <v/>
      </c>
      <c r="F123" s="798" t="n"/>
      <c r="G123" s="1007">
        <f>G122*G119*12</f>
        <v/>
      </c>
      <c r="H123" s="798" t="n"/>
      <c r="I123" s="1007">
        <f>I122*I119*12</f>
        <v/>
      </c>
      <c r="J123" s="798" t="n"/>
      <c r="K123" s="1007">
        <f>K122*K119*12</f>
        <v/>
      </c>
      <c r="L123" s="798" t="n"/>
      <c r="M123" s="1009">
        <f>M122*M119*12</f>
        <v/>
      </c>
      <c r="N123" s="799" t="n"/>
      <c r="O123" s="814" t="n"/>
      <c r="P123" s="982" t="inlineStr">
        <is>
          <t>합산 보험료 총액</t>
        </is>
      </c>
      <c r="Q123" s="798" t="n"/>
      <c r="R123" s="952">
        <f>R66+C123+E123+G123+I123+K123+M123</f>
        <v/>
      </c>
    </row>
    <row r="124" ht="15" customHeight="1" s="797">
      <c r="A124" s="647" t="inlineStr">
        <is>
          <t>기 납입금</t>
        </is>
      </c>
      <c r="B124" s="798" t="n"/>
      <c r="C124" s="1007">
        <f>C122*D119</f>
        <v/>
      </c>
      <c r="D124" s="798" t="n"/>
      <c r="E124" s="1007">
        <f>E122*F119</f>
        <v/>
      </c>
      <c r="F124" s="798" t="n"/>
      <c r="G124" s="1007">
        <f>G122*H119</f>
        <v/>
      </c>
      <c r="H124" s="798" t="n"/>
      <c r="I124" s="1007">
        <f>I122*J119</f>
        <v/>
      </c>
      <c r="J124" s="798" t="n"/>
      <c r="K124" s="1007">
        <f>K122*L119</f>
        <v/>
      </c>
      <c r="L124" s="798" t="n"/>
      <c r="M124" s="1009">
        <f>M122*N119</f>
        <v/>
      </c>
      <c r="N124" s="799" t="n"/>
      <c r="O124" s="814" t="n"/>
      <c r="P124" s="982" t="inlineStr">
        <is>
          <t>합산 기 납입금</t>
        </is>
      </c>
      <c r="Q124" s="798" t="n"/>
      <c r="R124" s="952">
        <f>R67+C124+E124+G124+I124+K124+M124</f>
        <v/>
      </c>
    </row>
    <row r="125" ht="15" customHeight="1" s="797" thickBot="1">
      <c r="A125" s="632" t="inlineStr">
        <is>
          <t>미 납입금</t>
        </is>
      </c>
      <c r="B125" s="811" t="n"/>
      <c r="C125" s="1007">
        <f>C123-C124</f>
        <v/>
      </c>
      <c r="D125" s="798" t="n"/>
      <c r="E125" s="1007">
        <f>E123-E124</f>
        <v/>
      </c>
      <c r="F125" s="798" t="n"/>
      <c r="G125" s="1007">
        <f>G123-G124</f>
        <v/>
      </c>
      <c r="H125" s="798" t="n"/>
      <c r="I125" s="1007">
        <f>I123-I124</f>
        <v/>
      </c>
      <c r="J125" s="798" t="n"/>
      <c r="K125" s="1007">
        <f>K123-K124</f>
        <v/>
      </c>
      <c r="L125" s="798" t="n"/>
      <c r="M125" s="1009">
        <f>M123-M124</f>
        <v/>
      </c>
      <c r="N125" s="799" t="n"/>
      <c r="O125" s="814" t="n"/>
      <c r="P125" s="983" t="inlineStr">
        <is>
          <t>합산 미 납입금</t>
        </is>
      </c>
      <c r="Q125" s="954" t="n"/>
      <c r="R125" s="955">
        <f>R68+C125+E125+G125+I125+K125+M125</f>
        <v/>
      </c>
    </row>
    <row r="126" ht="15" customHeight="1" s="797">
      <c r="A126" s="1158" t="inlineStr">
        <is>
          <t>실비
(갱신형)</t>
        </is>
      </c>
      <c r="B126" s="139" t="inlineStr">
        <is>
          <t>상해급여의료비</t>
        </is>
      </c>
      <c r="C126" s="1015" t="n"/>
      <c r="D126" s="1014" t="n"/>
      <c r="E126" s="1010" t="n"/>
      <c r="F126" s="1014" t="n"/>
      <c r="G126" s="1010" t="n"/>
      <c r="H126" s="1014" t="n"/>
      <c r="I126" s="1010" t="n"/>
      <c r="J126" s="1014" t="n"/>
      <c r="K126" s="1010" t="n"/>
      <c r="L126" s="1109" t="n"/>
      <c r="M126" s="1010" t="n"/>
      <c r="N126" s="1110" t="n"/>
      <c r="O126" s="830" t="n"/>
      <c r="P126" s="1159" t="inlineStr">
        <is>
          <t>실비
(갱신형)</t>
        </is>
      </c>
      <c r="Q126" s="139" t="inlineStr">
        <is>
          <t>질병입원의료비</t>
        </is>
      </c>
      <c r="R126" s="957">
        <f>R69+C126+E126+G126+I126+K126+M126</f>
        <v/>
      </c>
    </row>
    <row r="127" ht="15" customHeight="1" s="797">
      <c r="A127" s="832" t="n"/>
      <c r="B127" s="140" t="inlineStr">
        <is>
          <t>질병급여의료비</t>
        </is>
      </c>
      <c r="C127" s="1022" t="n"/>
      <c r="D127" s="1021" t="n"/>
      <c r="E127" s="1017" t="n"/>
      <c r="F127" s="1021" t="n"/>
      <c r="G127" s="1017" t="n"/>
      <c r="H127" s="1021" t="n"/>
      <c r="I127" s="1017" t="n"/>
      <c r="J127" s="1021" t="n"/>
      <c r="K127" s="1017" t="n"/>
      <c r="L127" s="1112" t="n"/>
      <c r="M127" s="1017" t="n"/>
      <c r="N127" s="1113" t="n"/>
      <c r="O127" s="830" t="n"/>
      <c r="P127" s="832" t="n"/>
      <c r="Q127" s="140" t="inlineStr">
        <is>
          <t>질병통원의료비</t>
        </is>
      </c>
      <c r="R127" s="959">
        <f>R70+C127+E127+G127+I127+K127+M127</f>
        <v/>
      </c>
    </row>
    <row r="128" ht="15" customHeight="1" s="797">
      <c r="A128" s="832" t="n"/>
      <c r="B128" s="140" t="inlineStr">
        <is>
          <t>상해비급여의료비</t>
        </is>
      </c>
      <c r="C128" s="1022" t="n"/>
      <c r="D128" s="1021" t="n"/>
      <c r="E128" s="1022" t="n"/>
      <c r="F128" s="1021" t="n"/>
      <c r="G128" s="1017" t="n"/>
      <c r="H128" s="1021" t="n"/>
      <c r="I128" s="1017" t="n"/>
      <c r="J128" s="1021" t="n"/>
      <c r="K128" s="1017" t="n"/>
      <c r="L128" s="1112" t="n"/>
      <c r="M128" s="1017" t="n"/>
      <c r="N128" s="1113" t="n"/>
      <c r="O128" s="830" t="n"/>
      <c r="P128" s="832" t="n"/>
      <c r="Q128" s="140" t="inlineStr">
        <is>
          <t>상해입원의료비</t>
        </is>
      </c>
      <c r="R128" s="959">
        <f>R71+C128+E128+G128+I128+K128+M128</f>
        <v/>
      </c>
    </row>
    <row r="129" ht="15" customHeight="1" s="797">
      <c r="A129" s="832" t="n"/>
      <c r="B129" s="140" t="inlineStr">
        <is>
          <t>질병비급여의료비</t>
        </is>
      </c>
      <c r="C129" s="1022" t="n"/>
      <c r="D129" s="1021" t="n"/>
      <c r="E129" s="1022" t="n"/>
      <c r="F129" s="1021" t="n"/>
      <c r="G129" s="1017" t="n"/>
      <c r="H129" s="1021" t="n"/>
      <c r="I129" s="1017" t="n"/>
      <c r="J129" s="1021" t="n"/>
      <c r="K129" s="1017" t="n"/>
      <c r="L129" s="1112" t="n"/>
      <c r="M129" s="1017" t="n"/>
      <c r="N129" s="1113" t="n"/>
      <c r="O129" s="830" t="n"/>
      <c r="P129" s="832" t="n"/>
      <c r="Q129" s="140" t="inlineStr">
        <is>
          <t>상해통원의료비</t>
        </is>
      </c>
      <c r="R129" s="959">
        <f>R72+C129+E129+G129+I129+K129+M129</f>
        <v/>
      </c>
    </row>
    <row r="130" ht="15" customHeight="1" s="797" thickBot="1">
      <c r="A130" s="841" t="n"/>
      <c r="B130" s="141" t="inlineStr">
        <is>
          <t>3대비급여 의료비</t>
        </is>
      </c>
      <c r="C130" s="1027" t="n"/>
      <c r="D130" s="1029" t="n"/>
      <c r="E130" s="1027" t="n"/>
      <c r="F130" s="1029" t="n"/>
      <c r="G130" s="1024" t="n"/>
      <c r="H130" s="1029" t="n"/>
      <c r="I130" s="1024" t="n"/>
      <c r="J130" s="1029" t="n"/>
      <c r="K130" s="1024" t="n"/>
      <c r="L130" s="1115" t="n"/>
      <c r="M130" s="1024" t="n"/>
      <c r="N130" s="1116" t="n"/>
      <c r="O130" s="830" t="n"/>
      <c r="P130" s="841" t="n"/>
      <c r="Q130" s="141" t="inlineStr">
        <is>
          <t>3대비급여 의료비</t>
        </is>
      </c>
      <c r="R130" s="963">
        <f>R73+C130+E130+G130+I130+K130+M130</f>
        <v/>
      </c>
    </row>
    <row r="131" ht="15" customHeight="1" s="797">
      <c r="A131" s="626" t="inlineStr">
        <is>
          <t>암</t>
        </is>
      </c>
      <c r="B131" s="142" t="inlineStr">
        <is>
          <t>일반암</t>
        </is>
      </c>
      <c r="C131" s="1010" t="n"/>
      <c r="D131" s="1014" t="n"/>
      <c r="E131" s="1010" t="n"/>
      <c r="F131" s="1014" t="n"/>
      <c r="G131" s="1010" t="n"/>
      <c r="H131" s="1160" t="n"/>
      <c r="I131" s="1010" t="n"/>
      <c r="J131" s="1014" t="n"/>
      <c r="K131" s="1010" t="n"/>
      <c r="L131" s="1109" t="n"/>
      <c r="M131" s="1010" t="n"/>
      <c r="N131" s="1110" t="n"/>
      <c r="O131" s="830" t="n"/>
      <c r="P131" s="772">
        <f>A131</f>
        <v/>
      </c>
      <c r="Q131" s="112" t="inlineStr">
        <is>
          <t>일반암</t>
        </is>
      </c>
      <c r="R131" s="957">
        <f>R74+C131+E131+G131+I131+K131+M131</f>
        <v/>
      </c>
    </row>
    <row r="132" ht="15" customHeight="1" s="797">
      <c r="A132" s="832" t="n"/>
      <c r="B132" s="143" t="inlineStr">
        <is>
          <t>소액암</t>
        </is>
      </c>
      <c r="C132" s="1079" t="n"/>
      <c r="D132" s="1039" t="n"/>
      <c r="E132" s="1017" t="n"/>
      <c r="F132" s="1039" t="n"/>
      <c r="G132" s="1017" t="n"/>
      <c r="H132" s="1161" t="n"/>
      <c r="I132" s="1017" t="n"/>
      <c r="J132" s="1039" t="n"/>
      <c r="K132" s="1038" t="n"/>
      <c r="L132" s="1118" t="n"/>
      <c r="M132" s="1038" t="n"/>
      <c r="N132" s="1119" t="n"/>
      <c r="O132" s="830" t="n"/>
      <c r="P132" s="832" t="n"/>
      <c r="Q132" s="113" t="inlineStr">
        <is>
          <t>소액암</t>
        </is>
      </c>
      <c r="R132" s="959">
        <f>R75+C132+E132+G132+I132+K132+M132</f>
        <v/>
      </c>
    </row>
    <row r="133" ht="15" customHeight="1" s="797">
      <c r="A133" s="832" t="n"/>
      <c r="B133" s="143" t="inlineStr">
        <is>
          <t>암수술비</t>
        </is>
      </c>
      <c r="C133" s="1079" t="n"/>
      <c r="D133" s="1039" t="n"/>
      <c r="E133" s="1038" t="n"/>
      <c r="F133" s="1039" t="n"/>
      <c r="G133" s="1017" t="n"/>
      <c r="H133" s="1162" t="n"/>
      <c r="I133" s="1038" t="n"/>
      <c r="J133" s="1039" t="n"/>
      <c r="K133" s="1038" t="n"/>
      <c r="L133" s="1118" t="n"/>
      <c r="M133" s="1038" t="n"/>
      <c r="N133" s="1119" t="n"/>
      <c r="O133" s="830" t="n"/>
      <c r="P133" s="832" t="n"/>
      <c r="Q133" s="113" t="inlineStr">
        <is>
          <t>암수술비</t>
        </is>
      </c>
      <c r="R133" s="959">
        <f>R80+C133+E133+G133+I133+K133+M133</f>
        <v/>
      </c>
    </row>
    <row r="134" ht="15" customHeight="1" s="797">
      <c r="A134" s="832" t="n"/>
      <c r="B134" s="143" t="inlineStr">
        <is>
          <t>항암치료비</t>
        </is>
      </c>
      <c r="C134" s="1079" t="n"/>
      <c r="D134" s="1039" t="n"/>
      <c r="E134" s="1017" t="n"/>
      <c r="F134" s="1039" t="n"/>
      <c r="G134" s="1038" t="n"/>
      <c r="H134" s="1162" t="n"/>
      <c r="I134" s="1079" t="n"/>
      <c r="J134" s="1039" t="n"/>
      <c r="K134" s="1038" t="n"/>
      <c r="L134" s="1118" t="n"/>
      <c r="M134" s="1038" t="n"/>
      <c r="N134" s="1119" t="n"/>
      <c r="O134" s="830" t="n"/>
      <c r="P134" s="832" t="n"/>
      <c r="Q134" s="113" t="inlineStr">
        <is>
          <t>항암치료비</t>
        </is>
      </c>
      <c r="R134" s="959">
        <f>R81+C134+E134+G134+I134+K134+M134</f>
        <v/>
      </c>
    </row>
    <row r="135" ht="15" customHeight="1" s="797" thickBot="1">
      <c r="A135" s="832" t="n"/>
      <c r="B135" s="144" t="inlineStr">
        <is>
          <t>암입원비</t>
        </is>
      </c>
      <c r="C135" s="1027" t="n"/>
      <c r="D135" s="1029" t="n"/>
      <c r="E135" s="1024" t="n"/>
      <c r="F135" s="1039" t="n"/>
      <c r="G135" s="1024" t="n"/>
      <c r="H135" s="1162" t="n"/>
      <c r="I135" s="1024" t="n"/>
      <c r="J135" s="1039" t="n"/>
      <c r="K135" s="1038" t="n"/>
      <c r="L135" s="1118" t="n"/>
      <c r="M135" s="1038" t="n"/>
      <c r="N135" s="1119" t="n"/>
      <c r="O135" s="830" t="n"/>
      <c r="P135" s="832" t="n"/>
      <c r="Q135" s="114" t="inlineStr">
        <is>
          <t>암입원비</t>
        </is>
      </c>
      <c r="R135" s="963">
        <f>R83+C135+E135+G135+I135+K135+M135</f>
        <v/>
      </c>
    </row>
    <row r="136" ht="15" customHeight="1" s="797">
      <c r="A136" s="721" t="inlineStr">
        <is>
          <t>2대
질병</t>
        </is>
      </c>
      <c r="B136" s="145" t="inlineStr">
        <is>
          <t>뇌혈관</t>
        </is>
      </c>
      <c r="C136" s="1017" t="n"/>
      <c r="D136" s="1014" t="n"/>
      <c r="E136" s="1017" t="n"/>
      <c r="F136" s="1014" t="n"/>
      <c r="G136" s="1017" t="n"/>
      <c r="H136" s="1163" t="n"/>
      <c r="I136" s="1010" t="n"/>
      <c r="J136" s="1014" t="n"/>
      <c r="K136" s="1010" t="n"/>
      <c r="L136" s="1109" t="n"/>
      <c r="M136" s="1010" t="n"/>
      <c r="N136" s="1110" t="n"/>
      <c r="O136" s="830" t="n"/>
      <c r="P136" s="760">
        <f>A136</f>
        <v/>
      </c>
      <c r="Q136" s="115" t="inlineStr">
        <is>
          <t>뇌혈관</t>
        </is>
      </c>
      <c r="R136" s="957">
        <f>R84+C136+E136+G136+I136+K136+M136</f>
        <v/>
      </c>
    </row>
    <row r="137" ht="15" customHeight="1" s="797">
      <c r="A137" s="832" t="n"/>
      <c r="B137" s="146" t="inlineStr">
        <is>
          <t>뇌졸증</t>
        </is>
      </c>
      <c r="C137" s="1017" t="n"/>
      <c r="D137" s="1039" t="n"/>
      <c r="E137" s="1038" t="n"/>
      <c r="F137" s="1161" t="n"/>
      <c r="G137" s="1017" t="n"/>
      <c r="H137" s="1162" t="n"/>
      <c r="I137" s="1038" t="n"/>
      <c r="J137" s="1161" t="n"/>
      <c r="K137" s="1017" t="n"/>
      <c r="L137" s="1118" t="n"/>
      <c r="M137" s="1038" t="n"/>
      <c r="N137" s="1119" t="n"/>
      <c r="O137" s="830" t="n"/>
      <c r="P137" s="832" t="n"/>
      <c r="Q137" s="116" t="inlineStr">
        <is>
          <t>뇌졸증</t>
        </is>
      </c>
      <c r="R137" s="959">
        <f>R85+C137+E137+G137+I137+K137+M137</f>
        <v/>
      </c>
    </row>
    <row r="138" ht="15" customHeight="1" s="797" thickBot="1">
      <c r="A138" s="832" t="n"/>
      <c r="B138" s="147" t="inlineStr">
        <is>
          <t>뇌출혈</t>
        </is>
      </c>
      <c r="C138" s="1044" t="n"/>
      <c r="D138" s="1164" t="n"/>
      <c r="E138" s="1044" t="n"/>
      <c r="F138" s="1122" t="n"/>
      <c r="G138" s="1044" t="n"/>
      <c r="H138" s="1165" t="n"/>
      <c r="I138" s="1044" t="n"/>
      <c r="J138" s="1164" t="n"/>
      <c r="K138" s="1044" t="n"/>
      <c r="L138" s="1123" t="n"/>
      <c r="M138" s="1044" t="n"/>
      <c r="N138" s="1124" t="n"/>
      <c r="O138" s="830" t="n"/>
      <c r="P138" s="832" t="n"/>
      <c r="Q138" s="117" t="inlineStr">
        <is>
          <t>뇌출혈</t>
        </is>
      </c>
      <c r="R138" s="963">
        <f>R86+C138+E138+G138+I138+K138+M138</f>
        <v/>
      </c>
    </row>
    <row r="139" ht="15" customHeight="1" s="797">
      <c r="A139" s="832" t="n"/>
      <c r="B139" s="148" t="inlineStr">
        <is>
          <t>심장질환</t>
        </is>
      </c>
      <c r="C139" s="1010" t="n"/>
      <c r="D139" s="1014" t="n"/>
      <c r="E139" s="1010" t="n"/>
      <c r="F139" s="1014" t="n"/>
      <c r="G139" s="1010" t="n"/>
      <c r="H139" s="1163" t="n"/>
      <c r="I139" s="1010" t="n"/>
      <c r="J139" s="1014" t="n"/>
      <c r="K139" s="1010" t="n"/>
      <c r="L139" s="1109" t="n"/>
      <c r="M139" s="1010" t="n"/>
      <c r="N139" s="1110" t="n"/>
      <c r="O139" s="830" t="n"/>
      <c r="P139" s="832" t="n"/>
      <c r="Q139" s="118" t="inlineStr">
        <is>
          <t>심장질환</t>
        </is>
      </c>
      <c r="R139" s="957">
        <f>R87+C139+E139+G139+I139+K139+M139</f>
        <v/>
      </c>
    </row>
    <row r="140" ht="15" customHeight="1" s="797">
      <c r="A140" s="832" t="n"/>
      <c r="B140" s="149" t="inlineStr">
        <is>
          <t>허혈성심장</t>
        </is>
      </c>
      <c r="C140" s="1017" t="n"/>
      <c r="D140" s="1039" t="n"/>
      <c r="E140" s="1017" t="n"/>
      <c r="F140" s="1161" t="n"/>
      <c r="G140" s="1017" t="n"/>
      <c r="H140" s="1162" t="n"/>
      <c r="I140" s="1017" t="n"/>
      <c r="J140" s="1021" t="n"/>
      <c r="K140" s="1017" t="n"/>
      <c r="L140" s="1118" t="n"/>
      <c r="M140" s="1038" t="n"/>
      <c r="N140" s="1119" t="n"/>
      <c r="O140" s="830" t="n"/>
      <c r="P140" s="832" t="n"/>
      <c r="Q140" s="119" t="inlineStr">
        <is>
          <t>허혈성심장</t>
        </is>
      </c>
      <c r="R140" s="959">
        <f>R88+C140+E140+G140+I140+K140+M140</f>
        <v/>
      </c>
    </row>
    <row r="141" ht="15" customHeight="1" s="797" thickBot="1">
      <c r="A141" s="832" t="n"/>
      <c r="B141" s="165" t="inlineStr">
        <is>
          <t>급성심근경색</t>
        </is>
      </c>
      <c r="C141" s="1024" t="n"/>
      <c r="D141" s="1166" t="n"/>
      <c r="E141" s="1044" t="n"/>
      <c r="F141" s="1122" t="n"/>
      <c r="G141" s="1044" t="n"/>
      <c r="H141" s="1165" t="n"/>
      <c r="I141" s="1044" t="n"/>
      <c r="J141" s="1164" t="n"/>
      <c r="K141" s="1043" t="n"/>
      <c r="L141" s="1123" t="n"/>
      <c r="M141" s="1043" t="n"/>
      <c r="N141" s="1124" t="n"/>
      <c r="O141" s="830" t="n"/>
      <c r="P141" s="832" t="n"/>
      <c r="Q141" s="120" t="inlineStr">
        <is>
          <t>급성심근경색</t>
        </is>
      </c>
      <c r="R141" s="963">
        <f>R89+C141+E141+G141+I141+K141+M141</f>
        <v/>
      </c>
    </row>
    <row r="142" ht="15" customHeight="1" s="797" thickBot="1">
      <c r="A142" s="832" t="n"/>
      <c r="B142" s="283" t="inlineStr">
        <is>
          <t>뇌/심장질환수술비</t>
        </is>
      </c>
      <c r="C142" s="1094" t="n"/>
      <c r="D142" s="1127" t="n"/>
      <c r="E142" s="1089" t="n"/>
      <c r="F142" s="1167" t="n"/>
      <c r="G142" s="1089" t="n"/>
      <c r="H142" s="1168" t="n"/>
      <c r="I142" s="1089" t="n"/>
      <c r="J142" s="1167" t="n"/>
      <c r="K142" s="1089" t="n"/>
      <c r="L142" s="1129" t="n"/>
      <c r="M142" s="1089" t="n"/>
      <c r="N142" s="1130" t="n"/>
      <c r="O142" s="830" t="n"/>
      <c r="P142" s="832" t="n"/>
      <c r="Q142" s="283" t="inlineStr">
        <is>
          <t>뇌/심장질환수술비</t>
        </is>
      </c>
      <c r="R142" s="1131">
        <f>R90+C142+E142+G142+I142+K142+M142</f>
        <v/>
      </c>
    </row>
    <row r="143" ht="15" customHeight="1" s="797">
      <c r="A143" s="1132" t="inlineStr">
        <is>
          <t>후유장해</t>
        </is>
      </c>
      <c r="B143" s="152" t="inlineStr">
        <is>
          <t>질병 80% 이상</t>
        </is>
      </c>
      <c r="C143" s="1015" t="n"/>
      <c r="D143" s="1014" t="n"/>
      <c r="E143" s="1010" t="n"/>
      <c r="F143" s="1160" t="n"/>
      <c r="G143" s="1010" t="n"/>
      <c r="H143" s="1014" t="n"/>
      <c r="I143" s="1010" t="n"/>
      <c r="J143" s="1014" t="n"/>
      <c r="K143" s="1010" t="n"/>
      <c r="L143" s="1109" t="n"/>
      <c r="M143" s="1010" t="n"/>
      <c r="N143" s="1110" t="n"/>
      <c r="O143" s="830" t="n"/>
      <c r="P143" s="1169">
        <f>A143</f>
        <v/>
      </c>
      <c r="Q143" s="122" t="inlineStr">
        <is>
          <t>질병 80% 이상</t>
        </is>
      </c>
      <c r="R143" s="957">
        <f>R91+C143+E143+G143+I143+K143+M143</f>
        <v/>
      </c>
    </row>
    <row r="144" ht="15" customHeight="1" s="797">
      <c r="A144" s="832" t="n"/>
      <c r="B144" s="153" t="inlineStr">
        <is>
          <t>질병 80% 미만</t>
        </is>
      </c>
      <c r="C144" s="1022" t="n"/>
      <c r="D144" s="1021" t="n"/>
      <c r="E144" s="1017" t="n"/>
      <c r="F144" s="1161" t="n"/>
      <c r="G144" s="1017" t="n"/>
      <c r="H144" s="1021" t="n"/>
      <c r="I144" s="1017" t="n"/>
      <c r="J144" s="1021" t="n"/>
      <c r="K144" s="1017" t="n"/>
      <c r="L144" s="1112" t="n"/>
      <c r="M144" s="1017" t="n"/>
      <c r="N144" s="1113" t="n"/>
      <c r="O144" s="830" t="n"/>
      <c r="P144" s="832" t="n"/>
      <c r="Q144" s="123" t="inlineStr">
        <is>
          <t>질병 80% 미만</t>
        </is>
      </c>
      <c r="R144" s="959">
        <f>R92+C144+E144+G144+I144+K144+M144</f>
        <v/>
      </c>
    </row>
    <row r="145" ht="15" customHeight="1" s="797">
      <c r="A145" s="832" t="n"/>
      <c r="B145" s="153" t="inlineStr">
        <is>
          <t>재해/상해 80% 이상</t>
        </is>
      </c>
      <c r="C145" s="1022" t="n"/>
      <c r="D145" s="1021" t="n"/>
      <c r="E145" s="1017" t="n"/>
      <c r="F145" s="218" t="n"/>
      <c r="G145" s="1017" t="n"/>
      <c r="H145" s="1021" t="n"/>
      <c r="I145" s="1017" t="n"/>
      <c r="J145" s="1021" t="n"/>
      <c r="K145" s="1017" t="n"/>
      <c r="L145" s="1112" t="n"/>
      <c r="M145" s="1017" t="n"/>
      <c r="N145" s="1113" t="n"/>
      <c r="O145" s="830" t="n"/>
      <c r="P145" s="832" t="n"/>
      <c r="Q145" s="123" t="inlineStr">
        <is>
          <t>재해/상해 80% 이상</t>
        </is>
      </c>
      <c r="R145" s="959">
        <f>R93+C145+E145+G145+I145+K145+M145</f>
        <v/>
      </c>
    </row>
    <row r="146" ht="15" customHeight="1" s="797" thickBot="1">
      <c r="A146" s="841" t="n"/>
      <c r="B146" s="154" t="inlineStr">
        <is>
          <t>재해/상해 80% 미만</t>
        </is>
      </c>
      <c r="C146" s="1027" t="n"/>
      <c r="D146" s="1029" t="n"/>
      <c r="E146" s="1024" t="n"/>
      <c r="F146" s="1166" t="n"/>
      <c r="G146" s="1017" t="n"/>
      <c r="H146" s="1029" t="n"/>
      <c r="I146" s="1024" t="n"/>
      <c r="J146" s="1029" t="n"/>
      <c r="K146" s="1024" t="n"/>
      <c r="L146" s="1115" t="n"/>
      <c r="M146" s="1024" t="n"/>
      <c r="N146" s="1116" t="n"/>
      <c r="O146" s="830" t="n"/>
      <c r="P146" s="841" t="n"/>
      <c r="Q146" s="124" t="inlineStr">
        <is>
          <t>재해/상해 80% 미만</t>
        </is>
      </c>
      <c r="R146" s="963">
        <f>R94+C146+E146+G146+I146+K146+M146</f>
        <v/>
      </c>
    </row>
    <row r="147" ht="15" customHeight="1" s="797">
      <c r="A147" s="1133" t="inlineStr">
        <is>
          <t>사망</t>
        </is>
      </c>
      <c r="B147" s="155" t="inlineStr">
        <is>
          <t>일반</t>
        </is>
      </c>
      <c r="C147" s="1015" t="n"/>
      <c r="D147" s="1014" t="n"/>
      <c r="E147" s="1038" t="n"/>
      <c r="F147" s="1014" t="n"/>
      <c r="G147" s="1010" t="n"/>
      <c r="H147" s="1014" t="n"/>
      <c r="I147" s="1010" t="n"/>
      <c r="J147" s="1014" t="n"/>
      <c r="K147" s="1010" t="n"/>
      <c r="L147" s="1170" t="n"/>
      <c r="M147" s="1038" t="n"/>
      <c r="N147" s="1119" t="n"/>
      <c r="O147" s="830" t="n"/>
      <c r="P147" s="1171" t="inlineStr">
        <is>
          <t>사망</t>
        </is>
      </c>
      <c r="Q147" s="125" t="inlineStr">
        <is>
          <t>일반</t>
        </is>
      </c>
      <c r="R147" s="957">
        <f>R95+C147+E147+G147+I147+K147+M147</f>
        <v/>
      </c>
    </row>
    <row r="148" ht="15" customHeight="1" s="797">
      <c r="A148" s="832" t="n"/>
      <c r="B148" s="156" t="inlineStr">
        <is>
          <t>질병</t>
        </is>
      </c>
      <c r="C148" s="1022" t="n"/>
      <c r="D148" s="1021" t="n"/>
      <c r="E148" s="1017" t="n"/>
      <c r="F148" s="1021" t="n"/>
      <c r="G148" s="1017" t="n"/>
      <c r="H148" s="1172" t="n"/>
      <c r="I148" s="1017" t="n"/>
      <c r="J148" s="1021" t="n"/>
      <c r="K148" s="1017" t="n"/>
      <c r="L148" s="1173" t="n"/>
      <c r="M148" s="1017" t="n"/>
      <c r="N148" s="1113" t="n"/>
      <c r="O148" s="830" t="n"/>
      <c r="P148" s="832" t="n"/>
      <c r="Q148" s="126" t="inlineStr">
        <is>
          <t>질병</t>
        </is>
      </c>
      <c r="R148" s="959">
        <f>R96+C148+E148+G148+I148+K148+M148</f>
        <v/>
      </c>
    </row>
    <row r="149" ht="15" customHeight="1" s="797" thickBot="1">
      <c r="A149" s="841" t="n"/>
      <c r="B149" s="157" t="inlineStr">
        <is>
          <t>재해/상해</t>
        </is>
      </c>
      <c r="C149" s="1079" t="n"/>
      <c r="D149" s="1039" t="n"/>
      <c r="E149" s="1024" t="n"/>
      <c r="F149" s="1029" t="n"/>
      <c r="G149" s="1024" t="n"/>
      <c r="H149" s="1174" t="n"/>
      <c r="I149" s="1024" t="n"/>
      <c r="J149" s="1175" t="n"/>
      <c r="K149" s="1024" t="n"/>
      <c r="L149" s="1115" t="n"/>
      <c r="M149" s="1024" t="n"/>
      <c r="N149" s="1116" t="n"/>
      <c r="O149" s="830" t="n"/>
      <c r="P149" s="841" t="n"/>
      <c r="Q149" s="127" t="inlineStr">
        <is>
          <t>상해</t>
        </is>
      </c>
      <c r="R149" s="963">
        <f>R97+C149+E149+G149+I149+K149+M149</f>
        <v/>
      </c>
    </row>
    <row r="150" ht="15" customHeight="1" s="797">
      <c r="A150" s="746" t="inlineStr">
        <is>
          <t>수술비</t>
        </is>
      </c>
      <c r="B150" s="158" t="inlineStr">
        <is>
          <t>질병</t>
        </is>
      </c>
      <c r="C150" s="1015" t="n"/>
      <c r="D150" s="1014" t="n"/>
      <c r="E150" s="1010" t="n"/>
      <c r="F150" s="1014" t="n"/>
      <c r="G150" s="1010" t="n"/>
      <c r="H150" s="1014" t="n"/>
      <c r="I150" s="1010" t="n"/>
      <c r="J150" s="1176" t="n"/>
      <c r="K150" s="1010" t="n"/>
      <c r="L150" s="1109" t="n"/>
      <c r="M150" s="1010" t="n"/>
      <c r="N150" s="1110" t="n"/>
      <c r="O150" s="830" t="n"/>
      <c r="P150" s="779" t="inlineStr">
        <is>
          <t>수술비</t>
        </is>
      </c>
      <c r="Q150" s="128" t="inlineStr">
        <is>
          <t>질병</t>
        </is>
      </c>
      <c r="R150" s="957">
        <f>R98+C150+E150+G150+I150+K150+M150</f>
        <v/>
      </c>
    </row>
    <row r="151" ht="15" customHeight="1" s="797">
      <c r="A151" s="832" t="n"/>
      <c r="B151" s="158" t="inlineStr">
        <is>
          <t>상해</t>
        </is>
      </c>
      <c r="C151" s="1022" t="n"/>
      <c r="D151" s="1021" t="n"/>
      <c r="E151" s="1017" t="n"/>
      <c r="F151" s="1039" t="n"/>
      <c r="G151" s="1017" t="n"/>
      <c r="H151" s="1021" t="n"/>
      <c r="I151" s="1017" t="n"/>
      <c r="J151" s="1177" t="n"/>
      <c r="K151" s="1017" t="n"/>
      <c r="L151" s="1112" t="n"/>
      <c r="M151" s="1017" t="n"/>
      <c r="N151" s="1113" t="n"/>
      <c r="O151" s="830" t="n"/>
      <c r="P151" s="832" t="n"/>
      <c r="Q151" s="129" t="inlineStr">
        <is>
          <t>상해</t>
        </is>
      </c>
      <c r="R151" s="959">
        <f>R99+C151+E151+G151+I151+K151+M151</f>
        <v/>
      </c>
    </row>
    <row r="152" ht="15" customHeight="1" s="797">
      <c r="A152" s="832" t="n"/>
      <c r="B152" s="158" t="inlineStr">
        <is>
          <t>1~5종</t>
        </is>
      </c>
      <c r="C152" s="1022" t="n"/>
      <c r="D152" s="1021" t="n"/>
      <c r="E152" s="1017" t="n"/>
      <c r="F152" s="1039" t="n"/>
      <c r="G152" s="1017" t="n"/>
      <c r="H152" s="1162" t="n"/>
      <c r="I152" s="1038" t="n"/>
      <c r="J152" s="1178" t="n"/>
      <c r="K152" s="1038" t="n"/>
      <c r="L152" s="1179" t="n"/>
      <c r="M152" s="1180" t="n"/>
      <c r="N152" s="1119" t="n"/>
      <c r="O152" s="830" t="n"/>
      <c r="P152" s="832" t="n"/>
      <c r="Q152" s="129" t="inlineStr">
        <is>
          <t>1~5종</t>
        </is>
      </c>
      <c r="R152" s="959">
        <f>R100+C152+E152+G152+I152+K152+M152</f>
        <v/>
      </c>
    </row>
    <row r="153" ht="15" customHeight="1" s="797" thickBot="1">
      <c r="A153" s="832" t="n"/>
      <c r="B153" s="159" t="inlineStr">
        <is>
          <t>64대 이상</t>
        </is>
      </c>
      <c r="C153" s="1045" t="n"/>
      <c r="D153" s="1136" t="n"/>
      <c r="E153" s="1043" t="n"/>
      <c r="F153" s="1136" t="n"/>
      <c r="G153" s="1043" t="n"/>
      <c r="H153" s="1181" t="n"/>
      <c r="I153" s="1044" t="n"/>
      <c r="J153" s="1182" t="n"/>
      <c r="K153" s="1044" t="n"/>
      <c r="L153" s="1183" t="n"/>
      <c r="M153" s="1043" t="n"/>
      <c r="N153" s="1138" t="n"/>
      <c r="O153" s="830" t="n"/>
      <c r="P153" s="832" t="n"/>
      <c r="Q153" s="130" t="inlineStr">
        <is>
          <t>64대 이상</t>
        </is>
      </c>
      <c r="R153" s="963">
        <f>R101+C153+E153+G153+I153+K153+M153</f>
        <v/>
      </c>
    </row>
    <row r="154" ht="15" customHeight="1" s="797">
      <c r="A154" s="748" t="inlineStr">
        <is>
          <t>진단비</t>
        </is>
      </c>
      <c r="B154" s="160" t="inlineStr">
        <is>
          <t>골절</t>
        </is>
      </c>
      <c r="C154" s="1010" t="n"/>
      <c r="D154" s="1014" t="n"/>
      <c r="E154" s="1010" t="n"/>
      <c r="F154" s="1014" t="n"/>
      <c r="G154" s="1010" t="n"/>
      <c r="H154" s="1014" t="n"/>
      <c r="I154" s="1010" t="n"/>
      <c r="J154" s="1176" t="n"/>
      <c r="K154" s="1010" t="n"/>
      <c r="L154" s="1109" t="n"/>
      <c r="M154" s="1010" t="n"/>
      <c r="N154" s="1110" t="n"/>
      <c r="O154" s="830" t="n"/>
      <c r="P154" s="782" t="inlineStr">
        <is>
          <t>진단비</t>
        </is>
      </c>
      <c r="Q154" s="131" t="inlineStr">
        <is>
          <t>골절</t>
        </is>
      </c>
      <c r="R154" s="957">
        <f>R102+C154+E154+G154+I154+K154+M154</f>
        <v/>
      </c>
    </row>
    <row r="155" ht="15" customHeight="1" s="797" thickBot="1">
      <c r="A155" s="832" t="n"/>
      <c r="B155" s="161" t="inlineStr">
        <is>
          <t>화상</t>
        </is>
      </c>
      <c r="C155" s="1184" t="n"/>
      <c r="D155" s="1029" t="n"/>
      <c r="E155" s="1075" t="n"/>
      <c r="F155" s="1142" t="n"/>
      <c r="G155" s="1075" t="n"/>
      <c r="H155" s="1142" t="n"/>
      <c r="I155" s="1075" t="n"/>
      <c r="J155" s="1185" t="n"/>
      <c r="K155" s="1075" t="n"/>
      <c r="L155" s="1186" t="n"/>
      <c r="M155" s="1075" t="n"/>
      <c r="N155" s="1144" t="n"/>
      <c r="O155" s="830" t="n"/>
      <c r="P155" s="832" t="n"/>
      <c r="Q155" s="132" t="inlineStr">
        <is>
          <t>화상</t>
        </is>
      </c>
      <c r="R155" s="963">
        <f>R103+C155+E155+G155+I155+K155+M155</f>
        <v/>
      </c>
    </row>
    <row r="156" ht="15" customHeight="1" s="797">
      <c r="A156" s="1187" t="inlineStr">
        <is>
          <t>입원일당</t>
        </is>
      </c>
      <c r="B156" s="162" t="inlineStr">
        <is>
          <t>질병</t>
        </is>
      </c>
      <c r="C156" s="1015" t="n"/>
      <c r="D156" s="1014" t="n"/>
      <c r="E156" s="1015" t="n"/>
      <c r="F156" s="1014" t="n"/>
      <c r="G156" s="1015" t="n"/>
      <c r="H156" s="1014" t="n"/>
      <c r="I156" s="1015" t="n"/>
      <c r="J156" s="1176" t="n"/>
      <c r="K156" s="1010" t="n"/>
      <c r="L156" s="1109" t="n"/>
      <c r="M156" s="1010" t="n"/>
      <c r="N156" s="1110" t="n"/>
      <c r="O156" s="830" t="n"/>
      <c r="P156" s="1188" t="inlineStr">
        <is>
          <t>입원일당</t>
        </is>
      </c>
      <c r="Q156" s="133" t="inlineStr">
        <is>
          <t>질병</t>
        </is>
      </c>
      <c r="R156" s="957">
        <f>R104+C156+E156+G156+I156+K156+M156</f>
        <v/>
      </c>
    </row>
    <row r="157" ht="15" customHeight="1" s="797" thickBot="1">
      <c r="A157" s="841" t="n"/>
      <c r="B157" s="163" t="inlineStr">
        <is>
          <t>재해/상해</t>
        </is>
      </c>
      <c r="C157" s="1027" t="n"/>
      <c r="D157" s="1029" t="n"/>
      <c r="E157" s="1027" t="n"/>
      <c r="F157" s="1029" t="n"/>
      <c r="G157" s="1027" t="n"/>
      <c r="H157" s="1029" t="n"/>
      <c r="I157" s="1027" t="n"/>
      <c r="J157" s="1175" t="n"/>
      <c r="K157" s="1024" t="n"/>
      <c r="L157" s="1115" t="n"/>
      <c r="M157" s="1024" t="n"/>
      <c r="N157" s="1116" t="n"/>
      <c r="O157" s="830" t="n"/>
      <c r="P157" s="841" t="n"/>
      <c r="Q157" s="134" t="inlineStr">
        <is>
          <t>재해/상해</t>
        </is>
      </c>
      <c r="R157" s="963">
        <f>R106+C157+E157+G157+I157+K157+M157</f>
        <v/>
      </c>
    </row>
    <row r="158" ht="15" customHeight="1" s="797">
      <c r="A158" s="1147" t="inlineStr">
        <is>
          <t>운전자</t>
        </is>
      </c>
      <c r="B158" s="144" t="inlineStr">
        <is>
          <t>벌금</t>
        </is>
      </c>
      <c r="C158" s="1022" t="n"/>
      <c r="D158" s="1014" t="n"/>
      <c r="E158" s="1010" t="n"/>
      <c r="F158" s="1014" t="n"/>
      <c r="G158" s="1010" t="n"/>
      <c r="H158" s="1014" t="n"/>
      <c r="I158" s="1010" t="n"/>
      <c r="J158" s="1176" t="n"/>
      <c r="K158" s="1010" t="n"/>
      <c r="L158" s="1189" t="n"/>
      <c r="M158" s="1010" t="n"/>
      <c r="N158" s="1110" t="n"/>
      <c r="O158" s="830" t="n"/>
      <c r="P158" s="1190" t="inlineStr">
        <is>
          <t>운전자</t>
        </is>
      </c>
      <c r="Q158" s="114" t="inlineStr">
        <is>
          <t>벌금</t>
        </is>
      </c>
      <c r="R158" s="957">
        <f>R107+C158+E158+G158+I158+K158+M158</f>
        <v/>
      </c>
    </row>
    <row r="159" ht="15" customHeight="1" s="797">
      <c r="A159" s="832" t="n"/>
      <c r="B159" s="144" t="inlineStr">
        <is>
          <t>변호사선임</t>
        </is>
      </c>
      <c r="C159" s="1022" t="n"/>
      <c r="D159" s="1021" t="n"/>
      <c r="E159" s="1017" t="n"/>
      <c r="F159" s="1021" t="n"/>
      <c r="G159" s="1017" t="n"/>
      <c r="H159" s="1021" t="n"/>
      <c r="I159" s="1017" t="n"/>
      <c r="J159" s="1177" t="n"/>
      <c r="K159" s="1017" t="n"/>
      <c r="L159" s="1191" t="n"/>
      <c r="M159" s="1017" t="n"/>
      <c r="N159" s="1113" t="n"/>
      <c r="O159" s="830" t="n"/>
      <c r="P159" s="832" t="n"/>
      <c r="Q159" s="114" t="inlineStr">
        <is>
          <t>변호사선임</t>
        </is>
      </c>
      <c r="R159" s="959">
        <f>R108+C159+E159+G159+I159+K159+M159</f>
        <v/>
      </c>
    </row>
    <row r="160" ht="15" customHeight="1" s="797" thickBot="1">
      <c r="A160" s="841" t="n"/>
      <c r="B160" s="164" t="inlineStr">
        <is>
          <t>교통사고처리지원</t>
        </is>
      </c>
      <c r="C160" s="1022" t="n"/>
      <c r="D160" s="1021" t="n"/>
      <c r="E160" s="1038" t="n"/>
      <c r="F160" s="1039" t="n"/>
      <c r="G160" s="1038" t="n"/>
      <c r="H160" s="1039" t="n"/>
      <c r="I160" s="1038" t="n"/>
      <c r="J160" s="1178" t="n"/>
      <c r="K160" s="1038" t="n"/>
      <c r="L160" s="1179" t="n"/>
      <c r="M160" s="1038" t="n"/>
      <c r="N160" s="1119" t="n"/>
      <c r="O160" s="830" t="n"/>
      <c r="P160" s="841" t="n"/>
      <c r="Q160" s="135" t="inlineStr">
        <is>
          <t>교통사고처리지원</t>
        </is>
      </c>
      <c r="R160" s="963">
        <f>R109+C160+E160+G160+I160+K160+M160</f>
        <v/>
      </c>
    </row>
    <row r="161" ht="15" customHeight="1" s="797" thickBot="1">
      <c r="A161" s="735" t="inlineStr">
        <is>
          <t>일상생활배상책임</t>
        </is>
      </c>
      <c r="B161" s="919" t="n"/>
      <c r="C161" s="1089" t="n"/>
      <c r="D161" s="1127" t="n"/>
      <c r="E161" s="1089" t="n"/>
      <c r="F161" s="1127" t="n"/>
      <c r="G161" s="1089" t="n"/>
      <c r="H161" s="1127" t="n"/>
      <c r="I161" s="1089" t="n"/>
      <c r="J161" s="1192" t="n"/>
      <c r="K161" s="1089" t="n"/>
      <c r="L161" s="1193" t="n"/>
      <c r="M161" s="1089" t="n"/>
      <c r="N161" s="1194" t="n"/>
      <c r="O161" s="830" t="n"/>
      <c r="P161" s="777" t="inlineStr">
        <is>
          <t>일상생활배상책임</t>
        </is>
      </c>
      <c r="Q161" s="919" t="n"/>
      <c r="R161" s="1148">
        <f>R110+C161+E161+G161+I161+K161+M161</f>
        <v/>
      </c>
    </row>
    <row r="162" ht="15" customHeight="1" s="797">
      <c r="A162" s="1149" t="inlineStr">
        <is>
          <t>기타</t>
        </is>
      </c>
      <c r="B162" s="937" t="n"/>
      <c r="C162" s="1195" t="n"/>
      <c r="D162" s="1163" t="n"/>
      <c r="E162" s="1196" t="n"/>
      <c r="F162" s="1197" t="n"/>
      <c r="G162" s="1098" t="n"/>
      <c r="H162" s="1021" t="n"/>
      <c r="I162" s="1198" t="n"/>
      <c r="J162" s="1176" t="n"/>
      <c r="K162" s="1150" t="n"/>
      <c r="L162" s="1199" t="n"/>
      <c r="M162" s="1198" t="n"/>
      <c r="N162" s="1016" t="n"/>
      <c r="O162" s="830" t="n"/>
      <c r="P162" s="1151" t="inlineStr">
        <is>
          <t>기타</t>
        </is>
      </c>
      <c r="Q162" s="980" t="n"/>
      <c r="R162" s="937" t="n"/>
    </row>
    <row r="163" ht="15" customHeight="1" s="797">
      <c r="A163" s="804" t="n"/>
      <c r="B163" s="805" t="n"/>
      <c r="C163" s="1196" t="n"/>
      <c r="D163" s="1172" t="n"/>
      <c r="E163" s="1152" t="n"/>
      <c r="F163" s="1197" t="n"/>
      <c r="G163" s="1200" t="n"/>
      <c r="H163" s="1197" t="n"/>
      <c r="I163" s="1200" t="n"/>
      <c r="J163" s="1177" t="n"/>
      <c r="K163" s="1101" t="n"/>
      <c r="L163" s="1201" t="n"/>
      <c r="M163" s="1200" t="n"/>
      <c r="N163" s="1023" t="n"/>
      <c r="O163" s="830" t="n"/>
      <c r="P163" s="804" t="n"/>
      <c r="Q163" s="804" t="n"/>
      <c r="R163" s="805" t="n"/>
    </row>
    <row r="164" ht="15" customHeight="1" s="797">
      <c r="A164" s="804" t="n"/>
      <c r="B164" s="805" t="n"/>
      <c r="C164" s="1196" t="n"/>
      <c r="D164" s="1172" t="n"/>
      <c r="E164" s="1200" t="n"/>
      <c r="F164" s="1172" t="n"/>
      <c r="G164" s="1200" t="n"/>
      <c r="H164" s="1197" t="n"/>
      <c r="I164" s="1200" t="n"/>
      <c r="J164" s="1177" t="n"/>
      <c r="K164" s="1200" t="n"/>
      <c r="L164" s="1191" t="n"/>
      <c r="M164" s="1200" t="n"/>
      <c r="N164" s="1202" t="n"/>
      <c r="O164" s="830" t="n"/>
      <c r="P164" s="804" t="n"/>
      <c r="Q164" s="804" t="n"/>
      <c r="R164" s="805" t="n"/>
    </row>
    <row r="165" ht="15" customHeight="1" s="797" thickBot="1">
      <c r="A165" s="942" t="n"/>
      <c r="B165" s="946" t="n"/>
      <c r="C165" s="1203" t="n"/>
      <c r="D165" s="1174" t="n"/>
      <c r="E165" s="1204" t="n"/>
      <c r="F165" s="1174" t="n"/>
      <c r="G165" s="1204" t="n"/>
      <c r="H165" s="1166" t="n"/>
      <c r="I165" s="1204" t="n"/>
      <c r="J165" s="1174" t="n"/>
      <c r="K165" s="1204" t="n"/>
      <c r="L165" s="1205" t="n"/>
      <c r="M165" s="1204" t="n"/>
      <c r="N165" s="1206" t="n"/>
      <c r="O165" s="830" t="n"/>
      <c r="P165" s="942" t="n"/>
      <c r="Q165" s="942" t="n"/>
      <c r="R165" s="946" t="n"/>
    </row>
    <row r="166" ht="15" customHeight="1" s="797">
      <c r="A166" s="947">
        <f>A115</f>
        <v/>
      </c>
      <c r="B166" s="796" t="n"/>
      <c r="C166" s="994" t="n"/>
      <c r="D166" s="796" t="n"/>
      <c r="E166" s="994" t="n"/>
      <c r="F166" s="796" t="n"/>
      <c r="G166" s="994" t="n"/>
      <c r="H166" s="796" t="n"/>
      <c r="I166" s="994" t="n"/>
      <c r="J166" s="796" t="n"/>
      <c r="K166" s="994" t="n"/>
      <c r="L166" s="796" t="n"/>
      <c r="M166" s="994" t="n"/>
      <c r="N166" s="796" t="n"/>
      <c r="O166" s="138" t="n"/>
      <c r="P166" s="795" t="inlineStr">
        <is>
          <t>평가 기준일</t>
        </is>
      </c>
      <c r="Q166" s="796" t="n"/>
      <c r="R166" s="137">
        <f>R115</f>
        <v/>
      </c>
    </row>
    <row r="167" ht="15" customHeight="1" s="797">
      <c r="A167" s="647" t="inlineStr">
        <is>
          <t>상품명</t>
        </is>
      </c>
      <c r="B167" s="798" t="n"/>
      <c r="C167" s="754" t="n"/>
      <c r="D167" s="798" t="n"/>
      <c r="E167" s="754" t="n"/>
      <c r="F167" s="798" t="n"/>
      <c r="G167" s="754" t="n"/>
      <c r="H167" s="798" t="n"/>
      <c r="I167" s="754" t="n"/>
      <c r="J167" s="798" t="n"/>
      <c r="K167" s="754" t="n"/>
      <c r="L167" s="798" t="n"/>
      <c r="M167" s="754" t="n"/>
      <c r="N167" s="798" t="n"/>
      <c r="O167" s="25" t="n"/>
      <c r="P167" s="948" t="n"/>
      <c r="Q167" s="801" t="n"/>
      <c r="R167" s="802" t="n"/>
    </row>
    <row r="168" ht="15" customHeight="1" s="797">
      <c r="A168" s="647" t="inlineStr">
        <is>
          <t>계약자 / 피보험자</t>
        </is>
      </c>
      <c r="B168" s="798" t="n"/>
      <c r="C168" s="756" t="n"/>
      <c r="D168" s="798" t="n"/>
      <c r="E168" s="756" t="n"/>
      <c r="F168" s="798" t="n"/>
      <c r="G168" s="756" t="n"/>
      <c r="H168" s="798" t="n"/>
      <c r="I168" s="756" t="n"/>
      <c r="J168" s="798" t="n"/>
      <c r="K168" s="756" t="n"/>
      <c r="L168" s="798" t="n"/>
      <c r="M168" s="756" t="n"/>
      <c r="N168" s="798" t="n"/>
      <c r="O168" s="25" t="n"/>
      <c r="P168" s="804" t="n"/>
      <c r="R168" s="805" t="n"/>
    </row>
    <row r="169" ht="15" customHeight="1" s="797">
      <c r="A169" s="647" t="inlineStr">
        <is>
          <t>계약일자</t>
        </is>
      </c>
      <c r="B169" s="798" t="n"/>
      <c r="C169" s="756" t="n"/>
      <c r="D169" s="798" t="n"/>
      <c r="E169" s="756" t="n"/>
      <c r="F169" s="798" t="n"/>
      <c r="G169" s="756" t="n"/>
      <c r="H169" s="798" t="n"/>
      <c r="I169" s="756" t="n"/>
      <c r="J169" s="798" t="n"/>
      <c r="K169" s="756" t="n"/>
      <c r="L169" s="798" t="n"/>
      <c r="M169" s="756" t="n"/>
      <c r="N169" s="798" t="n"/>
      <c r="O169" s="25" t="n"/>
      <c r="P169" s="804" t="n"/>
      <c r="R169" s="805" t="n"/>
    </row>
    <row r="170" ht="15" customHeight="1" s="797">
      <c r="A170" s="647" t="inlineStr">
        <is>
          <t>납입기간 / 기납입기간</t>
        </is>
      </c>
      <c r="B170" s="798" t="n"/>
      <c r="C170" s="997" t="n"/>
      <c r="D170" s="1000">
        <f>IF(DATEDIF(C169,$R$1,"m")&lt;C170*12,DATEDIF(C169,$R$1,"m"),C170*12)</f>
        <v/>
      </c>
      <c r="E170" s="997" t="n"/>
      <c r="F170" s="1000">
        <f>IF(DATEDIF(E169,$R$1,"m")&lt;E170*12,DATEDIF(E169,$R$1,"m"),E170*12)</f>
        <v/>
      </c>
      <c r="G170" s="997" t="n"/>
      <c r="H170" s="1000">
        <f>IF(DATEDIF(G169,$R$1,"m")&lt;G170*12,DATEDIF(G169,$R$1,"m"),G170*12)</f>
        <v/>
      </c>
      <c r="I170" s="997" t="n"/>
      <c r="J170" s="1000">
        <f>IF(DATEDIF(I169,$R$1,"m")&lt;I170*12,DATEDIF(I169,$R$1,"m"),I170*12)</f>
        <v/>
      </c>
      <c r="K170" s="997" t="n"/>
      <c r="L170" s="1000">
        <f>IF(DATEDIF(K169,$R$1,"m")&lt;K170*12,DATEDIF(K169,$R$1,"m"),K170*12)</f>
        <v/>
      </c>
      <c r="M170" s="997" t="n"/>
      <c r="N170" s="1106">
        <f>IF(DATEDIF(M169,$R$1,"m")&lt;M170*12,DATEDIF(M169,$R$1,"m"),M170*12)</f>
        <v/>
      </c>
      <c r="O170" s="25" t="n"/>
      <c r="P170" s="804" t="n"/>
      <c r="R170" s="805" t="n"/>
    </row>
    <row r="171" ht="15" customHeight="1" s="797">
      <c r="A171" s="647" t="inlineStr">
        <is>
          <t>보장기간</t>
        </is>
      </c>
      <c r="B171" s="798" t="n"/>
      <c r="C171" s="696" t="n"/>
      <c r="D171" s="798" t="n"/>
      <c r="E171" s="696" t="n"/>
      <c r="F171" s="798" t="n"/>
      <c r="G171" s="696" t="n"/>
      <c r="H171" s="798" t="n"/>
      <c r="I171" s="696" t="n"/>
      <c r="J171" s="798" t="n"/>
      <c r="K171" s="696" t="n"/>
      <c r="L171" s="798" t="n"/>
      <c r="M171" s="696" t="n"/>
      <c r="N171" s="798" t="n"/>
      <c r="O171" s="25" t="n"/>
      <c r="P171" s="808" t="n"/>
      <c r="Q171" s="809" t="n"/>
      <c r="R171" s="810" t="n"/>
    </row>
    <row r="172" ht="15" customHeight="1" s="797">
      <c r="A172" s="632" t="inlineStr">
        <is>
          <t>비고 / 갱신종류</t>
        </is>
      </c>
      <c r="B172" s="811" t="n"/>
      <c r="C172" s="1156" t="n"/>
      <c r="D172" s="798" t="n"/>
      <c r="E172" s="1156" t="n"/>
      <c r="F172" s="798" t="n"/>
      <c r="G172" s="1156" t="n"/>
      <c r="H172" s="798" t="n"/>
      <c r="I172" s="1156" t="n"/>
      <c r="J172" s="798" t="n"/>
      <c r="K172" s="1156" t="n"/>
      <c r="L172" s="798" t="n"/>
      <c r="M172" s="1157" t="n"/>
      <c r="N172" s="799" t="n"/>
      <c r="O172" s="25" t="n"/>
      <c r="P172" s="950" t="n"/>
      <c r="Q172" s="798" t="n"/>
      <c r="R172" s="27" t="inlineStr">
        <is>
          <t>총 보장 (원)</t>
        </is>
      </c>
    </row>
    <row r="173" ht="15" customHeight="1" s="797">
      <c r="A173" s="639" t="inlineStr">
        <is>
          <t>월 보험료</t>
        </is>
      </c>
      <c r="B173" s="798" t="n"/>
      <c r="C173" s="1004" t="n"/>
      <c r="D173" s="798" t="n"/>
      <c r="E173" s="1004" t="n"/>
      <c r="F173" s="798" t="n"/>
      <c r="G173" s="1004" t="n"/>
      <c r="H173" s="798" t="n"/>
      <c r="I173" s="1004" t="n"/>
      <c r="J173" s="798" t="n"/>
      <c r="K173" s="1004" t="n"/>
      <c r="L173" s="798" t="n"/>
      <c r="M173" s="1004" t="n"/>
      <c r="N173" s="798" t="n"/>
      <c r="O173" s="814" t="n"/>
      <c r="P173" s="982" t="inlineStr">
        <is>
          <t>합산 월 보험료</t>
        </is>
      </c>
      <c r="Q173" s="798" t="n"/>
      <c r="R173" s="951">
        <f>R122+C173+E173+G173+I173+K173+M173</f>
        <v/>
      </c>
    </row>
    <row r="174" ht="15" customHeight="1" s="797">
      <c r="A174" s="647" t="inlineStr">
        <is>
          <t>보험료 총액</t>
        </is>
      </c>
      <c r="B174" s="798" t="n"/>
      <c r="C174" s="1007">
        <f>C173*C170*12</f>
        <v/>
      </c>
      <c r="D174" s="798" t="n"/>
      <c r="E174" s="1007">
        <f>E173*E170*12</f>
        <v/>
      </c>
      <c r="F174" s="798" t="n"/>
      <c r="G174" s="1007">
        <f>G173*G170*12</f>
        <v/>
      </c>
      <c r="H174" s="798" t="n"/>
      <c r="I174" s="1007">
        <f>I173*I170*12</f>
        <v/>
      </c>
      <c r="J174" s="798" t="n"/>
      <c r="K174" s="1007">
        <f>K173*K170*12</f>
        <v/>
      </c>
      <c r="L174" s="798" t="n"/>
      <c r="M174" s="1009">
        <f>M173*M170*12</f>
        <v/>
      </c>
      <c r="N174" s="799" t="n"/>
      <c r="O174" s="814" t="n"/>
      <c r="P174" s="982" t="inlineStr">
        <is>
          <t>합산 보험료 총액</t>
        </is>
      </c>
      <c r="Q174" s="798" t="n"/>
      <c r="R174" s="952">
        <f>R123+C174+E174+G174+I174+K174+M174</f>
        <v/>
      </c>
    </row>
    <row r="175" ht="15" customHeight="1" s="797">
      <c r="A175" s="647" t="inlineStr">
        <is>
          <t>기 납입금</t>
        </is>
      </c>
      <c r="B175" s="798" t="n"/>
      <c r="C175" s="1007">
        <f>C173*D170</f>
        <v/>
      </c>
      <c r="D175" s="798" t="n"/>
      <c r="E175" s="1007">
        <f>E173*F170</f>
        <v/>
      </c>
      <c r="F175" s="798" t="n"/>
      <c r="G175" s="1007">
        <f>G173*H170</f>
        <v/>
      </c>
      <c r="H175" s="798" t="n"/>
      <c r="I175" s="1007">
        <f>I173*J170</f>
        <v/>
      </c>
      <c r="J175" s="798" t="n"/>
      <c r="K175" s="1007">
        <f>K173*L170</f>
        <v/>
      </c>
      <c r="L175" s="798" t="n"/>
      <c r="M175" s="1009">
        <f>M173*N170</f>
        <v/>
      </c>
      <c r="N175" s="799" t="n"/>
      <c r="O175" s="814" t="n"/>
      <c r="P175" s="982" t="inlineStr">
        <is>
          <t>합산 기 납입금</t>
        </is>
      </c>
      <c r="Q175" s="798" t="n"/>
      <c r="R175" s="952">
        <f>R124+C175+E175+G175+I175+K175+M175</f>
        <v/>
      </c>
    </row>
    <row r="176" ht="15" customHeight="1" s="797" thickBot="1">
      <c r="A176" s="632" t="inlineStr">
        <is>
          <t>미 납입금</t>
        </is>
      </c>
      <c r="B176" s="811" t="n"/>
      <c r="C176" s="1007">
        <f>C174-C175</f>
        <v/>
      </c>
      <c r="D176" s="798" t="n"/>
      <c r="E176" s="1007">
        <f>E174-E175</f>
        <v/>
      </c>
      <c r="F176" s="798" t="n"/>
      <c r="G176" s="1007">
        <f>G174-G175</f>
        <v/>
      </c>
      <c r="H176" s="798" t="n"/>
      <c r="I176" s="1007">
        <f>I174-I175</f>
        <v/>
      </c>
      <c r="J176" s="798" t="n"/>
      <c r="K176" s="1007">
        <f>K174-K175</f>
        <v/>
      </c>
      <c r="L176" s="798" t="n"/>
      <c r="M176" s="1009">
        <f>M174-M175</f>
        <v/>
      </c>
      <c r="N176" s="799" t="n"/>
      <c r="O176" s="814" t="n"/>
      <c r="P176" s="983" t="inlineStr">
        <is>
          <t>합산 미 납입금</t>
        </is>
      </c>
      <c r="Q176" s="954" t="n"/>
      <c r="R176" s="955">
        <f>R125+C176+E176+G176+I176+K176+M176</f>
        <v/>
      </c>
    </row>
    <row r="177" ht="15" customHeight="1" s="797">
      <c r="A177" s="1158" t="inlineStr">
        <is>
          <t>실비
(갱신형)</t>
        </is>
      </c>
      <c r="B177" s="139" t="inlineStr">
        <is>
          <t>상해급여의료비</t>
        </is>
      </c>
      <c r="C177" s="1015" t="n"/>
      <c r="D177" s="1014" t="n"/>
      <c r="E177" s="1010" t="n"/>
      <c r="F177" s="1014" t="n"/>
      <c r="G177" s="1010" t="n"/>
      <c r="H177" s="1014" t="n"/>
      <c r="I177" s="1010" t="n"/>
      <c r="J177" s="1014" t="n"/>
      <c r="K177" s="1010" t="n"/>
      <c r="L177" s="1109" t="n"/>
      <c r="M177" s="1010" t="n"/>
      <c r="N177" s="1110" t="n"/>
      <c r="O177" s="830" t="n"/>
      <c r="P177" s="1159" t="inlineStr">
        <is>
          <t>실비
(갱신형)</t>
        </is>
      </c>
      <c r="Q177" s="139" t="inlineStr">
        <is>
          <t>질병입원의료비</t>
        </is>
      </c>
      <c r="R177" s="957">
        <f>R126+C177+E177+G177+I177+K177+M177</f>
        <v/>
      </c>
    </row>
    <row r="178" ht="15" customHeight="1" s="797">
      <c r="A178" s="832" t="n"/>
      <c r="B178" s="140" t="inlineStr">
        <is>
          <t>질병급여의료비</t>
        </is>
      </c>
      <c r="C178" s="1022" t="n"/>
      <c r="D178" s="1021" t="n"/>
      <c r="E178" s="1017" t="n"/>
      <c r="F178" s="1021" t="n"/>
      <c r="G178" s="1017" t="n"/>
      <c r="H178" s="1021" t="n"/>
      <c r="I178" s="1017" t="n"/>
      <c r="J178" s="1021" t="n"/>
      <c r="K178" s="1017" t="n"/>
      <c r="L178" s="1112" t="n"/>
      <c r="M178" s="1017" t="n"/>
      <c r="N178" s="1113" t="n"/>
      <c r="O178" s="830" t="n"/>
      <c r="P178" s="832" t="n"/>
      <c r="Q178" s="140" t="inlineStr">
        <is>
          <t>질병통원의료비</t>
        </is>
      </c>
      <c r="R178" s="959">
        <f>R127+C178+E178+G178+I178+K178+M178</f>
        <v/>
      </c>
    </row>
    <row r="179" ht="15" customHeight="1" s="797">
      <c r="A179" s="832" t="n"/>
      <c r="B179" s="140" t="inlineStr">
        <is>
          <t>상해비급여의료비</t>
        </is>
      </c>
      <c r="C179" s="1022" t="n"/>
      <c r="D179" s="1021" t="n"/>
      <c r="E179" s="1022" t="n"/>
      <c r="F179" s="1021" t="n"/>
      <c r="G179" s="1017" t="n"/>
      <c r="H179" s="1021" t="n"/>
      <c r="I179" s="1017" t="n"/>
      <c r="J179" s="1021" t="n"/>
      <c r="K179" s="1017" t="n"/>
      <c r="L179" s="1112" t="n"/>
      <c r="M179" s="1017" t="n"/>
      <c r="N179" s="1113" t="n"/>
      <c r="O179" s="830" t="n"/>
      <c r="P179" s="832" t="n"/>
      <c r="Q179" s="140" t="inlineStr">
        <is>
          <t>상해입원의료비</t>
        </is>
      </c>
      <c r="R179" s="959">
        <f>R128+C179+E179+G179+I179+K179+M179</f>
        <v/>
      </c>
    </row>
    <row r="180" ht="15" customHeight="1" s="797">
      <c r="A180" s="832" t="n"/>
      <c r="B180" s="140" t="inlineStr">
        <is>
          <t>질병비급여의료비</t>
        </is>
      </c>
      <c r="C180" s="1022" t="n"/>
      <c r="D180" s="1021" t="n"/>
      <c r="E180" s="1022" t="n"/>
      <c r="F180" s="1021" t="n"/>
      <c r="G180" s="1017" t="n"/>
      <c r="H180" s="1021" t="n"/>
      <c r="I180" s="1017" t="n"/>
      <c r="J180" s="1021" t="n"/>
      <c r="K180" s="1017" t="n"/>
      <c r="L180" s="1112" t="n"/>
      <c r="M180" s="1017" t="n"/>
      <c r="N180" s="1113" t="n"/>
      <c r="O180" s="830" t="n"/>
      <c r="P180" s="832" t="n"/>
      <c r="Q180" s="140" t="inlineStr">
        <is>
          <t>상해통원의료비</t>
        </is>
      </c>
      <c r="R180" s="959">
        <f>R129+C180+E180+G180+I180+K180+M180</f>
        <v/>
      </c>
    </row>
    <row r="181" ht="15" customHeight="1" s="797" thickBot="1">
      <c r="A181" s="841" t="n"/>
      <c r="B181" s="141" t="inlineStr">
        <is>
          <t>3대비급여 의료비</t>
        </is>
      </c>
      <c r="C181" s="1027" t="n"/>
      <c r="D181" s="1029" t="n"/>
      <c r="E181" s="1027" t="n"/>
      <c r="F181" s="1029" t="n"/>
      <c r="G181" s="1024" t="n"/>
      <c r="H181" s="1029" t="n"/>
      <c r="I181" s="1024" t="n"/>
      <c r="J181" s="1029" t="n"/>
      <c r="K181" s="1024" t="n"/>
      <c r="L181" s="1115" t="n"/>
      <c r="M181" s="1024" t="n"/>
      <c r="N181" s="1116" t="n"/>
      <c r="O181" s="830" t="n"/>
      <c r="P181" s="841" t="n"/>
      <c r="Q181" s="141" t="inlineStr">
        <is>
          <t>3대비급여 의료비</t>
        </is>
      </c>
      <c r="R181" s="963">
        <f>R130+C181+E181+G181+I181+K181+M181</f>
        <v/>
      </c>
    </row>
    <row r="182" ht="15" customHeight="1" s="797">
      <c r="A182" s="626" t="inlineStr">
        <is>
          <t>암</t>
        </is>
      </c>
      <c r="B182" s="142" t="inlineStr">
        <is>
          <t>일반암</t>
        </is>
      </c>
      <c r="C182" s="1010" t="n"/>
      <c r="D182" s="1014" t="n"/>
      <c r="E182" s="1010" t="n"/>
      <c r="F182" s="1014" t="n"/>
      <c r="G182" s="1010" t="n"/>
      <c r="H182" s="1160" t="n"/>
      <c r="I182" s="1010" t="n"/>
      <c r="J182" s="1014" t="n"/>
      <c r="K182" s="1010" t="n"/>
      <c r="L182" s="1109" t="n"/>
      <c r="M182" s="1010" t="n"/>
      <c r="N182" s="1110" t="n"/>
      <c r="O182" s="830" t="n"/>
      <c r="P182" s="772">
        <f>A182</f>
        <v/>
      </c>
      <c r="Q182" s="112" t="inlineStr">
        <is>
          <t>일반암</t>
        </is>
      </c>
      <c r="R182" s="957">
        <f>R131+C182+E182+G182+I182+K182+M182</f>
        <v/>
      </c>
    </row>
    <row r="183" ht="15" customHeight="1" s="797">
      <c r="A183" s="832" t="n"/>
      <c r="B183" s="143" t="inlineStr">
        <is>
          <t>소액암</t>
        </is>
      </c>
      <c r="C183" s="1079" t="n"/>
      <c r="D183" s="1039" t="n"/>
      <c r="E183" s="1017" t="n"/>
      <c r="F183" s="1039" t="n"/>
      <c r="G183" s="1017" t="n"/>
      <c r="H183" s="1161" t="n"/>
      <c r="I183" s="1017" t="n"/>
      <c r="J183" s="1039" t="n"/>
      <c r="K183" s="1038" t="n"/>
      <c r="L183" s="1118" t="n"/>
      <c r="M183" s="1038" t="n"/>
      <c r="N183" s="1119" t="n"/>
      <c r="O183" s="830" t="n"/>
      <c r="P183" s="832" t="n"/>
      <c r="Q183" s="113" t="inlineStr">
        <is>
          <t>소액암</t>
        </is>
      </c>
      <c r="R183" s="959">
        <f>R132+C183+E183+G183+I183+K183+M183</f>
        <v/>
      </c>
    </row>
    <row r="184" ht="15" customHeight="1" s="797">
      <c r="A184" s="832" t="n"/>
      <c r="B184" s="143" t="inlineStr">
        <is>
          <t>암수술비</t>
        </is>
      </c>
      <c r="C184" s="1079" t="n"/>
      <c r="D184" s="1039" t="n"/>
      <c r="E184" s="1038" t="n"/>
      <c r="F184" s="1039" t="n"/>
      <c r="G184" s="1017" t="n"/>
      <c r="H184" s="1162" t="n"/>
      <c r="I184" s="1038" t="n"/>
      <c r="J184" s="1039" t="n"/>
      <c r="K184" s="1038" t="n"/>
      <c r="L184" s="1118" t="n"/>
      <c r="M184" s="1038" t="n"/>
      <c r="N184" s="1119" t="n"/>
      <c r="O184" s="830" t="n"/>
      <c r="P184" s="832" t="n"/>
      <c r="Q184" s="113" t="inlineStr">
        <is>
          <t>암수술비</t>
        </is>
      </c>
      <c r="R184" s="959">
        <f>R133+C184+E184+G184+I184+K184+M184</f>
        <v/>
      </c>
    </row>
    <row r="185" ht="15" customHeight="1" s="797">
      <c r="A185" s="832" t="n"/>
      <c r="B185" s="143" t="inlineStr">
        <is>
          <t>항암치료비</t>
        </is>
      </c>
      <c r="C185" s="1079" t="n"/>
      <c r="D185" s="1039" t="n"/>
      <c r="E185" s="1017" t="n"/>
      <c r="F185" s="1039" t="n"/>
      <c r="G185" s="1038" t="n"/>
      <c r="H185" s="1162" t="n"/>
      <c r="I185" s="1079" t="n"/>
      <c r="J185" s="1039" t="n"/>
      <c r="K185" s="1038" t="n"/>
      <c r="L185" s="1118" t="n"/>
      <c r="M185" s="1038" t="n"/>
      <c r="N185" s="1119" t="n"/>
      <c r="O185" s="830" t="n"/>
      <c r="P185" s="832" t="n"/>
      <c r="Q185" s="113" t="inlineStr">
        <is>
          <t>항암치료비</t>
        </is>
      </c>
      <c r="R185" s="959">
        <f>R134+C185+E185+G185+I185+K185+M185</f>
        <v/>
      </c>
    </row>
    <row r="186" ht="15" customHeight="1" s="797" thickBot="1">
      <c r="A186" s="832" t="n"/>
      <c r="B186" s="144" t="inlineStr">
        <is>
          <t>암입원비</t>
        </is>
      </c>
      <c r="C186" s="1027" t="n"/>
      <c r="D186" s="1029" t="n"/>
      <c r="E186" s="1024" t="n"/>
      <c r="F186" s="1039" t="n"/>
      <c r="G186" s="1024" t="n"/>
      <c r="H186" s="1162" t="n"/>
      <c r="I186" s="1024" t="n"/>
      <c r="J186" s="1039" t="n"/>
      <c r="K186" s="1038" t="n"/>
      <c r="L186" s="1118" t="n"/>
      <c r="M186" s="1038" t="n"/>
      <c r="N186" s="1119" t="n"/>
      <c r="O186" s="830" t="n"/>
      <c r="P186" s="832" t="n"/>
      <c r="Q186" s="114" t="inlineStr">
        <is>
          <t>암입원비</t>
        </is>
      </c>
      <c r="R186" s="963">
        <f>R135+C186+E186+G186+I186+K186+M186</f>
        <v/>
      </c>
    </row>
    <row r="187" ht="15" customHeight="1" s="797">
      <c r="A187" s="721" t="inlineStr">
        <is>
          <t>2대
질병</t>
        </is>
      </c>
      <c r="B187" s="145" t="inlineStr">
        <is>
          <t>뇌혈관</t>
        </is>
      </c>
      <c r="C187" s="1017" t="n"/>
      <c r="D187" s="1014" t="n"/>
      <c r="E187" s="1017" t="n"/>
      <c r="F187" s="1014" t="n"/>
      <c r="G187" s="1017" t="n"/>
      <c r="H187" s="1163" t="n"/>
      <c r="I187" s="1010" t="n"/>
      <c r="J187" s="1014" t="n"/>
      <c r="K187" s="1010" t="n"/>
      <c r="L187" s="1109" t="n"/>
      <c r="M187" s="1010" t="n"/>
      <c r="N187" s="1110" t="n"/>
      <c r="O187" s="830" t="n"/>
      <c r="P187" s="760">
        <f>A187</f>
        <v/>
      </c>
      <c r="Q187" s="115" t="inlineStr">
        <is>
          <t>뇌혈관</t>
        </is>
      </c>
      <c r="R187" s="957">
        <f>R136+C187+E187+G187+I187+K187+M187</f>
        <v/>
      </c>
    </row>
    <row r="188" ht="15" customHeight="1" s="797">
      <c r="A188" s="832" t="n"/>
      <c r="B188" s="146" t="inlineStr">
        <is>
          <t>뇌졸증</t>
        </is>
      </c>
      <c r="C188" s="1017" t="n"/>
      <c r="D188" s="1039" t="n"/>
      <c r="E188" s="1038" t="n"/>
      <c r="F188" s="1161" t="n"/>
      <c r="G188" s="1017" t="n"/>
      <c r="H188" s="1162" t="n"/>
      <c r="I188" s="1038" t="n"/>
      <c r="J188" s="1161" t="n"/>
      <c r="K188" s="1017" t="n"/>
      <c r="L188" s="1118" t="n"/>
      <c r="M188" s="1038" t="n"/>
      <c r="N188" s="1119" t="n"/>
      <c r="O188" s="830" t="n"/>
      <c r="P188" s="832" t="n"/>
      <c r="Q188" s="116" t="inlineStr">
        <is>
          <t>뇌졸증</t>
        </is>
      </c>
      <c r="R188" s="959">
        <f>R137+C188+E188+G188+I188+K188+M188</f>
        <v/>
      </c>
    </row>
    <row r="189" ht="15" customHeight="1" s="797" thickBot="1">
      <c r="A189" s="832" t="n"/>
      <c r="B189" s="147" t="inlineStr">
        <is>
          <t>뇌출혈</t>
        </is>
      </c>
      <c r="C189" s="1044" t="n"/>
      <c r="D189" s="1164" t="n"/>
      <c r="E189" s="1044" t="n"/>
      <c r="F189" s="1122" t="n"/>
      <c r="G189" s="1044" t="n"/>
      <c r="H189" s="1165" t="n"/>
      <c r="I189" s="1044" t="n"/>
      <c r="J189" s="1164" t="n"/>
      <c r="K189" s="1044" t="n"/>
      <c r="L189" s="1123" t="n"/>
      <c r="M189" s="1044" t="n"/>
      <c r="N189" s="1124" t="n"/>
      <c r="O189" s="830" t="n"/>
      <c r="P189" s="832" t="n"/>
      <c r="Q189" s="117" t="inlineStr">
        <is>
          <t>뇌출혈</t>
        </is>
      </c>
      <c r="R189" s="963">
        <f>R138+C189+E189+G189+I189+K189+M189</f>
        <v/>
      </c>
    </row>
    <row r="190" ht="15" customHeight="1" s="797">
      <c r="A190" s="832" t="n"/>
      <c r="B190" s="148" t="inlineStr">
        <is>
          <t>심장질환</t>
        </is>
      </c>
      <c r="C190" s="1010" t="n"/>
      <c r="D190" s="1014" t="n"/>
      <c r="E190" s="1010" t="n"/>
      <c r="F190" s="1014" t="n"/>
      <c r="G190" s="1010" t="n"/>
      <c r="H190" s="1163" t="n"/>
      <c r="I190" s="1010" t="n"/>
      <c r="J190" s="1014" t="n"/>
      <c r="K190" s="1010" t="n"/>
      <c r="L190" s="1109" t="n"/>
      <c r="M190" s="1010" t="n"/>
      <c r="N190" s="1110" t="n"/>
      <c r="O190" s="830" t="n"/>
      <c r="P190" s="832" t="n"/>
      <c r="Q190" s="118" t="inlineStr">
        <is>
          <t>심장질환</t>
        </is>
      </c>
      <c r="R190" s="957">
        <f>R139+C190+E190+G190+I190+K190+M190</f>
        <v/>
      </c>
    </row>
    <row r="191" ht="15" customHeight="1" s="797">
      <c r="A191" s="832" t="n"/>
      <c r="B191" s="149" t="inlineStr">
        <is>
          <t>허혈성심장</t>
        </is>
      </c>
      <c r="C191" s="1017" t="n"/>
      <c r="D191" s="1039" t="n"/>
      <c r="E191" s="1017" t="n"/>
      <c r="F191" s="1161" t="n"/>
      <c r="G191" s="1017" t="n"/>
      <c r="H191" s="1162" t="n"/>
      <c r="I191" s="1017" t="n"/>
      <c r="J191" s="1021" t="n"/>
      <c r="K191" s="1017" t="n"/>
      <c r="L191" s="1118" t="n"/>
      <c r="M191" s="1038" t="n"/>
      <c r="N191" s="1119" t="n"/>
      <c r="O191" s="830" t="n"/>
      <c r="P191" s="832" t="n"/>
      <c r="Q191" s="119" t="inlineStr">
        <is>
          <t>허혈성심장</t>
        </is>
      </c>
      <c r="R191" s="959">
        <f>R140+C191+E191+G191+I191+K191+M191</f>
        <v/>
      </c>
    </row>
    <row r="192" ht="15" customHeight="1" s="797" thickBot="1">
      <c r="A192" s="832" t="n"/>
      <c r="B192" s="165" t="inlineStr">
        <is>
          <t>급성심근경색</t>
        </is>
      </c>
      <c r="C192" s="1024" t="n"/>
      <c r="D192" s="1166" t="n"/>
      <c r="E192" s="1044" t="n"/>
      <c r="F192" s="1122" t="n"/>
      <c r="G192" s="1044" t="n"/>
      <c r="H192" s="1165" t="n"/>
      <c r="I192" s="1044" t="n"/>
      <c r="J192" s="1164" t="n"/>
      <c r="K192" s="1043" t="n"/>
      <c r="L192" s="1123" t="n"/>
      <c r="M192" s="1043" t="n"/>
      <c r="N192" s="1124" t="n"/>
      <c r="O192" s="830" t="n"/>
      <c r="P192" s="832" t="n"/>
      <c r="Q192" s="120" t="inlineStr">
        <is>
          <t>급성심근경색</t>
        </is>
      </c>
      <c r="R192" s="963">
        <f>R141+C192+E192+G192+I192+K192+M192</f>
        <v/>
      </c>
    </row>
    <row r="193" ht="15" customHeight="1" s="797" thickBot="1">
      <c r="A193" s="832" t="n"/>
      <c r="B193" s="166" t="inlineStr">
        <is>
          <t>뇌,심장 수술비</t>
        </is>
      </c>
      <c r="C193" s="1094" t="n"/>
      <c r="D193" s="1127" t="n"/>
      <c r="E193" s="1089" t="n"/>
      <c r="F193" s="1167" t="n"/>
      <c r="G193" s="1089" t="n"/>
      <c r="H193" s="1168" t="n"/>
      <c r="I193" s="1089" t="n"/>
      <c r="J193" s="1167" t="n"/>
      <c r="K193" s="1089" t="n"/>
      <c r="L193" s="1129" t="n"/>
      <c r="M193" s="1089" t="n"/>
      <c r="N193" s="1130" t="n"/>
      <c r="O193" s="830" t="n"/>
      <c r="P193" s="832" t="n"/>
      <c r="Q193" s="121" t="inlineStr">
        <is>
          <t>뇌,심장 수술비</t>
        </is>
      </c>
      <c r="R193" s="1131">
        <f>R142+C193+E193+G193+I193+K193+M193</f>
        <v/>
      </c>
    </row>
    <row r="194" ht="15" customHeight="1" s="797">
      <c r="A194" s="1132" t="inlineStr">
        <is>
          <t>후유장해</t>
        </is>
      </c>
      <c r="B194" s="152" t="inlineStr">
        <is>
          <t>질병 80% 이상</t>
        </is>
      </c>
      <c r="C194" s="1015" t="n"/>
      <c r="D194" s="1014" t="n"/>
      <c r="E194" s="1010" t="n"/>
      <c r="F194" s="1160" t="n"/>
      <c r="G194" s="1010" t="n"/>
      <c r="H194" s="1014" t="n"/>
      <c r="I194" s="1010" t="n"/>
      <c r="J194" s="1014" t="n"/>
      <c r="K194" s="1010" t="n"/>
      <c r="L194" s="1109" t="n"/>
      <c r="M194" s="1010" t="n"/>
      <c r="N194" s="1110" t="n"/>
      <c r="O194" s="830" t="n"/>
      <c r="P194" s="1169">
        <f>A194</f>
        <v/>
      </c>
      <c r="Q194" s="122" t="inlineStr">
        <is>
          <t>질병 80% 이상</t>
        </is>
      </c>
      <c r="R194" s="957">
        <f>R143+C194+E194+G194+I194+K194+M194</f>
        <v/>
      </c>
    </row>
    <row r="195" ht="15" customHeight="1" s="797">
      <c r="A195" s="832" t="n"/>
      <c r="B195" s="153" t="inlineStr">
        <is>
          <t>질병 80% 미만</t>
        </is>
      </c>
      <c r="C195" s="1022" t="n"/>
      <c r="D195" s="1021" t="n"/>
      <c r="E195" s="1017" t="n"/>
      <c r="F195" s="1161" t="n"/>
      <c r="G195" s="1017" t="n"/>
      <c r="H195" s="1021" t="n"/>
      <c r="I195" s="1017" t="n"/>
      <c r="J195" s="1021" t="n"/>
      <c r="K195" s="1017" t="n"/>
      <c r="L195" s="1112" t="n"/>
      <c r="M195" s="1017" t="n"/>
      <c r="N195" s="1113" t="n"/>
      <c r="O195" s="830" t="n"/>
      <c r="P195" s="832" t="n"/>
      <c r="Q195" s="123" t="inlineStr">
        <is>
          <t>질병 80% 미만</t>
        </is>
      </c>
      <c r="R195" s="959">
        <f>R144+C195+E195+G195+I195+K195+M195</f>
        <v/>
      </c>
    </row>
    <row r="196" ht="15" customHeight="1" s="797">
      <c r="A196" s="832" t="n"/>
      <c r="B196" s="153" t="inlineStr">
        <is>
          <t>재해/상해 80% 이상</t>
        </is>
      </c>
      <c r="C196" s="1022" t="n"/>
      <c r="D196" s="1021" t="n"/>
      <c r="E196" s="1017" t="n"/>
      <c r="F196" s="218" t="n"/>
      <c r="G196" s="1017" t="n"/>
      <c r="H196" s="1021" t="n"/>
      <c r="I196" s="1017" t="n"/>
      <c r="J196" s="1021" t="n"/>
      <c r="K196" s="1017" t="n"/>
      <c r="L196" s="1112" t="n"/>
      <c r="M196" s="1017" t="n"/>
      <c r="N196" s="1113" t="n"/>
      <c r="O196" s="830" t="n"/>
      <c r="P196" s="832" t="n"/>
      <c r="Q196" s="123" t="inlineStr">
        <is>
          <t>재해/상해 80% 이상</t>
        </is>
      </c>
      <c r="R196" s="959">
        <f>R145+C196+E196+G196+I196+K196+M196</f>
        <v/>
      </c>
    </row>
    <row r="197" ht="15" customHeight="1" s="797" thickBot="1">
      <c r="A197" s="841" t="n"/>
      <c r="B197" s="154" t="inlineStr">
        <is>
          <t>재해/상해 80% 미만</t>
        </is>
      </c>
      <c r="C197" s="1027" t="n"/>
      <c r="D197" s="1029" t="n"/>
      <c r="E197" s="1024" t="n"/>
      <c r="F197" s="1166" t="n"/>
      <c r="G197" s="1017" t="n"/>
      <c r="H197" s="1029" t="n"/>
      <c r="I197" s="1024" t="n"/>
      <c r="J197" s="1029" t="n"/>
      <c r="K197" s="1024" t="n"/>
      <c r="L197" s="1115" t="n"/>
      <c r="M197" s="1024" t="n"/>
      <c r="N197" s="1116" t="n"/>
      <c r="O197" s="830" t="n"/>
      <c r="P197" s="841" t="n"/>
      <c r="Q197" s="124" t="inlineStr">
        <is>
          <t>재해/상해 80% 미만</t>
        </is>
      </c>
      <c r="R197" s="963">
        <f>R146+C197+E197+G197+I197+K197+M197</f>
        <v/>
      </c>
    </row>
    <row r="198" ht="15" customHeight="1" s="797">
      <c r="A198" s="1133" t="inlineStr">
        <is>
          <t>사망</t>
        </is>
      </c>
      <c r="B198" s="155" t="inlineStr">
        <is>
          <t>일반</t>
        </is>
      </c>
      <c r="C198" s="1015" t="n"/>
      <c r="D198" s="1014" t="n"/>
      <c r="E198" s="1038" t="n"/>
      <c r="F198" s="1014" t="n"/>
      <c r="G198" s="1010" t="n"/>
      <c r="H198" s="1014" t="n"/>
      <c r="I198" s="1010" t="n"/>
      <c r="J198" s="1014" t="n"/>
      <c r="K198" s="1010" t="n"/>
      <c r="L198" s="1170" t="n"/>
      <c r="M198" s="1038" t="n"/>
      <c r="N198" s="1119" t="n"/>
      <c r="O198" s="830" t="n"/>
      <c r="P198" s="1171" t="inlineStr">
        <is>
          <t>사망</t>
        </is>
      </c>
      <c r="Q198" s="125" t="inlineStr">
        <is>
          <t>일반</t>
        </is>
      </c>
      <c r="R198" s="957">
        <f>R147+C198+E198+G198+I198+K198+M198</f>
        <v/>
      </c>
    </row>
    <row r="199" ht="15" customHeight="1" s="797">
      <c r="A199" s="832" t="n"/>
      <c r="B199" s="156" t="inlineStr">
        <is>
          <t>질병</t>
        </is>
      </c>
      <c r="C199" s="1022" t="n"/>
      <c r="D199" s="1021" t="n"/>
      <c r="E199" s="1017" t="n"/>
      <c r="F199" s="1021" t="n"/>
      <c r="G199" s="1017" t="n"/>
      <c r="H199" s="1172" t="n"/>
      <c r="I199" s="1017" t="n"/>
      <c r="J199" s="1021" t="n"/>
      <c r="K199" s="1017" t="n"/>
      <c r="L199" s="1173" t="n"/>
      <c r="M199" s="1017" t="n"/>
      <c r="N199" s="1113" t="n"/>
      <c r="O199" s="830" t="n"/>
      <c r="P199" s="832" t="n"/>
      <c r="Q199" s="126" t="inlineStr">
        <is>
          <t>질병</t>
        </is>
      </c>
      <c r="R199" s="959">
        <f>R148+C199+E199+G199+I199+K199+M199</f>
        <v/>
      </c>
    </row>
    <row r="200" ht="15" customHeight="1" s="797" thickBot="1">
      <c r="A200" s="841" t="n"/>
      <c r="B200" s="157" t="inlineStr">
        <is>
          <t>재해/상해</t>
        </is>
      </c>
      <c r="C200" s="1079" t="n"/>
      <c r="D200" s="1039" t="n"/>
      <c r="E200" s="1024" t="n"/>
      <c r="F200" s="1029" t="n"/>
      <c r="G200" s="1024" t="n"/>
      <c r="H200" s="1174" t="n"/>
      <c r="I200" s="1024" t="n"/>
      <c r="J200" s="1175" t="n"/>
      <c r="K200" s="1024" t="n"/>
      <c r="L200" s="1115" t="n"/>
      <c r="M200" s="1024" t="n"/>
      <c r="N200" s="1116" t="n"/>
      <c r="O200" s="830" t="n"/>
      <c r="P200" s="841" t="n"/>
      <c r="Q200" s="127" t="inlineStr">
        <is>
          <t>상해</t>
        </is>
      </c>
      <c r="R200" s="963">
        <f>R149+C200+E200+G200+I200+K200+M200</f>
        <v/>
      </c>
    </row>
    <row r="201" ht="15" customHeight="1" s="797">
      <c r="A201" s="746" t="inlineStr">
        <is>
          <t>수술비</t>
        </is>
      </c>
      <c r="B201" s="158" t="inlineStr">
        <is>
          <t>질병</t>
        </is>
      </c>
      <c r="C201" s="1015" t="n"/>
      <c r="D201" s="1014" t="n"/>
      <c r="E201" s="1010" t="n"/>
      <c r="F201" s="1014" t="n"/>
      <c r="G201" s="1010" t="n"/>
      <c r="H201" s="1014" t="n"/>
      <c r="I201" s="1010" t="n"/>
      <c r="J201" s="1176" t="n"/>
      <c r="K201" s="1010" t="n"/>
      <c r="L201" s="1109" t="n"/>
      <c r="M201" s="1010" t="n"/>
      <c r="N201" s="1110" t="n"/>
      <c r="O201" s="830" t="n"/>
      <c r="P201" s="779" t="inlineStr">
        <is>
          <t>수술비</t>
        </is>
      </c>
      <c r="Q201" s="128" t="inlineStr">
        <is>
          <t>질병</t>
        </is>
      </c>
      <c r="R201" s="957">
        <f>R150+C201+E201+G201+I201+K201+M201</f>
        <v/>
      </c>
    </row>
    <row r="202" ht="15" customHeight="1" s="797">
      <c r="A202" s="832" t="n"/>
      <c r="B202" s="158" t="inlineStr">
        <is>
          <t>상해</t>
        </is>
      </c>
      <c r="C202" s="1022" t="n"/>
      <c r="D202" s="1021" t="n"/>
      <c r="E202" s="1017" t="n"/>
      <c r="F202" s="1039" t="n"/>
      <c r="G202" s="1017" t="n"/>
      <c r="H202" s="1021" t="n"/>
      <c r="I202" s="1017" t="n"/>
      <c r="J202" s="1177" t="n"/>
      <c r="K202" s="1017" t="n"/>
      <c r="L202" s="1112" t="n"/>
      <c r="M202" s="1017" t="n"/>
      <c r="N202" s="1113" t="n"/>
      <c r="O202" s="830" t="n"/>
      <c r="P202" s="832" t="n"/>
      <c r="Q202" s="129" t="inlineStr">
        <is>
          <t>상해</t>
        </is>
      </c>
      <c r="R202" s="959">
        <f>R151+C202+E202+G202+I202+K202+M202</f>
        <v/>
      </c>
    </row>
    <row r="203" ht="15" customHeight="1" s="797">
      <c r="A203" s="832" t="n"/>
      <c r="B203" s="158" t="inlineStr">
        <is>
          <t>1~5종</t>
        </is>
      </c>
      <c r="C203" s="1022" t="n"/>
      <c r="D203" s="1021" t="n"/>
      <c r="E203" s="1017" t="n"/>
      <c r="F203" s="1039" t="n"/>
      <c r="G203" s="1017" t="n"/>
      <c r="H203" s="1162" t="n"/>
      <c r="I203" s="1038" t="n"/>
      <c r="J203" s="1178" t="n"/>
      <c r="K203" s="1038" t="n"/>
      <c r="L203" s="1179" t="n"/>
      <c r="M203" s="1180" t="n"/>
      <c r="N203" s="1119" t="n"/>
      <c r="O203" s="830" t="n"/>
      <c r="P203" s="832" t="n"/>
      <c r="Q203" s="129" t="inlineStr">
        <is>
          <t>1~5종</t>
        </is>
      </c>
      <c r="R203" s="959">
        <f>R152+C203+E203+G203+I203+K203+M203</f>
        <v/>
      </c>
    </row>
    <row r="204" ht="15" customHeight="1" s="797" thickBot="1">
      <c r="A204" s="832" t="n"/>
      <c r="B204" s="159" t="inlineStr">
        <is>
          <t>64대 이상</t>
        </is>
      </c>
      <c r="C204" s="1045" t="n"/>
      <c r="D204" s="1136" t="n"/>
      <c r="E204" s="1043" t="n"/>
      <c r="F204" s="1136" t="n"/>
      <c r="G204" s="1043" t="n"/>
      <c r="H204" s="1181" t="n"/>
      <c r="I204" s="1044" t="n"/>
      <c r="J204" s="1182" t="n"/>
      <c r="K204" s="1044" t="n"/>
      <c r="L204" s="1183" t="n"/>
      <c r="M204" s="1043" t="n"/>
      <c r="N204" s="1138" t="n"/>
      <c r="O204" s="830" t="n"/>
      <c r="P204" s="832" t="n"/>
      <c r="Q204" s="130" t="inlineStr">
        <is>
          <t>64대 이상</t>
        </is>
      </c>
      <c r="R204" s="963">
        <f>R153+C204+E204+G204+I204+K204+M204</f>
        <v/>
      </c>
    </row>
    <row r="205" ht="15" customHeight="1" s="797">
      <c r="A205" s="748" t="inlineStr">
        <is>
          <t>진단비</t>
        </is>
      </c>
      <c r="B205" s="160" t="inlineStr">
        <is>
          <t>골절</t>
        </is>
      </c>
      <c r="C205" s="1010" t="n"/>
      <c r="D205" s="1014" t="n"/>
      <c r="E205" s="1010" t="n"/>
      <c r="F205" s="1014" t="n"/>
      <c r="G205" s="1010" t="n"/>
      <c r="H205" s="1014" t="n"/>
      <c r="I205" s="1010" t="n"/>
      <c r="J205" s="1176" t="n"/>
      <c r="K205" s="1010" t="n"/>
      <c r="L205" s="1109" t="n"/>
      <c r="M205" s="1010" t="n"/>
      <c r="N205" s="1110" t="n"/>
      <c r="O205" s="830" t="n"/>
      <c r="P205" s="782" t="inlineStr">
        <is>
          <t>진단비</t>
        </is>
      </c>
      <c r="Q205" s="131" t="inlineStr">
        <is>
          <t>골절</t>
        </is>
      </c>
      <c r="R205" s="957">
        <f>R154+C205+E205+G205+I205+K205+M205</f>
        <v/>
      </c>
    </row>
    <row r="206" ht="15" customHeight="1" s="797" thickBot="1">
      <c r="A206" s="832" t="n"/>
      <c r="B206" s="161" t="inlineStr">
        <is>
          <t>화상</t>
        </is>
      </c>
      <c r="C206" s="1184" t="n"/>
      <c r="D206" s="1029" t="n"/>
      <c r="E206" s="1075" t="n"/>
      <c r="F206" s="1142" t="n"/>
      <c r="G206" s="1075" t="n"/>
      <c r="H206" s="1142" t="n"/>
      <c r="I206" s="1075" t="n"/>
      <c r="J206" s="1185" t="n"/>
      <c r="K206" s="1075" t="n"/>
      <c r="L206" s="1186" t="n"/>
      <c r="M206" s="1075" t="n"/>
      <c r="N206" s="1144" t="n"/>
      <c r="O206" s="830" t="n"/>
      <c r="P206" s="832" t="n"/>
      <c r="Q206" s="132" t="inlineStr">
        <is>
          <t>화상</t>
        </is>
      </c>
      <c r="R206" s="963">
        <f>R155+C206+E206+G206+I206+K206+M206</f>
        <v/>
      </c>
    </row>
    <row r="207" ht="15" customHeight="1" s="797">
      <c r="A207" s="1187" t="inlineStr">
        <is>
          <t>입원일당</t>
        </is>
      </c>
      <c r="B207" s="162" t="inlineStr">
        <is>
          <t>질병</t>
        </is>
      </c>
      <c r="C207" s="1015" t="n"/>
      <c r="D207" s="1014" t="n"/>
      <c r="E207" s="1015" t="n"/>
      <c r="F207" s="1014" t="n"/>
      <c r="G207" s="1015" t="n"/>
      <c r="H207" s="1014" t="n"/>
      <c r="I207" s="1015" t="n"/>
      <c r="J207" s="1176" t="n"/>
      <c r="K207" s="1010" t="n"/>
      <c r="L207" s="1109" t="n"/>
      <c r="M207" s="1010" t="n"/>
      <c r="N207" s="1110" t="n"/>
      <c r="O207" s="830" t="n"/>
      <c r="P207" s="1188" t="inlineStr">
        <is>
          <t>입원일당</t>
        </is>
      </c>
      <c r="Q207" s="133" t="inlineStr">
        <is>
          <t>질병</t>
        </is>
      </c>
      <c r="R207" s="957">
        <f>R156+C207+E207+G207+I207+K207+M207</f>
        <v/>
      </c>
    </row>
    <row r="208" ht="15" customHeight="1" s="797" thickBot="1">
      <c r="A208" s="841" t="n"/>
      <c r="B208" s="163" t="inlineStr">
        <is>
          <t>재해/상해</t>
        </is>
      </c>
      <c r="C208" s="1027" t="n"/>
      <c r="D208" s="1029" t="n"/>
      <c r="E208" s="1027" t="n"/>
      <c r="F208" s="1029" t="n"/>
      <c r="G208" s="1027" t="n"/>
      <c r="H208" s="1029" t="n"/>
      <c r="I208" s="1027" t="n"/>
      <c r="J208" s="1175" t="n"/>
      <c r="K208" s="1024" t="n"/>
      <c r="L208" s="1115" t="n"/>
      <c r="M208" s="1024" t="n"/>
      <c r="N208" s="1116" t="n"/>
      <c r="O208" s="830" t="n"/>
      <c r="P208" s="841" t="n"/>
      <c r="Q208" s="134" t="inlineStr">
        <is>
          <t>재해/상해</t>
        </is>
      </c>
      <c r="R208" s="963">
        <f>R157+C208+E208+G208+I208+K208+M208</f>
        <v/>
      </c>
    </row>
    <row r="209" ht="15" customHeight="1" s="797">
      <c r="A209" s="1147" t="inlineStr">
        <is>
          <t>운전자</t>
        </is>
      </c>
      <c r="B209" s="144" t="inlineStr">
        <is>
          <t>벌금</t>
        </is>
      </c>
      <c r="C209" s="1022" t="n"/>
      <c r="D209" s="1014" t="n"/>
      <c r="E209" s="1010" t="n"/>
      <c r="F209" s="1014" t="n"/>
      <c r="G209" s="1010" t="n"/>
      <c r="H209" s="1014" t="n"/>
      <c r="I209" s="1010" t="n"/>
      <c r="J209" s="1176" t="n"/>
      <c r="K209" s="1010" t="n"/>
      <c r="L209" s="1189" t="n"/>
      <c r="M209" s="1010" t="n"/>
      <c r="N209" s="1110" t="n"/>
      <c r="O209" s="830" t="n"/>
      <c r="P209" s="1190" t="inlineStr">
        <is>
          <t>운전자</t>
        </is>
      </c>
      <c r="Q209" s="114" t="inlineStr">
        <is>
          <t>벌금</t>
        </is>
      </c>
      <c r="R209" s="957">
        <f>R158+C209+E209+G209+I209+K209+M209</f>
        <v/>
      </c>
    </row>
    <row r="210" ht="15" customHeight="1" s="797">
      <c r="A210" s="832" t="n"/>
      <c r="B210" s="144" t="inlineStr">
        <is>
          <t>변호사선임</t>
        </is>
      </c>
      <c r="C210" s="1022" t="n"/>
      <c r="D210" s="1021" t="n"/>
      <c r="E210" s="1017" t="n"/>
      <c r="F210" s="1021" t="n"/>
      <c r="G210" s="1017" t="n"/>
      <c r="H210" s="1021" t="n"/>
      <c r="I210" s="1017" t="n"/>
      <c r="J210" s="1177" t="n"/>
      <c r="K210" s="1017" t="n"/>
      <c r="L210" s="1191" t="n"/>
      <c r="M210" s="1017" t="n"/>
      <c r="N210" s="1113" t="n"/>
      <c r="O210" s="830" t="n"/>
      <c r="P210" s="832" t="n"/>
      <c r="Q210" s="114" t="inlineStr">
        <is>
          <t>변호사선임</t>
        </is>
      </c>
      <c r="R210" s="959">
        <f>R159+C210+E210+G210+I210+K210+M210</f>
        <v/>
      </c>
    </row>
    <row r="211" ht="15" customHeight="1" s="797" thickBot="1">
      <c r="A211" s="841" t="n"/>
      <c r="B211" s="164" t="inlineStr">
        <is>
          <t>교통사고처리지원</t>
        </is>
      </c>
      <c r="C211" s="1022" t="n"/>
      <c r="D211" s="1021" t="n"/>
      <c r="E211" s="1038" t="n"/>
      <c r="F211" s="1039" t="n"/>
      <c r="G211" s="1038" t="n"/>
      <c r="H211" s="1039" t="n"/>
      <c r="I211" s="1038" t="n"/>
      <c r="J211" s="1178" t="n"/>
      <c r="K211" s="1038" t="n"/>
      <c r="L211" s="1179" t="n"/>
      <c r="M211" s="1038" t="n"/>
      <c r="N211" s="1119" t="n"/>
      <c r="O211" s="830" t="n"/>
      <c r="P211" s="841" t="n"/>
      <c r="Q211" s="135" t="inlineStr">
        <is>
          <t>교통사고처리지원</t>
        </is>
      </c>
      <c r="R211" s="963">
        <f>R160+C211+E211+G211+I211+K211+M211</f>
        <v/>
      </c>
    </row>
    <row r="212" ht="15" customHeight="1" s="797" thickBot="1">
      <c r="A212" s="735" t="inlineStr">
        <is>
          <t>일상생활배상책임</t>
        </is>
      </c>
      <c r="B212" s="919" t="n"/>
      <c r="C212" s="1089" t="n"/>
      <c r="D212" s="1127" t="n"/>
      <c r="E212" s="1089" t="n"/>
      <c r="F212" s="1127" t="n"/>
      <c r="G212" s="1089" t="n"/>
      <c r="H212" s="1127" t="n"/>
      <c r="I212" s="1089" t="n"/>
      <c r="J212" s="1192" t="n"/>
      <c r="K212" s="1089" t="n"/>
      <c r="L212" s="1193" t="n"/>
      <c r="M212" s="1089" t="n"/>
      <c r="N212" s="1194" t="n"/>
      <c r="O212" s="830" t="n"/>
      <c r="P212" s="777" t="inlineStr">
        <is>
          <t>일상생활배상책임</t>
        </is>
      </c>
      <c r="Q212" s="919" t="n"/>
      <c r="R212" s="1148">
        <f>R161+C212+E212+G212+I212+K212+M212</f>
        <v/>
      </c>
    </row>
    <row r="213" ht="15" customHeight="1" s="797">
      <c r="A213" s="1149" t="inlineStr">
        <is>
          <t>기타</t>
        </is>
      </c>
      <c r="B213" s="937" t="n"/>
      <c r="C213" s="1195" t="n"/>
      <c r="D213" s="1163" t="n"/>
      <c r="E213" s="1196" t="n"/>
      <c r="F213" s="1197" t="n"/>
      <c r="G213" s="1098" t="n"/>
      <c r="H213" s="1021" t="n"/>
      <c r="I213" s="1198" t="n"/>
      <c r="J213" s="1176" t="n"/>
      <c r="K213" s="1150" t="n"/>
      <c r="L213" s="1199" t="n"/>
      <c r="M213" s="1198" t="n"/>
      <c r="N213" s="1016" t="n"/>
      <c r="O213" s="830" t="n"/>
      <c r="P213" s="1151" t="inlineStr">
        <is>
          <t>기타</t>
        </is>
      </c>
      <c r="Q213" s="980" t="n"/>
      <c r="R213" s="937" t="n"/>
    </row>
    <row r="214" ht="15" customHeight="1" s="797">
      <c r="A214" s="804" t="n"/>
      <c r="B214" s="805" t="n"/>
      <c r="C214" s="1196" t="n"/>
      <c r="D214" s="1172" t="n"/>
      <c r="E214" s="1152" t="n"/>
      <c r="F214" s="1197" t="n"/>
      <c r="G214" s="1200" t="n"/>
      <c r="H214" s="1197" t="n"/>
      <c r="I214" s="1200" t="n"/>
      <c r="J214" s="1177" t="n"/>
      <c r="K214" s="1101" t="n"/>
      <c r="L214" s="1201" t="n"/>
      <c r="M214" s="1200" t="n"/>
      <c r="N214" s="1023" t="n"/>
      <c r="O214" s="830" t="n"/>
      <c r="P214" s="804" t="n"/>
      <c r="Q214" s="804" t="n"/>
      <c r="R214" s="805" t="n"/>
    </row>
    <row r="215" ht="15" customHeight="1" s="797">
      <c r="A215" s="804" t="n"/>
      <c r="B215" s="805" t="n"/>
      <c r="C215" s="1196" t="n"/>
      <c r="D215" s="1172" t="n"/>
      <c r="E215" s="1200" t="n"/>
      <c r="F215" s="1172" t="n"/>
      <c r="G215" s="1200" t="n"/>
      <c r="H215" s="1197" t="n"/>
      <c r="I215" s="1200" t="n"/>
      <c r="J215" s="1177" t="n"/>
      <c r="K215" s="1200" t="n"/>
      <c r="L215" s="1191" t="n"/>
      <c r="M215" s="1200" t="n"/>
      <c r="N215" s="1202" t="n"/>
      <c r="O215" s="830" t="n"/>
      <c r="P215" s="804" t="n"/>
      <c r="Q215" s="804" t="n"/>
      <c r="R215" s="805" t="n"/>
    </row>
    <row r="216" ht="15" customHeight="1" s="797" thickBot="1">
      <c r="A216" s="942" t="n"/>
      <c r="B216" s="946" t="n"/>
      <c r="C216" s="1203" t="n"/>
      <c r="D216" s="1174" t="n"/>
      <c r="E216" s="1204" t="n"/>
      <c r="F216" s="1174" t="n"/>
      <c r="G216" s="1204" t="n"/>
      <c r="H216" s="1166" t="n"/>
      <c r="I216" s="1204" t="n"/>
      <c r="J216" s="1174" t="n"/>
      <c r="K216" s="1204" t="n"/>
      <c r="L216" s="1205" t="n"/>
      <c r="M216" s="1204" t="n"/>
      <c r="N216" s="1206" t="n"/>
      <c r="O216" s="830" t="n"/>
      <c r="P216" s="942" t="n"/>
      <c r="Q216" s="942" t="n"/>
      <c r="R216" s="946" t="n"/>
    </row>
    <row r="217" ht="15" customHeight="1" s="797">
      <c r="A217" s="947">
        <f>A166</f>
        <v/>
      </c>
      <c r="B217" s="796" t="n"/>
      <c r="C217" s="994" t="n"/>
      <c r="D217" s="796" t="n"/>
      <c r="E217" s="994" t="n"/>
      <c r="F217" s="796" t="n"/>
      <c r="G217" s="994" t="n"/>
      <c r="H217" s="796" t="n"/>
      <c r="I217" s="994" t="n"/>
      <c r="J217" s="796" t="n"/>
      <c r="K217" s="994" t="n"/>
      <c r="L217" s="796" t="n"/>
      <c r="M217" s="994" t="n"/>
      <c r="N217" s="796" t="n"/>
      <c r="O217" s="138" t="n"/>
      <c r="P217" s="795" t="inlineStr">
        <is>
          <t>평가 기준일</t>
        </is>
      </c>
      <c r="Q217" s="796" t="n"/>
      <c r="R217" s="137">
        <f>R166</f>
        <v/>
      </c>
    </row>
    <row r="218" ht="15" customHeight="1" s="797">
      <c r="A218" s="647" t="inlineStr">
        <is>
          <t>상품명</t>
        </is>
      </c>
      <c r="B218" s="798" t="n"/>
      <c r="C218" s="754" t="n"/>
      <c r="D218" s="798" t="n"/>
      <c r="E218" s="754" t="n"/>
      <c r="F218" s="798" t="n"/>
      <c r="G218" s="754" t="n"/>
      <c r="H218" s="798" t="n"/>
      <c r="I218" s="754" t="n"/>
      <c r="J218" s="798" t="n"/>
      <c r="K218" s="754" t="n"/>
      <c r="L218" s="798" t="n"/>
      <c r="M218" s="754" t="n"/>
      <c r="N218" s="798" t="n"/>
      <c r="O218" s="25" t="n"/>
      <c r="P218" s="948" t="n"/>
      <c r="Q218" s="801" t="n"/>
      <c r="R218" s="802" t="n"/>
    </row>
    <row r="219" ht="15" customHeight="1" s="797">
      <c r="A219" s="647" t="inlineStr">
        <is>
          <t>계약자 / 피보험자</t>
        </is>
      </c>
      <c r="B219" s="798" t="n"/>
      <c r="C219" s="756" t="n"/>
      <c r="D219" s="798" t="n"/>
      <c r="E219" s="756" t="n"/>
      <c r="F219" s="798" t="n"/>
      <c r="G219" s="756" t="n"/>
      <c r="H219" s="798" t="n"/>
      <c r="I219" s="756" t="n"/>
      <c r="J219" s="798" t="n"/>
      <c r="K219" s="756" t="n"/>
      <c r="L219" s="798" t="n"/>
      <c r="M219" s="755" t="n"/>
      <c r="N219" s="799" t="n"/>
      <c r="O219" s="25" t="n"/>
      <c r="P219" s="804" t="n"/>
      <c r="R219" s="805" t="n"/>
    </row>
    <row r="220" ht="15" customHeight="1" s="797">
      <c r="A220" s="647" t="inlineStr">
        <is>
          <t>계약일자</t>
        </is>
      </c>
      <c r="B220" s="798" t="n"/>
      <c r="C220" s="756" t="n"/>
      <c r="D220" s="798" t="n"/>
      <c r="E220" s="756" t="n"/>
      <c r="F220" s="798" t="n"/>
      <c r="G220" s="756" t="n"/>
      <c r="H220" s="798" t="n"/>
      <c r="I220" s="756" t="n"/>
      <c r="J220" s="798" t="n"/>
      <c r="K220" s="756" t="n"/>
      <c r="L220" s="798" t="n"/>
      <c r="M220" s="756" t="n"/>
      <c r="N220" s="798" t="n"/>
      <c r="O220" s="25" t="n"/>
      <c r="P220" s="804" t="n"/>
      <c r="R220" s="805" t="n"/>
    </row>
    <row r="221" ht="15" customHeight="1" s="797">
      <c r="A221" s="647" t="inlineStr">
        <is>
          <t>납입기간 / 기납입기간</t>
        </is>
      </c>
      <c r="B221" s="798" t="n"/>
      <c r="C221" s="997" t="n"/>
      <c r="D221" s="1000">
        <f>IF(DATEDIF(C220,$R$1,"m")&lt;C221*12,DATEDIF(C220,$R$1,"m"),C221*12)</f>
        <v/>
      </c>
      <c r="E221" s="997" t="n"/>
      <c r="F221" s="1000">
        <f>IF(DATEDIF(E220,$R$1,"m")&lt;E221*12,DATEDIF(E220,$R$1,"m"),E221*12)</f>
        <v/>
      </c>
      <c r="G221" s="997" t="n"/>
      <c r="H221" s="1000">
        <f>IF(DATEDIF(G220,$R$1,"m")&lt;G221*12,DATEDIF(G220,$R$1,"m"),G221*12)</f>
        <v/>
      </c>
      <c r="I221" s="997" t="n"/>
      <c r="J221" s="1000">
        <f>IF(DATEDIF(I220,$R$1,"m")&lt;I221*12,DATEDIF(I220,$R$1,"m"),I221*12)</f>
        <v/>
      </c>
      <c r="K221" s="997" t="n"/>
      <c r="L221" s="1000">
        <f>IF(DATEDIF(K220,$R$1,"m")&lt;K221*12,DATEDIF(K220,$R$1,"m"),K221*12)</f>
        <v/>
      </c>
      <c r="M221" s="997" t="n"/>
      <c r="N221" s="1106">
        <f>IF(DATEDIF(M220,$R$1,"m")&lt;M221*12,DATEDIF(M220,$R$1,"m"),M221*12)</f>
        <v/>
      </c>
      <c r="O221" s="25" t="n"/>
      <c r="P221" s="804" t="n"/>
      <c r="R221" s="805" t="n"/>
    </row>
    <row r="222" ht="15" customHeight="1" s="797">
      <c r="A222" s="647" t="inlineStr">
        <is>
          <t>보장기간</t>
        </is>
      </c>
      <c r="B222" s="798" t="n"/>
      <c r="C222" s="696" t="n"/>
      <c r="D222" s="798" t="n"/>
      <c r="E222" s="696" t="n"/>
      <c r="F222" s="798" t="n"/>
      <c r="G222" s="696" t="n"/>
      <c r="H222" s="798" t="n"/>
      <c r="I222" s="696" t="n"/>
      <c r="J222" s="798" t="n"/>
      <c r="K222" s="696" t="n"/>
      <c r="L222" s="798" t="n"/>
      <c r="M222" s="696" t="n"/>
      <c r="N222" s="798" t="n"/>
      <c r="O222" s="25" t="n"/>
      <c r="P222" s="808" t="n"/>
      <c r="Q222" s="809" t="n"/>
      <c r="R222" s="810" t="n"/>
    </row>
    <row r="223" ht="15" customHeight="1" s="797">
      <c r="A223" s="632" t="inlineStr">
        <is>
          <t>비고 / 갱신종류</t>
        </is>
      </c>
      <c r="B223" s="811" t="n"/>
      <c r="C223" s="1156" t="n"/>
      <c r="D223" s="798" t="n"/>
      <c r="E223" s="1156" t="n"/>
      <c r="F223" s="798" t="n"/>
      <c r="G223" s="1156" t="n"/>
      <c r="H223" s="798" t="n"/>
      <c r="I223" s="1156" t="n"/>
      <c r="J223" s="798" t="n"/>
      <c r="K223" s="1156" t="n"/>
      <c r="L223" s="798" t="n"/>
      <c r="M223" s="1157" t="n"/>
      <c r="N223" s="799" t="n"/>
      <c r="O223" s="25" t="n"/>
      <c r="P223" s="950" t="n"/>
      <c r="Q223" s="798" t="n"/>
      <c r="R223" s="27" t="inlineStr">
        <is>
          <t>총 보장 (원)</t>
        </is>
      </c>
    </row>
    <row r="224" ht="15" customHeight="1" s="797">
      <c r="A224" s="639" t="inlineStr">
        <is>
          <t>월 보험료</t>
        </is>
      </c>
      <c r="B224" s="798" t="n"/>
      <c r="C224" s="1004" t="n"/>
      <c r="D224" s="798" t="n"/>
      <c r="E224" s="1004" t="n"/>
      <c r="F224" s="798" t="n"/>
      <c r="G224" s="1004" t="n"/>
      <c r="H224" s="798" t="n"/>
      <c r="I224" s="1004" t="n"/>
      <c r="J224" s="798" t="n"/>
      <c r="K224" s="1004" t="n"/>
      <c r="L224" s="798" t="n"/>
      <c r="M224" s="1004" t="n"/>
      <c r="N224" s="798" t="n"/>
      <c r="O224" s="814" t="n"/>
      <c r="P224" s="982" t="inlineStr">
        <is>
          <t>합산 월 보험료</t>
        </is>
      </c>
      <c r="Q224" s="798" t="n"/>
      <c r="R224" s="951">
        <f>R173+C224+E224+G224+I224+K224+M224</f>
        <v/>
      </c>
    </row>
    <row r="225" ht="15" customHeight="1" s="797">
      <c r="A225" s="647" t="inlineStr">
        <is>
          <t>보험료 총액</t>
        </is>
      </c>
      <c r="B225" s="798" t="n"/>
      <c r="C225" s="1007">
        <f>C224*C221*12</f>
        <v/>
      </c>
      <c r="D225" s="798" t="n"/>
      <c r="E225" s="1007">
        <f>E224*E221*12</f>
        <v/>
      </c>
      <c r="F225" s="798" t="n"/>
      <c r="G225" s="1007">
        <f>G224*G221*12</f>
        <v/>
      </c>
      <c r="H225" s="798" t="n"/>
      <c r="I225" s="1007">
        <f>I224*I221*12</f>
        <v/>
      </c>
      <c r="J225" s="798" t="n"/>
      <c r="K225" s="1007">
        <f>K224*K221*12</f>
        <v/>
      </c>
      <c r="L225" s="798" t="n"/>
      <c r="M225" s="1009">
        <f>M224*M221*12</f>
        <v/>
      </c>
      <c r="N225" s="799" t="n"/>
      <c r="O225" s="814" t="n"/>
      <c r="P225" s="982" t="inlineStr">
        <is>
          <t>합산 보험료 총액</t>
        </is>
      </c>
      <c r="Q225" s="798" t="n"/>
      <c r="R225" s="952">
        <f>R174+C225+E225+G225+I225+K225+M225</f>
        <v/>
      </c>
    </row>
    <row r="226" ht="15" customHeight="1" s="797">
      <c r="A226" s="647" t="inlineStr">
        <is>
          <t>기 납입금</t>
        </is>
      </c>
      <c r="B226" s="798" t="n"/>
      <c r="C226" s="1007">
        <f>C224*D221</f>
        <v/>
      </c>
      <c r="D226" s="798" t="n"/>
      <c r="E226" s="1007">
        <f>E224*F221</f>
        <v/>
      </c>
      <c r="F226" s="798" t="n"/>
      <c r="G226" s="1007">
        <f>G224*H221</f>
        <v/>
      </c>
      <c r="H226" s="798" t="n"/>
      <c r="I226" s="1007">
        <f>I224*J221</f>
        <v/>
      </c>
      <c r="J226" s="798" t="n"/>
      <c r="K226" s="1007">
        <f>K224*L221</f>
        <v/>
      </c>
      <c r="L226" s="798" t="n"/>
      <c r="M226" s="1009">
        <f>M224*N221</f>
        <v/>
      </c>
      <c r="N226" s="799" t="n"/>
      <c r="O226" s="814" t="n"/>
      <c r="P226" s="982" t="inlineStr">
        <is>
          <t>합산 기 납입금</t>
        </is>
      </c>
      <c r="Q226" s="798" t="n"/>
      <c r="R226" s="952">
        <f>R175+C226+E226+G226+I226+K226+M226</f>
        <v/>
      </c>
    </row>
    <row r="227" ht="15" customHeight="1" s="797" thickBot="1">
      <c r="A227" s="632" t="inlineStr">
        <is>
          <t>미 납입금</t>
        </is>
      </c>
      <c r="B227" s="811" t="n"/>
      <c r="C227" s="1007">
        <f>C225-C226</f>
        <v/>
      </c>
      <c r="D227" s="798" t="n"/>
      <c r="E227" s="1007">
        <f>E225-E226</f>
        <v/>
      </c>
      <c r="F227" s="798" t="n"/>
      <c r="G227" s="1007">
        <f>G225-G226</f>
        <v/>
      </c>
      <c r="H227" s="798" t="n"/>
      <c r="I227" s="1007">
        <f>I225-I226</f>
        <v/>
      </c>
      <c r="J227" s="798" t="n"/>
      <c r="K227" s="1007">
        <f>K225-K226</f>
        <v/>
      </c>
      <c r="L227" s="798" t="n"/>
      <c r="M227" s="1009">
        <f>M225-M226</f>
        <v/>
      </c>
      <c r="N227" s="799" t="n"/>
      <c r="O227" s="814" t="n"/>
      <c r="P227" s="983" t="inlineStr">
        <is>
          <t>합산 미 납입금</t>
        </is>
      </c>
      <c r="Q227" s="954" t="n"/>
      <c r="R227" s="955">
        <f>R176+C227+E227+G227+I227+K227+M227</f>
        <v/>
      </c>
    </row>
    <row r="228" ht="15" customHeight="1" s="797">
      <c r="A228" s="1158" t="inlineStr">
        <is>
          <t>실비
(갱신형)</t>
        </is>
      </c>
      <c r="B228" s="139" t="inlineStr">
        <is>
          <t>상해급여의료비</t>
        </is>
      </c>
      <c r="C228" s="1015" t="n"/>
      <c r="D228" s="1014" t="n"/>
      <c r="E228" s="1010" t="n"/>
      <c r="F228" s="1014" t="n"/>
      <c r="G228" s="1010" t="n"/>
      <c r="H228" s="1014" t="n"/>
      <c r="I228" s="1010" t="n"/>
      <c r="J228" s="1014" t="n"/>
      <c r="K228" s="1010" t="n"/>
      <c r="L228" s="1109" t="n"/>
      <c r="M228" s="1010" t="n"/>
      <c r="N228" s="1110" t="n"/>
      <c r="O228" s="830" t="n"/>
      <c r="P228" s="1159" t="inlineStr">
        <is>
          <t>실비
(갱신형)</t>
        </is>
      </c>
      <c r="Q228" s="139" t="inlineStr">
        <is>
          <t>질병입원의료비</t>
        </is>
      </c>
      <c r="R228" s="957">
        <f>R177+C228+E228+G228+I228+K228+M228</f>
        <v/>
      </c>
    </row>
    <row r="229" ht="15" customHeight="1" s="797">
      <c r="A229" s="832" t="n"/>
      <c r="B229" s="140" t="inlineStr">
        <is>
          <t>질병급여의료비</t>
        </is>
      </c>
      <c r="C229" s="1022" t="n"/>
      <c r="D229" s="1021" t="n"/>
      <c r="E229" s="1017" t="n"/>
      <c r="F229" s="1021" t="n"/>
      <c r="G229" s="1017" t="n"/>
      <c r="H229" s="1021" t="n"/>
      <c r="I229" s="1017" t="n"/>
      <c r="J229" s="1021" t="n"/>
      <c r="K229" s="1017" t="n"/>
      <c r="L229" s="1112" t="n"/>
      <c r="M229" s="1017" t="n"/>
      <c r="N229" s="1113" t="n"/>
      <c r="O229" s="830" t="n"/>
      <c r="P229" s="832" t="n"/>
      <c r="Q229" s="140" t="inlineStr">
        <is>
          <t>질병통원의료비</t>
        </is>
      </c>
      <c r="R229" s="959">
        <f>R178+C229+E229+G229+I229+K229+M229</f>
        <v/>
      </c>
    </row>
    <row r="230" ht="15" customHeight="1" s="797">
      <c r="A230" s="832" t="n"/>
      <c r="B230" s="140" t="inlineStr">
        <is>
          <t>상해비급여의료비</t>
        </is>
      </c>
      <c r="C230" s="1022" t="n"/>
      <c r="D230" s="1021" t="n"/>
      <c r="E230" s="1022" t="n"/>
      <c r="F230" s="1021" t="n"/>
      <c r="G230" s="1017" t="n"/>
      <c r="H230" s="1021" t="n"/>
      <c r="I230" s="1017" t="n"/>
      <c r="J230" s="1021" t="n"/>
      <c r="K230" s="1017" t="n"/>
      <c r="L230" s="1112" t="n"/>
      <c r="M230" s="1017" t="n"/>
      <c r="N230" s="1113" t="n"/>
      <c r="O230" s="830" t="n"/>
      <c r="P230" s="832" t="n"/>
      <c r="Q230" s="140" t="inlineStr">
        <is>
          <t>상해입원의료비</t>
        </is>
      </c>
      <c r="R230" s="959">
        <f>R179+C230+E230+G230+I230+K230+M230</f>
        <v/>
      </c>
    </row>
    <row r="231" ht="15" customHeight="1" s="797">
      <c r="A231" s="832" t="n"/>
      <c r="B231" s="140" t="inlineStr">
        <is>
          <t>질병비급여의료비</t>
        </is>
      </c>
      <c r="C231" s="1022" t="n"/>
      <c r="D231" s="1021" t="n"/>
      <c r="E231" s="1022" t="n"/>
      <c r="F231" s="1021" t="n"/>
      <c r="G231" s="1017" t="n"/>
      <c r="H231" s="1021" t="n"/>
      <c r="I231" s="1017" t="n"/>
      <c r="J231" s="1021" t="n"/>
      <c r="K231" s="1017" t="n"/>
      <c r="L231" s="1112" t="n"/>
      <c r="M231" s="1017" t="n"/>
      <c r="N231" s="1113" t="n"/>
      <c r="O231" s="830" t="n"/>
      <c r="P231" s="832" t="n"/>
      <c r="Q231" s="140" t="inlineStr">
        <is>
          <t>상해통원의료비</t>
        </is>
      </c>
      <c r="R231" s="959">
        <f>R180+C231+E231+G231+I231+K231+M231</f>
        <v/>
      </c>
    </row>
    <row r="232" ht="15" customHeight="1" s="797" thickBot="1">
      <c r="A232" s="841" t="n"/>
      <c r="B232" s="141" t="inlineStr">
        <is>
          <t>3대비급여 의료비</t>
        </is>
      </c>
      <c r="C232" s="1027" t="n"/>
      <c r="D232" s="1029" t="n"/>
      <c r="E232" s="1027" t="n"/>
      <c r="F232" s="1029" t="n"/>
      <c r="G232" s="1024" t="n"/>
      <c r="H232" s="1029" t="n"/>
      <c r="I232" s="1024" t="n"/>
      <c r="J232" s="1029" t="n"/>
      <c r="K232" s="1024" t="n"/>
      <c r="L232" s="1115" t="n"/>
      <c r="M232" s="1024" t="n"/>
      <c r="N232" s="1116" t="n"/>
      <c r="O232" s="830" t="n"/>
      <c r="P232" s="841" t="n"/>
      <c r="Q232" s="141" t="inlineStr">
        <is>
          <t>3대비급여 의료비</t>
        </is>
      </c>
      <c r="R232" s="963">
        <f>R181+C232+E232+G232+I232+K232+M232</f>
        <v/>
      </c>
    </row>
    <row r="233" ht="15" customHeight="1" s="797">
      <c r="A233" s="626" t="inlineStr">
        <is>
          <t>암</t>
        </is>
      </c>
      <c r="B233" s="142" t="inlineStr">
        <is>
          <t>일반암</t>
        </is>
      </c>
      <c r="C233" s="1010" t="n"/>
      <c r="D233" s="1014" t="n"/>
      <c r="E233" s="1010" t="n"/>
      <c r="F233" s="1014" t="n"/>
      <c r="G233" s="1010" t="n"/>
      <c r="H233" s="1160" t="n"/>
      <c r="I233" s="1010" t="n"/>
      <c r="J233" s="1014" t="n"/>
      <c r="K233" s="1010" t="n"/>
      <c r="L233" s="1109" t="n"/>
      <c r="M233" s="1010" t="n"/>
      <c r="N233" s="1110" t="n"/>
      <c r="O233" s="830" t="n"/>
      <c r="P233" s="772">
        <f>A233</f>
        <v/>
      </c>
      <c r="Q233" s="112" t="inlineStr">
        <is>
          <t>일반암</t>
        </is>
      </c>
      <c r="R233" s="957">
        <f>R182+C233+E233+G233+I233+K233+M233</f>
        <v/>
      </c>
    </row>
    <row r="234" ht="15" customHeight="1" s="797">
      <c r="A234" s="832" t="n"/>
      <c r="B234" s="143" t="inlineStr">
        <is>
          <t>소액암</t>
        </is>
      </c>
      <c r="C234" s="1079" t="n"/>
      <c r="D234" s="1039" t="n"/>
      <c r="E234" s="1017" t="n"/>
      <c r="F234" s="1039" t="n"/>
      <c r="G234" s="1017" t="n"/>
      <c r="H234" s="1161" t="n"/>
      <c r="I234" s="1017" t="n"/>
      <c r="J234" s="1039" t="n"/>
      <c r="K234" s="1038" t="n"/>
      <c r="L234" s="1118" t="n"/>
      <c r="M234" s="1038" t="n"/>
      <c r="N234" s="1119" t="n"/>
      <c r="O234" s="830" t="n"/>
      <c r="P234" s="832" t="n"/>
      <c r="Q234" s="113" t="inlineStr">
        <is>
          <t>소액암</t>
        </is>
      </c>
      <c r="R234" s="959">
        <f>R183+C234+E234+G234+I234+K234+M234</f>
        <v/>
      </c>
    </row>
    <row r="235" ht="15" customHeight="1" s="797">
      <c r="A235" s="832" t="n"/>
      <c r="B235" s="143" t="inlineStr">
        <is>
          <t>암수술비</t>
        </is>
      </c>
      <c r="C235" s="1079" t="n"/>
      <c r="D235" s="1039" t="n"/>
      <c r="E235" s="1038" t="n"/>
      <c r="F235" s="1039" t="n"/>
      <c r="G235" s="1017" t="n"/>
      <c r="H235" s="1162" t="n"/>
      <c r="I235" s="1038" t="n"/>
      <c r="J235" s="1039" t="n"/>
      <c r="K235" s="1038" t="n"/>
      <c r="L235" s="1118" t="n"/>
      <c r="M235" s="1038" t="n"/>
      <c r="N235" s="1119" t="n"/>
      <c r="O235" s="830" t="n"/>
      <c r="P235" s="832" t="n"/>
      <c r="Q235" s="113" t="inlineStr">
        <is>
          <t>암수술비</t>
        </is>
      </c>
      <c r="R235" s="959">
        <f>R184+C235+E235+G235+I235+K235+M235</f>
        <v/>
      </c>
    </row>
    <row r="236" ht="15" customHeight="1" s="797">
      <c r="A236" s="832" t="n"/>
      <c r="B236" s="143" t="inlineStr">
        <is>
          <t>항암치료비</t>
        </is>
      </c>
      <c r="C236" s="1079" t="n"/>
      <c r="D236" s="1039" t="n"/>
      <c r="E236" s="1017" t="n"/>
      <c r="F236" s="1039" t="n"/>
      <c r="G236" s="1038" t="n"/>
      <c r="H236" s="1162" t="n"/>
      <c r="I236" s="1079" t="n"/>
      <c r="J236" s="1039" t="n"/>
      <c r="K236" s="1038" t="n"/>
      <c r="L236" s="1118" t="n"/>
      <c r="M236" s="1038" t="n"/>
      <c r="N236" s="1119" t="n"/>
      <c r="O236" s="830" t="n"/>
      <c r="P236" s="832" t="n"/>
      <c r="Q236" s="113" t="inlineStr">
        <is>
          <t>항암치료비</t>
        </is>
      </c>
      <c r="R236" s="959">
        <f>R185+C236+E236+G236+I236+K236+M236</f>
        <v/>
      </c>
    </row>
    <row r="237" ht="15" customHeight="1" s="797" thickBot="1">
      <c r="A237" s="832" t="n"/>
      <c r="B237" s="144" t="inlineStr">
        <is>
          <t>암입원비</t>
        </is>
      </c>
      <c r="C237" s="1027" t="n"/>
      <c r="D237" s="1029" t="n"/>
      <c r="E237" s="1024" t="n"/>
      <c r="F237" s="1039" t="n"/>
      <c r="G237" s="1024" t="n"/>
      <c r="H237" s="1162" t="n"/>
      <c r="I237" s="1024" t="n"/>
      <c r="J237" s="1039" t="n"/>
      <c r="K237" s="1038" t="n"/>
      <c r="L237" s="1118" t="n"/>
      <c r="M237" s="1038" t="n"/>
      <c r="N237" s="1119" t="n"/>
      <c r="O237" s="830" t="n"/>
      <c r="P237" s="832" t="n"/>
      <c r="Q237" s="114" t="inlineStr">
        <is>
          <t>암입원비</t>
        </is>
      </c>
      <c r="R237" s="963">
        <f>R186+C237+E237+G237+I237+K237+M237</f>
        <v/>
      </c>
    </row>
    <row r="238" ht="15" customHeight="1" s="797">
      <c r="A238" s="721" t="inlineStr">
        <is>
          <t>2대
질병</t>
        </is>
      </c>
      <c r="B238" s="145" t="inlineStr">
        <is>
          <t>뇌혈관</t>
        </is>
      </c>
      <c r="C238" s="1017" t="n"/>
      <c r="D238" s="1014" t="n"/>
      <c r="E238" s="1017" t="n"/>
      <c r="F238" s="1014" t="n"/>
      <c r="G238" s="1017" t="n"/>
      <c r="H238" s="1163" t="n"/>
      <c r="I238" s="1010" t="n"/>
      <c r="J238" s="1014" t="n"/>
      <c r="K238" s="1010" t="n"/>
      <c r="L238" s="1109" t="n"/>
      <c r="M238" s="1010" t="n"/>
      <c r="N238" s="1110" t="n"/>
      <c r="O238" s="830" t="n"/>
      <c r="P238" s="760">
        <f>A238</f>
        <v/>
      </c>
      <c r="Q238" s="115" t="inlineStr">
        <is>
          <t>뇌혈관</t>
        </is>
      </c>
      <c r="R238" s="957">
        <f>R187+C238+E238+G238+I238+K238+M238</f>
        <v/>
      </c>
    </row>
    <row r="239" ht="15" customHeight="1" s="797">
      <c r="A239" s="832" t="n"/>
      <c r="B239" s="146" t="inlineStr">
        <is>
          <t>뇌졸증</t>
        </is>
      </c>
      <c r="C239" s="1017" t="n"/>
      <c r="D239" s="1161" t="n"/>
      <c r="E239" s="1038" t="n"/>
      <c r="F239" s="1161" t="n"/>
      <c r="G239" s="1017" t="n"/>
      <c r="H239" s="1162" t="n"/>
      <c r="I239" s="1038" t="n"/>
      <c r="J239" s="1161" t="n"/>
      <c r="K239" s="1017" t="n"/>
      <c r="L239" s="1118" t="n"/>
      <c r="M239" s="1038" t="n"/>
      <c r="N239" s="1119" t="n"/>
      <c r="O239" s="830" t="n"/>
      <c r="P239" s="832" t="n"/>
      <c r="Q239" s="116" t="inlineStr">
        <is>
          <t>뇌졸증</t>
        </is>
      </c>
      <c r="R239" s="959">
        <f>R188+C239+E239+G239+I239+K239+M239</f>
        <v/>
      </c>
    </row>
    <row r="240" ht="15" customHeight="1" s="797" thickBot="1">
      <c r="A240" s="832" t="n"/>
      <c r="B240" s="147" t="inlineStr">
        <is>
          <t>뇌출혈</t>
        </is>
      </c>
      <c r="C240" s="1044" t="n"/>
      <c r="D240" s="1164" t="n"/>
      <c r="E240" s="1044" t="n"/>
      <c r="F240" s="1122" t="n"/>
      <c r="G240" s="1044" t="n"/>
      <c r="H240" s="1165" t="n"/>
      <c r="I240" s="1044" t="n"/>
      <c r="J240" s="1164" t="n"/>
      <c r="K240" s="1044" t="n"/>
      <c r="L240" s="1123" t="n"/>
      <c r="M240" s="1044" t="n"/>
      <c r="N240" s="1124" t="n"/>
      <c r="O240" s="830" t="n"/>
      <c r="P240" s="832" t="n"/>
      <c r="Q240" s="117" t="inlineStr">
        <is>
          <t>뇌출혈</t>
        </is>
      </c>
      <c r="R240" s="963">
        <f>R189+C240+E240+G240+I240+K240+M240</f>
        <v/>
      </c>
    </row>
    <row r="241" ht="15" customHeight="1" s="797">
      <c r="A241" s="832" t="n"/>
      <c r="B241" s="148" t="inlineStr">
        <is>
          <t>심장질환</t>
        </is>
      </c>
      <c r="C241" s="1010" t="n"/>
      <c r="D241" s="1014" t="n"/>
      <c r="E241" s="1010" t="n"/>
      <c r="F241" s="1014" t="n"/>
      <c r="G241" s="1010" t="n"/>
      <c r="H241" s="1163" t="n"/>
      <c r="I241" s="1010" t="n"/>
      <c r="J241" s="1014" t="n"/>
      <c r="K241" s="1010" t="n"/>
      <c r="L241" s="1109" t="n"/>
      <c r="M241" s="1010" t="n"/>
      <c r="N241" s="1110" t="n"/>
      <c r="O241" s="830" t="n"/>
      <c r="P241" s="832" t="n"/>
      <c r="Q241" s="118" t="inlineStr">
        <is>
          <t>심장질환</t>
        </is>
      </c>
      <c r="R241" s="957">
        <f>R190+C241+E241+G241+I241+K241+M241</f>
        <v/>
      </c>
    </row>
    <row r="242" ht="15" customHeight="1" s="797">
      <c r="A242" s="832" t="n"/>
      <c r="B242" s="149" t="inlineStr">
        <is>
          <t>허혈성심장</t>
        </is>
      </c>
      <c r="C242" s="1017" t="n"/>
      <c r="D242" s="1039" t="n"/>
      <c r="E242" s="1017" t="n"/>
      <c r="F242" s="1161" t="n"/>
      <c r="G242" s="1017" t="n"/>
      <c r="H242" s="1162" t="n"/>
      <c r="I242" s="1017" t="n"/>
      <c r="J242" s="1021" t="n"/>
      <c r="K242" s="1017" t="n"/>
      <c r="L242" s="1118" t="n"/>
      <c r="M242" s="1038" t="n"/>
      <c r="N242" s="1119" t="n"/>
      <c r="O242" s="830" t="n"/>
      <c r="P242" s="832" t="n"/>
      <c r="Q242" s="119" t="inlineStr">
        <is>
          <t>허혈성심장</t>
        </is>
      </c>
      <c r="R242" s="959">
        <f>R191+C242+E242+G242+I242+K242+M242</f>
        <v/>
      </c>
    </row>
    <row r="243" ht="15" customHeight="1" s="797" thickBot="1">
      <c r="A243" s="832" t="n"/>
      <c r="B243" s="165" t="inlineStr">
        <is>
          <t>급성심근경색</t>
        </is>
      </c>
      <c r="C243" s="1024" t="n"/>
      <c r="D243" s="1161" t="n"/>
      <c r="E243" s="1044" t="n"/>
      <c r="F243" s="1122" t="n"/>
      <c r="G243" s="1044" t="n"/>
      <c r="H243" s="1165" t="n"/>
      <c r="I243" s="1044" t="n"/>
      <c r="J243" s="1164" t="n"/>
      <c r="K243" s="1043" t="n"/>
      <c r="L243" s="1123" t="n"/>
      <c r="M243" s="1043" t="n"/>
      <c r="N243" s="1124" t="n"/>
      <c r="O243" s="830" t="n"/>
      <c r="P243" s="832" t="n"/>
      <c r="Q243" s="120" t="inlineStr">
        <is>
          <t>급성심근경색</t>
        </is>
      </c>
      <c r="R243" s="963">
        <f>R192+C243+E243+G243+I243+K243+M243</f>
        <v/>
      </c>
    </row>
    <row r="244" ht="15" customHeight="1" s="797" thickBot="1">
      <c r="A244" s="832" t="n"/>
      <c r="B244" s="166" t="inlineStr">
        <is>
          <t>뇌,심장 수술비</t>
        </is>
      </c>
      <c r="C244" s="1094" t="n"/>
      <c r="D244" s="1167" t="n"/>
      <c r="E244" s="1089" t="n"/>
      <c r="F244" s="1167" t="n"/>
      <c r="G244" s="1089" t="n"/>
      <c r="H244" s="1168" t="n"/>
      <c r="I244" s="1089" t="n"/>
      <c r="J244" s="1167" t="n"/>
      <c r="K244" s="1089" t="n"/>
      <c r="L244" s="1129" t="n"/>
      <c r="M244" s="1089" t="n"/>
      <c r="N244" s="1130" t="n"/>
      <c r="O244" s="830" t="n"/>
      <c r="P244" s="832" t="n"/>
      <c r="Q244" s="121" t="inlineStr">
        <is>
          <t>뇌,심장 수술비</t>
        </is>
      </c>
      <c r="R244" s="1131">
        <f>R193+C244+E244+G244+I244+K244+M244</f>
        <v/>
      </c>
    </row>
    <row r="245" ht="15" customHeight="1" s="797">
      <c r="A245" s="1132" t="inlineStr">
        <is>
          <t>후유장해</t>
        </is>
      </c>
      <c r="B245" s="152" t="inlineStr">
        <is>
          <t>질병 80% 이상</t>
        </is>
      </c>
      <c r="C245" s="1015" t="n"/>
      <c r="D245" s="1014" t="n"/>
      <c r="E245" s="1010" t="n"/>
      <c r="F245" s="1160" t="n"/>
      <c r="G245" s="1010" t="n"/>
      <c r="H245" s="1014" t="n"/>
      <c r="I245" s="1010" t="n"/>
      <c r="J245" s="1014" t="n"/>
      <c r="K245" s="1010" t="n"/>
      <c r="L245" s="1109" t="n"/>
      <c r="M245" s="1010" t="n"/>
      <c r="N245" s="1110" t="n"/>
      <c r="O245" s="830" t="n"/>
      <c r="P245" s="1169">
        <f>A245</f>
        <v/>
      </c>
      <c r="Q245" s="122" t="inlineStr">
        <is>
          <t>질병 80% 이상</t>
        </is>
      </c>
      <c r="R245" s="957">
        <f>R194+C245+E245+G245+I245+K245+M245</f>
        <v/>
      </c>
    </row>
    <row r="246" ht="15" customHeight="1" s="797">
      <c r="A246" s="832" t="n"/>
      <c r="B246" s="153" t="inlineStr">
        <is>
          <t>질병 80% 미만</t>
        </is>
      </c>
      <c r="C246" s="1022" t="n"/>
      <c r="D246" s="1021" t="n"/>
      <c r="E246" s="1017" t="n"/>
      <c r="F246" s="1161" t="n"/>
      <c r="G246" s="1017" t="n"/>
      <c r="H246" s="1021" t="n"/>
      <c r="I246" s="1017" t="n"/>
      <c r="J246" s="1021" t="n"/>
      <c r="K246" s="1017" t="n"/>
      <c r="L246" s="1112" t="n"/>
      <c r="M246" s="1017" t="n"/>
      <c r="N246" s="1113" t="n"/>
      <c r="O246" s="830" t="n"/>
      <c r="P246" s="832" t="n"/>
      <c r="Q246" s="123" t="inlineStr">
        <is>
          <t>질병 80% 미만</t>
        </is>
      </c>
      <c r="R246" s="959">
        <f>R195+C246+E246+G246+I246+K246+M246</f>
        <v/>
      </c>
    </row>
    <row r="247" ht="15" customHeight="1" s="797">
      <c r="A247" s="832" t="n"/>
      <c r="B247" s="153" t="inlineStr">
        <is>
          <t>재해/상해 80% 이상</t>
        </is>
      </c>
      <c r="C247" s="1022" t="n"/>
      <c r="D247" s="1021" t="n"/>
      <c r="E247" s="1017" t="n"/>
      <c r="F247" s="218" t="n"/>
      <c r="G247" s="1017" t="n"/>
      <c r="H247" s="1021" t="n"/>
      <c r="I247" s="1017" t="n"/>
      <c r="J247" s="1021" t="n"/>
      <c r="K247" s="1017" t="n"/>
      <c r="L247" s="1112" t="n"/>
      <c r="M247" s="1017" t="n"/>
      <c r="N247" s="1113" t="n"/>
      <c r="O247" s="830" t="n"/>
      <c r="P247" s="832" t="n"/>
      <c r="Q247" s="123" t="inlineStr">
        <is>
          <t>재해/상해 80% 이상</t>
        </is>
      </c>
      <c r="R247" s="959">
        <f>R196+C247+E247+G247+I247+K247+M247</f>
        <v/>
      </c>
    </row>
    <row r="248" ht="15" customHeight="1" s="797" thickBot="1">
      <c r="A248" s="841" t="n"/>
      <c r="B248" s="154" t="inlineStr">
        <is>
          <t>재해/상해 80% 미만</t>
        </is>
      </c>
      <c r="C248" s="1027" t="n"/>
      <c r="D248" s="1029" t="n"/>
      <c r="E248" s="1024" t="n"/>
      <c r="F248" s="1166" t="n"/>
      <c r="G248" s="1017" t="n"/>
      <c r="H248" s="1029" t="n"/>
      <c r="I248" s="1024" t="n"/>
      <c r="J248" s="1029" t="n"/>
      <c r="K248" s="1024" t="n"/>
      <c r="L248" s="1115" t="n"/>
      <c r="M248" s="1024" t="n"/>
      <c r="N248" s="1116" t="n"/>
      <c r="O248" s="830" t="n"/>
      <c r="P248" s="841" t="n"/>
      <c r="Q248" s="124" t="inlineStr">
        <is>
          <t>재해/상해 80% 미만</t>
        </is>
      </c>
      <c r="R248" s="963">
        <f>R197+C248+E248+G248+I248+K248+M248</f>
        <v/>
      </c>
    </row>
    <row r="249" ht="15" customHeight="1" s="797">
      <c r="A249" s="1133" t="inlineStr">
        <is>
          <t>사망</t>
        </is>
      </c>
      <c r="B249" s="155" t="inlineStr">
        <is>
          <t>일반</t>
        </is>
      </c>
      <c r="C249" s="1015" t="n"/>
      <c r="D249" s="1014" t="n"/>
      <c r="E249" s="1038" t="n"/>
      <c r="F249" s="1014" t="n"/>
      <c r="G249" s="1010" t="n"/>
      <c r="H249" s="1014" t="n"/>
      <c r="I249" s="1010" t="n"/>
      <c r="J249" s="1014" t="n"/>
      <c r="K249" s="1010" t="n"/>
      <c r="L249" s="1170" t="n"/>
      <c r="M249" s="1038" t="n"/>
      <c r="N249" s="1119" t="n"/>
      <c r="O249" s="830" t="n"/>
      <c r="P249" s="1171" t="inlineStr">
        <is>
          <t>사망</t>
        </is>
      </c>
      <c r="Q249" s="125" t="inlineStr">
        <is>
          <t>일반</t>
        </is>
      </c>
      <c r="R249" s="957">
        <f>R198+C249+E249+G249+I249+K249+M249</f>
        <v/>
      </c>
    </row>
    <row r="250" ht="15" customHeight="1" s="797">
      <c r="A250" s="832" t="n"/>
      <c r="B250" s="156" t="inlineStr">
        <is>
          <t>질병</t>
        </is>
      </c>
      <c r="C250" s="1022" t="n"/>
      <c r="D250" s="1021" t="n"/>
      <c r="E250" s="1017" t="n"/>
      <c r="F250" s="1021" t="n"/>
      <c r="G250" s="1017" t="n"/>
      <c r="H250" s="1172" t="n"/>
      <c r="I250" s="1017" t="n"/>
      <c r="J250" s="1021" t="n"/>
      <c r="K250" s="1017" t="n"/>
      <c r="L250" s="1173" t="n"/>
      <c r="M250" s="1017" t="n"/>
      <c r="N250" s="1113" t="n"/>
      <c r="O250" s="830" t="n"/>
      <c r="P250" s="832" t="n"/>
      <c r="Q250" s="126" t="inlineStr">
        <is>
          <t>질병</t>
        </is>
      </c>
      <c r="R250" s="959">
        <f>R199+C250+E250+G250+I250+K250+M250</f>
        <v/>
      </c>
    </row>
    <row r="251" ht="15" customHeight="1" s="797" thickBot="1">
      <c r="A251" s="841" t="n"/>
      <c r="B251" s="157" t="inlineStr">
        <is>
          <t>재해/상해</t>
        </is>
      </c>
      <c r="C251" s="1079" t="n"/>
      <c r="D251" s="1039" t="n"/>
      <c r="E251" s="1024" t="n"/>
      <c r="F251" s="1029" t="n"/>
      <c r="G251" s="1024" t="n"/>
      <c r="H251" s="1174" t="n"/>
      <c r="I251" s="1024" t="n"/>
      <c r="J251" s="1175" t="n"/>
      <c r="K251" s="1024" t="n"/>
      <c r="L251" s="1115" t="n"/>
      <c r="M251" s="1024" t="n"/>
      <c r="N251" s="1116" t="n"/>
      <c r="O251" s="830" t="n"/>
      <c r="P251" s="841" t="n"/>
      <c r="Q251" s="127" t="inlineStr">
        <is>
          <t>상해</t>
        </is>
      </c>
      <c r="R251" s="963">
        <f>R200+C251+E251+G251+I251+K251+M251</f>
        <v/>
      </c>
    </row>
    <row r="252" ht="15" customHeight="1" s="797">
      <c r="A252" s="746" t="inlineStr">
        <is>
          <t>수술비</t>
        </is>
      </c>
      <c r="B252" s="158" t="inlineStr">
        <is>
          <t>질병</t>
        </is>
      </c>
      <c r="C252" s="1015" t="n"/>
      <c r="D252" s="1014" t="n"/>
      <c r="E252" s="1010" t="n"/>
      <c r="F252" s="1014" t="n"/>
      <c r="G252" s="1010" t="n"/>
      <c r="H252" s="1014" t="n"/>
      <c r="I252" s="1010" t="n"/>
      <c r="J252" s="1176" t="n"/>
      <c r="K252" s="1010" t="n"/>
      <c r="L252" s="1109" t="n"/>
      <c r="M252" s="1010" t="n"/>
      <c r="N252" s="1110" t="n"/>
      <c r="O252" s="830" t="n"/>
      <c r="P252" s="779" t="inlineStr">
        <is>
          <t>수술비</t>
        </is>
      </c>
      <c r="Q252" s="128" t="inlineStr">
        <is>
          <t>질병</t>
        </is>
      </c>
      <c r="R252" s="957">
        <f>R201+C252+E252+G252+I252+K252+M252</f>
        <v/>
      </c>
    </row>
    <row r="253" ht="15" customHeight="1" s="797">
      <c r="A253" s="832" t="n"/>
      <c r="B253" s="158" t="inlineStr">
        <is>
          <t>상해</t>
        </is>
      </c>
      <c r="C253" s="1022" t="n"/>
      <c r="D253" s="1021" t="n"/>
      <c r="E253" s="1017" t="n"/>
      <c r="F253" s="1039" t="n"/>
      <c r="G253" s="1017" t="n"/>
      <c r="H253" s="1021" t="n"/>
      <c r="I253" s="1017" t="n"/>
      <c r="J253" s="1177" t="n"/>
      <c r="K253" s="1017" t="n"/>
      <c r="L253" s="1207" t="n"/>
      <c r="M253" s="1017" t="n"/>
      <c r="N253" s="1113" t="n"/>
      <c r="O253" s="830" t="n"/>
      <c r="P253" s="832" t="n"/>
      <c r="Q253" s="129" t="inlineStr">
        <is>
          <t>상해</t>
        </is>
      </c>
      <c r="R253" s="959">
        <f>R202+C253+E253+G253+I253+K253+M253</f>
        <v/>
      </c>
    </row>
    <row r="254" ht="15" customHeight="1" s="797">
      <c r="A254" s="832" t="n"/>
      <c r="B254" s="158" t="inlineStr">
        <is>
          <t>1~5종</t>
        </is>
      </c>
      <c r="C254" s="1022" t="n"/>
      <c r="D254" s="1161" t="n"/>
      <c r="E254" s="1017" t="n"/>
      <c r="F254" s="1039" t="n"/>
      <c r="G254" s="1017" t="n"/>
      <c r="H254" s="1162" t="n"/>
      <c r="I254" s="1038" t="n"/>
      <c r="J254" s="1178" t="n"/>
      <c r="K254" s="1038" t="n"/>
      <c r="L254" s="1179" t="n"/>
      <c r="M254" s="1180" t="n"/>
      <c r="N254" s="1119" t="n"/>
      <c r="O254" s="830" t="n"/>
      <c r="P254" s="832" t="n"/>
      <c r="Q254" s="129" t="inlineStr">
        <is>
          <t>1~5종</t>
        </is>
      </c>
      <c r="R254" s="959">
        <f>R203+C254+E254+G254+I254+K254+M254</f>
        <v/>
      </c>
    </row>
    <row r="255" ht="15" customHeight="1" s="797" thickBot="1">
      <c r="A255" s="832" t="n"/>
      <c r="B255" s="159" t="inlineStr">
        <is>
          <t>64대 이상</t>
        </is>
      </c>
      <c r="C255" s="1045" t="n"/>
      <c r="D255" s="1161" t="n"/>
      <c r="E255" s="1043" t="n"/>
      <c r="F255" s="1136" t="n"/>
      <c r="G255" s="1043" t="n"/>
      <c r="H255" s="1181" t="n"/>
      <c r="I255" s="1044" t="n"/>
      <c r="J255" s="1182" t="n"/>
      <c r="K255" s="1044" t="n"/>
      <c r="L255" s="1183" t="n"/>
      <c r="M255" s="1043" t="n"/>
      <c r="N255" s="1138" t="n"/>
      <c r="O255" s="830" t="n"/>
      <c r="P255" s="832" t="n"/>
      <c r="Q255" s="130" t="inlineStr">
        <is>
          <t>64대 이상</t>
        </is>
      </c>
      <c r="R255" s="963">
        <f>R204+C255+E255+G255+I255+K255+M255</f>
        <v/>
      </c>
    </row>
    <row r="256" ht="15" customHeight="1" s="797">
      <c r="A256" s="748" t="inlineStr">
        <is>
          <t>진단비</t>
        </is>
      </c>
      <c r="B256" s="160" t="inlineStr">
        <is>
          <t>골절</t>
        </is>
      </c>
      <c r="C256" s="1010" t="n"/>
      <c r="D256" s="1014" t="n"/>
      <c r="E256" s="1010" t="n"/>
      <c r="F256" s="1014" t="n"/>
      <c r="G256" s="1010" t="n"/>
      <c r="H256" s="1014" t="n"/>
      <c r="I256" s="1010" t="n"/>
      <c r="J256" s="1176" t="n"/>
      <c r="K256" s="1010" t="n"/>
      <c r="L256" s="1109" t="n"/>
      <c r="M256" s="1010" t="n"/>
      <c r="N256" s="1110" t="n"/>
      <c r="O256" s="830" t="n"/>
      <c r="P256" s="782" t="inlineStr">
        <is>
          <t>진단비</t>
        </is>
      </c>
      <c r="Q256" s="131" t="inlineStr">
        <is>
          <t>골절</t>
        </is>
      </c>
      <c r="R256" s="957">
        <f>R205+C256+E256+G256+I256+K256+M256</f>
        <v/>
      </c>
    </row>
    <row r="257" ht="15" customHeight="1" s="797" thickBot="1">
      <c r="A257" s="832" t="n"/>
      <c r="B257" s="161" t="inlineStr">
        <is>
          <t>화상</t>
        </is>
      </c>
      <c r="C257" s="1184" t="n"/>
      <c r="D257" s="1029" t="n"/>
      <c r="E257" s="1075" t="n"/>
      <c r="F257" s="1142" t="n"/>
      <c r="G257" s="1075" t="n"/>
      <c r="H257" s="1142" t="n"/>
      <c r="I257" s="1075" t="n"/>
      <c r="J257" s="1185" t="n"/>
      <c r="K257" s="1075" t="n"/>
      <c r="L257" s="1186" t="n"/>
      <c r="M257" s="1075" t="n"/>
      <c r="N257" s="1144" t="n"/>
      <c r="O257" s="830" t="n"/>
      <c r="P257" s="832" t="n"/>
      <c r="Q257" s="132" t="inlineStr">
        <is>
          <t>화상</t>
        </is>
      </c>
      <c r="R257" s="963">
        <f>R206+C257+E257+G257+I257+K257+M257</f>
        <v/>
      </c>
    </row>
    <row r="258" ht="15" customHeight="1" s="797">
      <c r="A258" s="1187" t="inlineStr">
        <is>
          <t>입원일당</t>
        </is>
      </c>
      <c r="B258" s="162" t="inlineStr">
        <is>
          <t>질병</t>
        </is>
      </c>
      <c r="C258" s="1015" t="n"/>
      <c r="D258" s="1014" t="n"/>
      <c r="E258" s="1015" t="n"/>
      <c r="F258" s="1014" t="n"/>
      <c r="G258" s="1015" t="n"/>
      <c r="H258" s="1014" t="n"/>
      <c r="I258" s="1015" t="n"/>
      <c r="J258" s="1176" t="n"/>
      <c r="K258" s="1010" t="n"/>
      <c r="L258" s="1109" t="n"/>
      <c r="M258" s="1010" t="n"/>
      <c r="N258" s="1110" t="n"/>
      <c r="O258" s="830" t="n"/>
      <c r="P258" s="1188" t="inlineStr">
        <is>
          <t>입원일당</t>
        </is>
      </c>
      <c r="Q258" s="133" t="inlineStr">
        <is>
          <t>질병</t>
        </is>
      </c>
      <c r="R258" s="957">
        <f>R207+C258+E258+G258+I258+K258+M258</f>
        <v/>
      </c>
    </row>
    <row r="259" ht="15" customHeight="1" s="797" thickBot="1">
      <c r="A259" s="841" t="n"/>
      <c r="B259" s="163" t="inlineStr">
        <is>
          <t>재해/상해</t>
        </is>
      </c>
      <c r="C259" s="1027" t="n"/>
      <c r="D259" s="1029" t="n"/>
      <c r="E259" s="1027" t="n"/>
      <c r="F259" s="1029" t="n"/>
      <c r="G259" s="1027" t="n"/>
      <c r="H259" s="1029" t="n"/>
      <c r="I259" s="1027" t="n"/>
      <c r="J259" s="1175" t="n"/>
      <c r="K259" s="1024" t="n"/>
      <c r="L259" s="1115" t="n"/>
      <c r="M259" s="1024" t="n"/>
      <c r="N259" s="1116" t="n"/>
      <c r="O259" s="830" t="n"/>
      <c r="P259" s="841" t="n"/>
      <c r="Q259" s="134" t="inlineStr">
        <is>
          <t>재해/상해</t>
        </is>
      </c>
      <c r="R259" s="963">
        <f>R208+C259+E259+G259+I259+K259+M259</f>
        <v/>
      </c>
    </row>
    <row r="260" ht="15" customHeight="1" s="797">
      <c r="A260" s="1147" t="inlineStr">
        <is>
          <t>운전자</t>
        </is>
      </c>
      <c r="B260" s="144" t="inlineStr">
        <is>
          <t>벌금</t>
        </is>
      </c>
      <c r="C260" s="1022" t="n"/>
      <c r="D260" s="1014" t="n"/>
      <c r="E260" s="1010" t="n"/>
      <c r="F260" s="1014" t="n"/>
      <c r="G260" s="1010" t="n"/>
      <c r="H260" s="1014" t="n"/>
      <c r="I260" s="1010" t="n"/>
      <c r="J260" s="1176" t="n"/>
      <c r="K260" s="1010" t="n"/>
      <c r="L260" s="1189" t="n"/>
      <c r="M260" s="1010" t="n"/>
      <c r="N260" s="1110" t="n"/>
      <c r="O260" s="830" t="n"/>
      <c r="P260" s="1190" t="inlineStr">
        <is>
          <t>운전자</t>
        </is>
      </c>
      <c r="Q260" s="114" t="inlineStr">
        <is>
          <t>벌금</t>
        </is>
      </c>
      <c r="R260" s="957">
        <f>R209+C260+E260+G260+I260+K260+M260</f>
        <v/>
      </c>
    </row>
    <row r="261" ht="15" customHeight="1" s="797">
      <c r="A261" s="832" t="n"/>
      <c r="B261" s="144" t="inlineStr">
        <is>
          <t>변호사선임</t>
        </is>
      </c>
      <c r="C261" s="1022" t="n"/>
      <c r="D261" s="1021" t="n"/>
      <c r="E261" s="1017" t="n"/>
      <c r="F261" s="1021" t="n"/>
      <c r="G261" s="1017" t="n"/>
      <c r="H261" s="1021" t="n"/>
      <c r="I261" s="1017" t="n"/>
      <c r="J261" s="1177" t="n"/>
      <c r="K261" s="1017" t="n"/>
      <c r="L261" s="1191" t="n"/>
      <c r="M261" s="1017" t="n"/>
      <c r="N261" s="1113" t="n"/>
      <c r="O261" s="830" t="n"/>
      <c r="P261" s="832" t="n"/>
      <c r="Q261" s="114" t="inlineStr">
        <is>
          <t>변호사선임</t>
        </is>
      </c>
      <c r="R261" s="959">
        <f>R210+C261+E261+G261+I261+K261+M261</f>
        <v/>
      </c>
    </row>
    <row r="262" ht="15" customHeight="1" s="797" thickBot="1">
      <c r="A262" s="841" t="n"/>
      <c r="B262" s="164" t="inlineStr">
        <is>
          <t>교통사고처리지원</t>
        </is>
      </c>
      <c r="C262" s="1022" t="n"/>
      <c r="D262" s="1021" t="n"/>
      <c r="E262" s="1038" t="n"/>
      <c r="F262" s="1039" t="n"/>
      <c r="G262" s="1038" t="n"/>
      <c r="H262" s="1039" t="n"/>
      <c r="I262" s="1038" t="n"/>
      <c r="J262" s="1178" t="n"/>
      <c r="K262" s="1038" t="n"/>
      <c r="L262" s="1179" t="n"/>
      <c r="M262" s="1038" t="n"/>
      <c r="N262" s="1119" t="n"/>
      <c r="O262" s="830" t="n"/>
      <c r="P262" s="841" t="n"/>
      <c r="Q262" s="135" t="inlineStr">
        <is>
          <t>교통사고처리지원</t>
        </is>
      </c>
      <c r="R262" s="963">
        <f>R211+C262+E262+G262+I262+K262+M262</f>
        <v/>
      </c>
    </row>
    <row r="263" ht="15" customHeight="1" s="797" thickBot="1">
      <c r="A263" s="735" t="inlineStr">
        <is>
          <t>일상생활배상책임</t>
        </is>
      </c>
      <c r="B263" s="919" t="n"/>
      <c r="C263" s="1089" t="n"/>
      <c r="D263" s="1127" t="n"/>
      <c r="E263" s="1089" t="n"/>
      <c r="F263" s="1127" t="n"/>
      <c r="G263" s="1089" t="n"/>
      <c r="H263" s="1127" t="n"/>
      <c r="I263" s="1089" t="n"/>
      <c r="J263" s="1192" t="n"/>
      <c r="K263" s="1089" t="n"/>
      <c r="L263" s="1193" t="n"/>
      <c r="M263" s="1089" t="n"/>
      <c r="N263" s="1194" t="n"/>
      <c r="O263" s="830" t="n"/>
      <c r="P263" s="777" t="inlineStr">
        <is>
          <t>일상생활배상책임</t>
        </is>
      </c>
      <c r="Q263" s="919" t="n"/>
      <c r="R263" s="1148">
        <f>R212+C263+E263+G263+I263+K263+M263</f>
        <v/>
      </c>
    </row>
    <row r="264" ht="15" customHeight="1" s="797">
      <c r="A264" s="1149" t="inlineStr">
        <is>
          <t>기타</t>
        </is>
      </c>
      <c r="B264" s="937" t="n"/>
      <c r="C264" s="1195" t="n"/>
      <c r="D264" s="1163" t="n"/>
      <c r="E264" s="1196" t="n"/>
      <c r="F264" s="1021" t="n"/>
      <c r="G264" s="1098" t="n"/>
      <c r="H264" s="1021" t="n"/>
      <c r="I264" s="1198" t="n"/>
      <c r="J264" s="1176" t="n"/>
      <c r="K264" s="1150" t="n"/>
      <c r="L264" s="1208" t="n"/>
      <c r="M264" s="1198" t="n"/>
      <c r="N264" s="1016" t="n"/>
      <c r="O264" s="830" t="n"/>
      <c r="P264" s="1151" t="inlineStr">
        <is>
          <t>기타</t>
        </is>
      </c>
      <c r="Q264" s="980" t="n"/>
      <c r="R264" s="937" t="n"/>
    </row>
    <row r="265" ht="15" customHeight="1" s="797">
      <c r="A265" s="804" t="n"/>
      <c r="B265" s="805" t="n"/>
      <c r="C265" s="1196" t="n"/>
      <c r="D265" s="1172" t="n"/>
      <c r="E265" s="1152" t="n"/>
      <c r="F265" s="1197" t="n"/>
      <c r="G265" s="1200" t="n"/>
      <c r="H265" s="1197" t="n"/>
      <c r="I265" s="1200" t="n"/>
      <c r="J265" s="1177" t="n"/>
      <c r="K265" s="1101" t="n"/>
      <c r="L265" s="1207" t="n"/>
      <c r="M265" s="1200" t="n"/>
      <c r="N265" s="1023" t="n"/>
      <c r="O265" s="830" t="n"/>
      <c r="P265" s="804" t="n"/>
      <c r="Q265" s="804" t="n"/>
      <c r="R265" s="805" t="n"/>
    </row>
    <row r="266" ht="15" customHeight="1" s="797">
      <c r="A266" s="804" t="n"/>
      <c r="B266" s="805" t="n"/>
      <c r="C266" s="1196" t="n"/>
      <c r="D266" s="1172" t="n"/>
      <c r="E266" s="1200" t="n"/>
      <c r="F266" s="1172" t="n"/>
      <c r="G266" s="1200" t="n"/>
      <c r="H266" s="1197" t="n"/>
      <c r="I266" s="1200" t="n"/>
      <c r="J266" s="1177" t="n"/>
      <c r="K266" s="1200" t="n"/>
      <c r="L266" s="1191" t="n"/>
      <c r="M266" s="1200" t="n"/>
      <c r="N266" s="1202" t="n"/>
      <c r="O266" s="830" t="n"/>
      <c r="P266" s="804" t="n"/>
      <c r="Q266" s="804" t="n"/>
      <c r="R266" s="805" t="n"/>
    </row>
    <row r="267" ht="15" customHeight="1" s="797" thickBot="1">
      <c r="A267" s="942" t="n"/>
      <c r="B267" s="946" t="n"/>
      <c r="C267" s="1203" t="n"/>
      <c r="D267" s="1174" t="n"/>
      <c r="E267" s="1204" t="n"/>
      <c r="F267" s="1174" t="n"/>
      <c r="G267" s="1204" t="n"/>
      <c r="H267" s="1166" t="n"/>
      <c r="I267" s="1204" t="n"/>
      <c r="J267" s="1174" t="n"/>
      <c r="K267" s="1204" t="n"/>
      <c r="L267" s="1205" t="n"/>
      <c r="M267" s="1204" t="n"/>
      <c r="N267" s="1206" t="n"/>
      <c r="O267" s="830" t="n"/>
      <c r="P267" s="942" t="n"/>
      <c r="Q267" s="942" t="n"/>
      <c r="R267" s="946" t="n"/>
    </row>
  </sheetData>
  <mergeCells count="505">
    <mergeCell ref="P194:P197"/>
    <mergeCell ref="K227:L227"/>
    <mergeCell ref="A64:B64"/>
    <mergeCell ref="P47:P49"/>
    <mergeCell ref="C172:D172"/>
    <mergeCell ref="E8:F8"/>
    <mergeCell ref="C171:D171"/>
    <mergeCell ref="M60:N60"/>
    <mergeCell ref="E171:F171"/>
    <mergeCell ref="C121:D121"/>
    <mergeCell ref="M10:N10"/>
    <mergeCell ref="G66:H66"/>
    <mergeCell ref="C173:D173"/>
    <mergeCell ref="I66:J66"/>
    <mergeCell ref="E173:F173"/>
    <mergeCell ref="G68:H68"/>
    <mergeCell ref="E166:F166"/>
    <mergeCell ref="P213:P216"/>
    <mergeCell ref="A91:A94"/>
    <mergeCell ref="A50:A52"/>
    <mergeCell ref="E168:F168"/>
    <mergeCell ref="G168:H168"/>
    <mergeCell ref="A62:B62"/>
    <mergeCell ref="I172:J172"/>
    <mergeCell ref="K172:L172"/>
    <mergeCell ref="P224:Q224"/>
    <mergeCell ref="C3:D3"/>
    <mergeCell ref="A256:A257"/>
    <mergeCell ref="E3:F3"/>
    <mergeCell ref="G59:H59"/>
    <mergeCell ref="K223:L223"/>
    <mergeCell ref="E117:F117"/>
    <mergeCell ref="A59:B59"/>
    <mergeCell ref="G117:H117"/>
    <mergeCell ref="E67:F67"/>
    <mergeCell ref="A45:A46"/>
    <mergeCell ref="G67:H67"/>
    <mergeCell ref="G61:H61"/>
    <mergeCell ref="E219:F219"/>
    <mergeCell ref="I61:J61"/>
    <mergeCell ref="G219:H219"/>
    <mergeCell ref="A61:B61"/>
    <mergeCell ref="I175:J175"/>
    <mergeCell ref="G125:H125"/>
    <mergeCell ref="I125:J125"/>
    <mergeCell ref="M218:N218"/>
    <mergeCell ref="P115:Q115"/>
    <mergeCell ref="A217:B217"/>
    <mergeCell ref="I176:J176"/>
    <mergeCell ref="M7:N7"/>
    <mergeCell ref="P166:Q166"/>
    <mergeCell ref="C123:D123"/>
    <mergeCell ref="K120:L120"/>
    <mergeCell ref="M120:N120"/>
    <mergeCell ref="P187:P193"/>
    <mergeCell ref="P102:P103"/>
    <mergeCell ref="C174:D174"/>
    <mergeCell ref="E174:F174"/>
    <mergeCell ref="A201:A204"/>
    <mergeCell ref="I59:J59"/>
    <mergeCell ref="M115:N115"/>
    <mergeCell ref="G9:H9"/>
    <mergeCell ref="I9:J9"/>
    <mergeCell ref="A27:A33"/>
    <mergeCell ref="A126:A130"/>
    <mergeCell ref="G11:H11"/>
    <mergeCell ref="I11:J11"/>
    <mergeCell ref="A1:B1"/>
    <mergeCell ref="P252:P255"/>
    <mergeCell ref="K173:L173"/>
    <mergeCell ref="P177:P181"/>
    <mergeCell ref="M2:N2"/>
    <mergeCell ref="A65:B65"/>
    <mergeCell ref="P161:Q161"/>
    <mergeCell ref="C65:D65"/>
    <mergeCell ref="E6:F6"/>
    <mergeCell ref="M168:N168"/>
    <mergeCell ref="K176:L176"/>
    <mergeCell ref="G64:H64"/>
    <mergeCell ref="I64:J64"/>
    <mergeCell ref="A4:B4"/>
    <mergeCell ref="P245:P248"/>
    <mergeCell ref="G1:H1"/>
    <mergeCell ref="G226:H226"/>
    <mergeCell ref="G217:H217"/>
    <mergeCell ref="A220:B220"/>
    <mergeCell ref="K171:L171"/>
    <mergeCell ref="M171:N171"/>
    <mergeCell ref="I65:J65"/>
    <mergeCell ref="K121:L121"/>
    <mergeCell ref="A60:B60"/>
    <mergeCell ref="I222:J222"/>
    <mergeCell ref="M173:N173"/>
    <mergeCell ref="K123:L123"/>
    <mergeCell ref="M123:N123"/>
    <mergeCell ref="A124:B124"/>
    <mergeCell ref="C117:D117"/>
    <mergeCell ref="P116:R120"/>
    <mergeCell ref="K174:L174"/>
    <mergeCell ref="A41:A44"/>
    <mergeCell ref="M174:N174"/>
    <mergeCell ref="G6:H6"/>
    <mergeCell ref="P260:P262"/>
    <mergeCell ref="C115:D115"/>
    <mergeCell ref="P175:Q175"/>
    <mergeCell ref="M3:N3"/>
    <mergeCell ref="Q264:R267"/>
    <mergeCell ref="I1:J1"/>
    <mergeCell ref="P167:R171"/>
    <mergeCell ref="P226:Q226"/>
    <mergeCell ref="M121:N121"/>
    <mergeCell ref="K167:L167"/>
    <mergeCell ref="M167:N167"/>
    <mergeCell ref="A17:A26"/>
    <mergeCell ref="A226:B226"/>
    <mergeCell ref="I217:J217"/>
    <mergeCell ref="K217:L217"/>
    <mergeCell ref="I225:J225"/>
    <mergeCell ref="A7:B7"/>
    <mergeCell ref="A172:B172"/>
    <mergeCell ref="C63:D63"/>
    <mergeCell ref="A252:A255"/>
    <mergeCell ref="E63:F63"/>
    <mergeCell ref="A260:A262"/>
    <mergeCell ref="I58:J58"/>
    <mergeCell ref="I223:J223"/>
    <mergeCell ref="K58:L58"/>
    <mergeCell ref="K2:L2"/>
    <mergeCell ref="P125:Q125"/>
    <mergeCell ref="M124:N124"/>
    <mergeCell ref="P143:P146"/>
    <mergeCell ref="M116:N116"/>
    <mergeCell ref="E116:F116"/>
    <mergeCell ref="A34:A37"/>
    <mergeCell ref="A143:A146"/>
    <mergeCell ref="P228:P232"/>
    <mergeCell ref="P176:Q176"/>
    <mergeCell ref="E122:F122"/>
    <mergeCell ref="A213:B216"/>
    <mergeCell ref="K175:L175"/>
    <mergeCell ref="P9:Q9"/>
    <mergeCell ref="A218:B218"/>
    <mergeCell ref="C218:D218"/>
    <mergeCell ref="P2:R6"/>
    <mergeCell ref="P11:Q11"/>
    <mergeCell ref="G175:H175"/>
    <mergeCell ref="I226:J226"/>
    <mergeCell ref="K220:L220"/>
    <mergeCell ref="I8:J8"/>
    <mergeCell ref="A8:B8"/>
    <mergeCell ref="C8:D8"/>
    <mergeCell ref="A171:B171"/>
    <mergeCell ref="K222:L222"/>
    <mergeCell ref="I10:J10"/>
    <mergeCell ref="A10:B10"/>
    <mergeCell ref="A115:B115"/>
    <mergeCell ref="K66:L66"/>
    <mergeCell ref="K10:L10"/>
    <mergeCell ref="M66:N66"/>
    <mergeCell ref="C66:D66"/>
    <mergeCell ref="E66:F66"/>
    <mergeCell ref="M63:N63"/>
    <mergeCell ref="A173:B173"/>
    <mergeCell ref="K124:L124"/>
    <mergeCell ref="K3:L3"/>
    <mergeCell ref="K68:L68"/>
    <mergeCell ref="P64:Q64"/>
    <mergeCell ref="M68:N68"/>
    <mergeCell ref="A166:B166"/>
    <mergeCell ref="P126:P130"/>
    <mergeCell ref="C68:D68"/>
    <mergeCell ref="C166:D166"/>
    <mergeCell ref="M117:N117"/>
    <mergeCell ref="E68:F68"/>
    <mergeCell ref="P1:Q1"/>
    <mergeCell ref="M67:N67"/>
    <mergeCell ref="A168:B168"/>
    <mergeCell ref="G122:H122"/>
    <mergeCell ref="E224:F224"/>
    <mergeCell ref="G224:H224"/>
    <mergeCell ref="G172:H172"/>
    <mergeCell ref="P104:P106"/>
    <mergeCell ref="A120:B120"/>
    <mergeCell ref="P67:Q67"/>
    <mergeCell ref="A3:B3"/>
    <mergeCell ref="A182:A186"/>
    <mergeCell ref="C59:D59"/>
    <mergeCell ref="E59:F59"/>
    <mergeCell ref="P91:P94"/>
    <mergeCell ref="K8:L8"/>
    <mergeCell ref="A5:B5"/>
    <mergeCell ref="P131:P135"/>
    <mergeCell ref="C61:D61"/>
    <mergeCell ref="A219:B219"/>
    <mergeCell ref="E61:F61"/>
    <mergeCell ref="C219:D219"/>
    <mergeCell ref="P264:P267"/>
    <mergeCell ref="A177:A181"/>
    <mergeCell ref="C125:D125"/>
    <mergeCell ref="E125:F125"/>
    <mergeCell ref="M122:N122"/>
    <mergeCell ref="A233:A237"/>
    <mergeCell ref="A12:A16"/>
    <mergeCell ref="Q162:R165"/>
    <mergeCell ref="A209:A211"/>
    <mergeCell ref="G120:H120"/>
    <mergeCell ref="A147:A149"/>
    <mergeCell ref="A123:B123"/>
    <mergeCell ref="I120:J120"/>
    <mergeCell ref="P27:P33"/>
    <mergeCell ref="A110:B110"/>
    <mergeCell ref="A174:B174"/>
    <mergeCell ref="C168:D168"/>
    <mergeCell ref="P217:Q217"/>
    <mergeCell ref="I115:J115"/>
    <mergeCell ref="A118:B118"/>
    <mergeCell ref="P65:Q65"/>
    <mergeCell ref="C118:D118"/>
    <mergeCell ref="C9:D9"/>
    <mergeCell ref="P263:Q263"/>
    <mergeCell ref="E9:F9"/>
    <mergeCell ref="C167:D167"/>
    <mergeCell ref="E167:F167"/>
    <mergeCell ref="P7:Q7"/>
    <mergeCell ref="M6:N6"/>
    <mergeCell ref="C11:D11"/>
    <mergeCell ref="E11:F11"/>
    <mergeCell ref="C169:D169"/>
    <mergeCell ref="E169:F169"/>
    <mergeCell ref="E225:F225"/>
    <mergeCell ref="A263:B263"/>
    <mergeCell ref="G225:H225"/>
    <mergeCell ref="G4:H4"/>
    <mergeCell ref="I4:J4"/>
    <mergeCell ref="A158:A160"/>
    <mergeCell ref="A84:A90"/>
    <mergeCell ref="E227:F227"/>
    <mergeCell ref="P212:Q212"/>
    <mergeCell ref="G227:H227"/>
    <mergeCell ref="A121:B121"/>
    <mergeCell ref="P201:P204"/>
    <mergeCell ref="A95:A97"/>
    <mergeCell ref="P107:P109"/>
    <mergeCell ref="A58:B58"/>
    <mergeCell ref="K218:L218"/>
    <mergeCell ref="I168:J168"/>
    <mergeCell ref="C6:D6"/>
    <mergeCell ref="M59:N59"/>
    <mergeCell ref="C116:D116"/>
    <mergeCell ref="G176:H176"/>
    <mergeCell ref="C64:D64"/>
    <mergeCell ref="E64:F64"/>
    <mergeCell ref="K219:L219"/>
    <mergeCell ref="M219:N219"/>
    <mergeCell ref="C1:D1"/>
    <mergeCell ref="E1:F1"/>
    <mergeCell ref="C226:D226"/>
    <mergeCell ref="E220:F220"/>
    <mergeCell ref="G220:H220"/>
    <mergeCell ref="G171:H171"/>
    <mergeCell ref="P198:P200"/>
    <mergeCell ref="I171:J171"/>
    <mergeCell ref="E65:F65"/>
    <mergeCell ref="M227:N227"/>
    <mergeCell ref="G121:H121"/>
    <mergeCell ref="I121:J121"/>
    <mergeCell ref="C222:D222"/>
    <mergeCell ref="E222:F222"/>
    <mergeCell ref="K115:L115"/>
    <mergeCell ref="G222:H222"/>
    <mergeCell ref="I173:J173"/>
    <mergeCell ref="G58:H58"/>
    <mergeCell ref="A156:A157"/>
    <mergeCell ref="P225:Q225"/>
    <mergeCell ref="G123:H123"/>
    <mergeCell ref="A69:A73"/>
    <mergeCell ref="I123:J123"/>
    <mergeCell ref="A53:B53"/>
    <mergeCell ref="I166:J166"/>
    <mergeCell ref="K166:L166"/>
    <mergeCell ref="M166:N166"/>
    <mergeCell ref="P227:Q227"/>
    <mergeCell ref="A68:B68"/>
    <mergeCell ref="K116:L116"/>
    <mergeCell ref="A117:B117"/>
    <mergeCell ref="P58:Q58"/>
    <mergeCell ref="K168:L168"/>
    <mergeCell ref="M224:N224"/>
    <mergeCell ref="K118:L118"/>
    <mergeCell ref="M118:N118"/>
    <mergeCell ref="C175:D175"/>
    <mergeCell ref="E175:F175"/>
    <mergeCell ref="P10:Q10"/>
    <mergeCell ref="M1:N1"/>
    <mergeCell ref="G7:H7"/>
    <mergeCell ref="I7:J7"/>
    <mergeCell ref="A154:A155"/>
    <mergeCell ref="K63:L63"/>
    <mergeCell ref="C124:D124"/>
    <mergeCell ref="A194:A197"/>
    <mergeCell ref="A111:B114"/>
    <mergeCell ref="P172:Q172"/>
    <mergeCell ref="G65:H65"/>
    <mergeCell ref="A162:B165"/>
    <mergeCell ref="E172:F172"/>
    <mergeCell ref="P205:P206"/>
    <mergeCell ref="A63:B63"/>
    <mergeCell ref="G60:H60"/>
    <mergeCell ref="I60:J60"/>
    <mergeCell ref="E58:F58"/>
    <mergeCell ref="A207:A208"/>
    <mergeCell ref="M220:N220"/>
    <mergeCell ref="E223:F223"/>
    <mergeCell ref="G223:H223"/>
    <mergeCell ref="A245:A248"/>
    <mergeCell ref="P238:P244"/>
    <mergeCell ref="I174:J174"/>
    <mergeCell ref="G2:H2"/>
    <mergeCell ref="I124:J124"/>
    <mergeCell ref="I2:J2"/>
    <mergeCell ref="K9:L9"/>
    <mergeCell ref="A47:A49"/>
    <mergeCell ref="P258:P259"/>
    <mergeCell ref="I116:J116"/>
    <mergeCell ref="A119:B119"/>
    <mergeCell ref="M9:N9"/>
    <mergeCell ref="K11:L11"/>
    <mergeCell ref="I218:J218"/>
    <mergeCell ref="M11:N11"/>
    <mergeCell ref="K169:L169"/>
    <mergeCell ref="M169:N169"/>
    <mergeCell ref="C176:D176"/>
    <mergeCell ref="E176:F176"/>
    <mergeCell ref="A104:A106"/>
    <mergeCell ref="G173:H173"/>
    <mergeCell ref="A67:B67"/>
    <mergeCell ref="P249:P251"/>
    <mergeCell ref="P173:Q173"/>
    <mergeCell ref="K226:L226"/>
    <mergeCell ref="M226:N226"/>
    <mergeCell ref="P59:R63"/>
    <mergeCell ref="Q54:R57"/>
    <mergeCell ref="G8:H8"/>
    <mergeCell ref="A6:B6"/>
    <mergeCell ref="M222:N222"/>
    <mergeCell ref="C10:D10"/>
    <mergeCell ref="E10:F10"/>
    <mergeCell ref="M172:N172"/>
    <mergeCell ref="G10:H10"/>
    <mergeCell ref="A66:B66"/>
    <mergeCell ref="P111:P114"/>
    <mergeCell ref="G3:H3"/>
    <mergeCell ref="I3:J3"/>
    <mergeCell ref="P98:P101"/>
    <mergeCell ref="K59:L59"/>
    <mergeCell ref="M223:N223"/>
    <mergeCell ref="I68:J68"/>
    <mergeCell ref="I117:J117"/>
    <mergeCell ref="K117:L117"/>
    <mergeCell ref="I67:J67"/>
    <mergeCell ref="P162:P165"/>
    <mergeCell ref="K61:L61"/>
    <mergeCell ref="I219:J219"/>
    <mergeCell ref="M61:N61"/>
    <mergeCell ref="A122:B122"/>
    <mergeCell ref="C122:D122"/>
    <mergeCell ref="A224:B224"/>
    <mergeCell ref="C224:D224"/>
    <mergeCell ref="M175:N175"/>
    <mergeCell ref="P121:Q121"/>
    <mergeCell ref="K125:L125"/>
    <mergeCell ref="M125:N125"/>
    <mergeCell ref="A161:B161"/>
    <mergeCell ref="C217:D217"/>
    <mergeCell ref="E217:F217"/>
    <mergeCell ref="P123:Q123"/>
    <mergeCell ref="P110:Q110"/>
    <mergeCell ref="M176:N176"/>
    <mergeCell ref="A136:A142"/>
    <mergeCell ref="P74:P83"/>
    <mergeCell ref="A238:A244"/>
    <mergeCell ref="A38:A40"/>
    <mergeCell ref="A249:A251"/>
    <mergeCell ref="A131:A135"/>
    <mergeCell ref="A212:B212"/>
    <mergeCell ref="G174:H174"/>
    <mergeCell ref="I122:J122"/>
    <mergeCell ref="A107:A109"/>
    <mergeCell ref="P182:P186"/>
    <mergeCell ref="P150:P153"/>
    <mergeCell ref="K67:L67"/>
    <mergeCell ref="C120:D120"/>
    <mergeCell ref="M8:N8"/>
    <mergeCell ref="A150:A153"/>
    <mergeCell ref="A228:A232"/>
    <mergeCell ref="C67:D67"/>
    <mergeCell ref="Q213:R216"/>
    <mergeCell ref="A187:A193"/>
    <mergeCell ref="A102:A103"/>
    <mergeCell ref="E115:F115"/>
    <mergeCell ref="A9:B9"/>
    <mergeCell ref="A198:A200"/>
    <mergeCell ref="A167:B167"/>
    <mergeCell ref="P54:P57"/>
    <mergeCell ref="P136:P142"/>
    <mergeCell ref="P41:P44"/>
    <mergeCell ref="I6:J6"/>
    <mergeCell ref="P209:P211"/>
    <mergeCell ref="G169:H169"/>
    <mergeCell ref="A264:B267"/>
    <mergeCell ref="P147:P149"/>
    <mergeCell ref="A11:B11"/>
    <mergeCell ref="A169:B169"/>
    <mergeCell ref="A225:B225"/>
    <mergeCell ref="P34:P37"/>
    <mergeCell ref="C225:D225"/>
    <mergeCell ref="K64:L64"/>
    <mergeCell ref="C4:D4"/>
    <mergeCell ref="M64:N64"/>
    <mergeCell ref="E4:F4"/>
    <mergeCell ref="I227:J227"/>
    <mergeCell ref="K122:L122"/>
    <mergeCell ref="A227:B227"/>
    <mergeCell ref="P223:Q223"/>
    <mergeCell ref="P174:Q174"/>
    <mergeCell ref="C227:D227"/>
    <mergeCell ref="K1:L1"/>
    <mergeCell ref="P124:Q124"/>
    <mergeCell ref="M65:N65"/>
    <mergeCell ref="C60:D60"/>
    <mergeCell ref="I224:J224"/>
    <mergeCell ref="P17:P26"/>
    <mergeCell ref="A116:B116"/>
    <mergeCell ref="E124:F124"/>
    <mergeCell ref="E120:F120"/>
    <mergeCell ref="P158:P160"/>
    <mergeCell ref="P84:P90"/>
    <mergeCell ref="P69:P73"/>
    <mergeCell ref="Q111:R114"/>
    <mergeCell ref="A54:B57"/>
    <mergeCell ref="P95:P97"/>
    <mergeCell ref="C220:D220"/>
    <mergeCell ref="P207:P208"/>
    <mergeCell ref="K6:L6"/>
    <mergeCell ref="E121:F121"/>
    <mergeCell ref="A222:B222"/>
    <mergeCell ref="G115:H115"/>
    <mergeCell ref="C58:D58"/>
    <mergeCell ref="E123:F123"/>
    <mergeCell ref="K60:L60"/>
    <mergeCell ref="G166:H166"/>
    <mergeCell ref="A205:A206"/>
    <mergeCell ref="G116:H116"/>
    <mergeCell ref="P218:R222"/>
    <mergeCell ref="P154:P155"/>
    <mergeCell ref="K224:L224"/>
    <mergeCell ref="E118:F118"/>
    <mergeCell ref="G118:H118"/>
    <mergeCell ref="G167:H167"/>
    <mergeCell ref="P50:P52"/>
    <mergeCell ref="A175:B175"/>
    <mergeCell ref="E226:F226"/>
    <mergeCell ref="M217:N217"/>
    <mergeCell ref="P156:P157"/>
    <mergeCell ref="A258:A259"/>
    <mergeCell ref="P66:Q66"/>
    <mergeCell ref="P53:Q53"/>
    <mergeCell ref="K225:L225"/>
    <mergeCell ref="M225:N225"/>
    <mergeCell ref="K7:L7"/>
    <mergeCell ref="C7:D7"/>
    <mergeCell ref="P68:Q68"/>
    <mergeCell ref="E7:F7"/>
    <mergeCell ref="K65:L65"/>
    <mergeCell ref="A170:B170"/>
    <mergeCell ref="G63:H63"/>
    <mergeCell ref="I63:J63"/>
    <mergeCell ref="P45:P46"/>
    <mergeCell ref="M58:N58"/>
    <mergeCell ref="P233:P237"/>
    <mergeCell ref="A221:B221"/>
    <mergeCell ref="A176:B176"/>
    <mergeCell ref="P12:P16"/>
    <mergeCell ref="P8:Q8"/>
    <mergeCell ref="P38:P40"/>
    <mergeCell ref="E60:F60"/>
    <mergeCell ref="A223:B223"/>
    <mergeCell ref="I220:J220"/>
    <mergeCell ref="C223:D223"/>
    <mergeCell ref="A2:B2"/>
    <mergeCell ref="C2:D2"/>
    <mergeCell ref="E2:F2"/>
    <mergeCell ref="G124:H124"/>
    <mergeCell ref="I118:J118"/>
    <mergeCell ref="I167:J167"/>
    <mergeCell ref="P122:Q122"/>
    <mergeCell ref="A74:A83"/>
    <mergeCell ref="A125:B125"/>
    <mergeCell ref="E218:F218"/>
    <mergeCell ref="G218:H218"/>
    <mergeCell ref="I169:J169"/>
    <mergeCell ref="K4:L4"/>
    <mergeCell ref="P256:P257"/>
    <mergeCell ref="M4:N4"/>
    <mergeCell ref="A98:A101"/>
  </mergeCells>
  <printOptions horizontalCentered="1" verticalCentered="1"/>
  <pageMargins left="0" right="0" top="0" bottom="0" header="0" footer="0"/>
  <pageSetup orientation="landscape" paperSize="9" scale="69"/>
  <rowBreaks count="3" manualBreakCount="3">
    <brk id="57" min="0" max="17" man="1"/>
    <brk id="153" min="0" max="1048575" man="1"/>
    <brk id="204" min="0" max="1048575" man="1"/>
  </rowBreaks>
</worksheet>
</file>

<file path=xl/worksheets/sheet7.xml><?xml version="1.0" encoding="utf-8"?>
<worksheet xmlns="http://schemas.openxmlformats.org/spreadsheetml/2006/main">
  <sheetPr codeName="Sheet5">
    <tabColor rgb="FFFF5050"/>
    <outlinePr summaryBelow="1" summaryRight="1"/>
    <pageSetUpPr/>
  </sheetPr>
  <dimension ref="A1:S102"/>
  <sheetViews>
    <sheetView view="pageBreakPreview" zoomScaleNormal="100" zoomScaleSheetLayoutView="100" workbookViewId="0">
      <pane ySplit="11" topLeftCell="A12" activePane="bottomLeft" state="frozen"/>
      <selection pane="bottomLeft" activeCell="A2" sqref="A2:B2"/>
    </sheetView>
  </sheetViews>
  <sheetFormatPr baseColWidth="8" defaultColWidth="8.625" defaultRowHeight="16.5"/>
  <cols>
    <col width="7.75" customWidth="1" style="5" min="1" max="1"/>
    <col width="13.625" customWidth="1" style="3" min="2" max="2"/>
    <col width="15.125" customWidth="1" style="3" min="3" max="3"/>
    <col width="5.25" customWidth="1" style="16" min="4" max="4"/>
    <col width="15.125" customWidth="1" style="3" min="5" max="5"/>
    <col width="5.25" customWidth="1" style="16" min="6" max="6"/>
    <col width="15.125" customWidth="1" style="3" min="7" max="7"/>
    <col width="5.25" customWidth="1" style="16" min="8" max="8"/>
    <col width="15.125" customWidth="1" style="4" min="9" max="9"/>
    <col width="5.25" customWidth="1" style="16" min="10" max="10"/>
    <col width="15.125" customWidth="1" style="185" min="11" max="11"/>
    <col width="5.25" customWidth="1" style="16" min="12" max="12"/>
    <col width="15.125" customWidth="1" style="4" min="13" max="13"/>
    <col width="5.25" customWidth="1" style="78" min="14" max="14"/>
    <col width="3.625" customWidth="1" style="4" min="15" max="15"/>
    <col width="6.625" customWidth="1" style="5" min="16" max="16"/>
    <col width="13.625" customWidth="1" style="3" min="17" max="17"/>
    <col width="11.625" customWidth="1" style="17" min="18" max="18"/>
  </cols>
  <sheetData>
    <row r="1" ht="19.5" customFormat="1" customHeight="1" s="1">
      <c r="A1" s="947" t="inlineStr">
        <is>
          <t>이나현님 보장분석(후)</t>
        </is>
      </c>
      <c r="B1" s="796" t="n"/>
      <c r="C1" s="994" t="inlineStr">
        <is>
          <t>KB손해보험</t>
        </is>
      </c>
      <c r="D1" s="796" t="n"/>
      <c r="E1" s="994" t="inlineStr">
        <is>
          <t>KB손해보험</t>
        </is>
      </c>
      <c r="F1" s="796" t="n"/>
      <c r="G1" s="994" t="inlineStr">
        <is>
          <t>처브에이스손해</t>
        </is>
      </c>
      <c r="H1" s="796" t="n"/>
      <c r="I1" s="994" t="inlineStr">
        <is>
          <t>처브에이스손해</t>
        </is>
      </c>
      <c r="J1" s="796" t="n"/>
      <c r="K1" s="994" t="n"/>
      <c r="L1" s="796" t="n"/>
      <c r="M1" s="994" t="n"/>
      <c r="N1" s="796" t="n"/>
      <c r="O1" s="136" t="n"/>
      <c r="P1" s="795" t="inlineStr">
        <is>
          <t>평가 기준일</t>
        </is>
      </c>
      <c r="Q1" s="796" t="n"/>
      <c r="R1" s="137">
        <f>TODAY()</f>
        <v/>
      </c>
    </row>
    <row r="2" ht="15" customHeight="1" s="797">
      <c r="A2" s="647" t="inlineStr">
        <is>
          <t>상품명</t>
        </is>
      </c>
      <c r="B2" s="798" t="n"/>
      <c r="C2" s="754" t="inlineStr">
        <is>
          <t>금쪽같은 자녀보험</t>
        </is>
      </c>
      <c r="D2" s="798" t="n"/>
      <c r="E2" s="754" t="inlineStr">
        <is>
          <t>실손의료비보험</t>
        </is>
      </c>
      <c r="F2" s="798" t="n"/>
      <c r="G2" s="754" t="inlineStr">
        <is>
          <t>플러스치아안심보험 1종고급</t>
        </is>
      </c>
      <c r="H2" s="798" t="n"/>
      <c r="I2" s="754" t="inlineStr">
        <is>
          <t>무)치아충전치료보장보험</t>
        </is>
      </c>
      <c r="J2" s="798" t="n"/>
      <c r="K2" s="754" t="n"/>
      <c r="L2" s="798" t="n"/>
      <c r="M2" s="754" t="n"/>
      <c r="N2" s="798" t="n"/>
      <c r="O2" s="25" t="n"/>
      <c r="P2" s="948" t="n"/>
      <c r="Q2" s="801" t="n"/>
      <c r="R2" s="802" t="n"/>
    </row>
    <row r="3" ht="15" customHeight="1" s="797">
      <c r="A3" s="647" t="inlineStr">
        <is>
          <t>계약자 / 피보험자</t>
        </is>
      </c>
      <c r="B3" s="798" t="n"/>
      <c r="C3" s="756" t="inlineStr">
        <is>
          <t>이연하 / 이연하</t>
        </is>
      </c>
      <c r="D3" s="798" t="n"/>
      <c r="E3" s="756" t="inlineStr">
        <is>
          <t>이연하 / 이연하</t>
        </is>
      </c>
      <c r="F3" s="798" t="n"/>
      <c r="G3" s="756" t="inlineStr">
        <is>
          <t>이나현 / 이나현</t>
        </is>
      </c>
      <c r="H3" s="798" t="n"/>
      <c r="I3" s="756" t="inlineStr">
        <is>
          <t>이나현 / 이나현</t>
        </is>
      </c>
      <c r="J3" s="798" t="n"/>
      <c r="K3" s="756" t="n"/>
      <c r="L3" s="798" t="n"/>
      <c r="M3" s="756" t="n"/>
      <c r="N3" s="798" t="n"/>
      <c r="O3" s="25" t="n"/>
      <c r="P3" s="804" t="n"/>
      <c r="R3" s="805" t="n"/>
    </row>
    <row r="4" ht="15" customHeight="1" s="797">
      <c r="A4" s="647" t="inlineStr">
        <is>
          <t>계약일자</t>
        </is>
      </c>
      <c r="B4" s="798" t="n"/>
      <c r="C4" s="756" t="n">
        <v>44726</v>
      </c>
      <c r="D4" s="798" t="n"/>
      <c r="E4" s="756" t="n">
        <v>44726</v>
      </c>
      <c r="F4" s="798" t="n"/>
      <c r="G4" s="756" t="n">
        <v>42983</v>
      </c>
      <c r="H4" s="798" t="n"/>
      <c r="I4" s="756" t="n">
        <v>42320</v>
      </c>
      <c r="J4" s="798" t="n"/>
      <c r="K4" s="756" t="n"/>
      <c r="L4" s="798" t="n"/>
      <c r="M4" s="756" t="n"/>
      <c r="N4" s="798" t="n"/>
      <c r="O4" s="25" t="n"/>
      <c r="P4" s="804" t="n"/>
      <c r="R4" s="805" t="n"/>
    </row>
    <row r="5" ht="15" customHeight="1" s="797">
      <c r="A5" s="647" t="inlineStr">
        <is>
          <t>납입기간 / 기납입기간</t>
        </is>
      </c>
      <c r="B5" s="798" t="n"/>
      <c r="C5" s="997" t="n">
        <v>30</v>
      </c>
      <c r="D5" s="1000">
        <f>IF(DATEDIF(C4,$R$1,"m")&lt;C5*12,DATEDIF(C4,$R$1,"m"),C5*12)</f>
        <v/>
      </c>
      <c r="E5" s="997" t="n">
        <v>1</v>
      </c>
      <c r="F5" s="1000">
        <f>IF(DATEDIF(E4,$R$1,"m")&lt;E5*12,DATEDIF(E4,$R$1,"m"),E5*12)</f>
        <v/>
      </c>
      <c r="G5" s="997" t="n">
        <v>10</v>
      </c>
      <c r="H5" s="1000">
        <f>IF(DATEDIF(G4,$R$1,"m")&lt;G5*12,DATEDIF(G4,$R$1,"m"),G5*12)</f>
        <v/>
      </c>
      <c r="I5" s="997" t="n">
        <v>10</v>
      </c>
      <c r="J5" s="1001">
        <f>IF(DATEDIF(I4,$R$1,"m")&lt;I5*12,DATEDIF(I4,$R$1,"m"),I5*12)</f>
        <v/>
      </c>
      <c r="K5" s="997" t="n"/>
      <c r="L5" s="1000">
        <f>IF(DATEDIF(K4,$R$1,"m")&lt;K5*12,DATEDIF(K4,$R$1,"m"),K5*12)</f>
        <v/>
      </c>
      <c r="M5" s="997" t="n"/>
      <c r="N5" s="1106">
        <f>IF(DATEDIF(M4,$R$1,"m")&lt;M5*12,DATEDIF(M4,$R$1,"m"),M5*12)</f>
        <v/>
      </c>
      <c r="O5" s="25" t="n"/>
      <c r="P5" s="804" t="n"/>
      <c r="R5" s="805" t="n"/>
    </row>
    <row r="6" ht="15" customHeight="1" s="797">
      <c r="A6" s="647" t="inlineStr">
        <is>
          <t>보장기간</t>
        </is>
      </c>
      <c r="B6" s="798" t="n"/>
      <c r="C6" s="696" t="inlineStr">
        <is>
          <t>100세</t>
        </is>
      </c>
      <c r="D6" s="798" t="n"/>
      <c r="E6" s="696" t="inlineStr">
        <is>
          <t>15년만기재가입</t>
        </is>
      </c>
      <c r="F6" s="798" t="n"/>
      <c r="G6" s="696" t="inlineStr">
        <is>
          <t>33세만기</t>
        </is>
      </c>
      <c r="H6" s="798" t="n"/>
      <c r="I6" s="696" t="inlineStr">
        <is>
          <t>31세만기</t>
        </is>
      </c>
      <c r="J6" s="798" t="n"/>
      <c r="K6" s="696" t="n"/>
      <c r="L6" s="798" t="n"/>
      <c r="M6" s="696" t="n"/>
      <c r="N6" s="798" t="n"/>
      <c r="O6" s="25" t="n"/>
      <c r="P6" s="808" t="n"/>
      <c r="Q6" s="809" t="n"/>
      <c r="R6" s="810" t="n"/>
    </row>
    <row r="7" ht="15" customHeight="1" s="797">
      <c r="A7" s="632" t="inlineStr">
        <is>
          <t>비고 / 갱신종류</t>
        </is>
      </c>
      <c r="B7" s="811" t="n"/>
      <c r="C7" s="1156" t="inlineStr">
        <is>
          <t>3대진단 + 수술 종합건강</t>
        </is>
      </c>
      <c r="D7" s="798" t="n"/>
      <c r="E7" s="1156" t="inlineStr">
        <is>
          <t>실비 / 갱신</t>
        </is>
      </c>
      <c r="F7" s="798" t="n"/>
      <c r="G7" s="1156" t="inlineStr">
        <is>
          <t>치아</t>
        </is>
      </c>
      <c r="H7" s="798" t="n"/>
      <c r="I7" s="1156" t="inlineStr">
        <is>
          <t>치아</t>
        </is>
      </c>
      <c r="J7" s="798" t="n"/>
      <c r="K7" s="1156" t="n"/>
      <c r="L7" s="798" t="n"/>
      <c r="M7" s="1157" t="n"/>
      <c r="N7" s="799" t="n"/>
      <c r="O7" s="25" t="n"/>
      <c r="P7" s="950" t="n"/>
      <c r="Q7" s="798" t="n"/>
      <c r="R7" s="27" t="inlineStr">
        <is>
          <t>총 보장 (원)</t>
        </is>
      </c>
    </row>
    <row r="8" ht="15" customHeight="1" s="797">
      <c r="A8" s="639" t="inlineStr">
        <is>
          <t>월 보험료</t>
        </is>
      </c>
      <c r="B8" s="798" t="n"/>
      <c r="C8" s="1004" t="n">
        <v>83298</v>
      </c>
      <c r="D8" s="798" t="n"/>
      <c r="E8" s="1004" t="n">
        <v>9112</v>
      </c>
      <c r="F8" s="798" t="n"/>
      <c r="G8" s="1004" t="n">
        <v>17620</v>
      </c>
      <c r="H8" s="798" t="n"/>
      <c r="I8" s="1004" t="n">
        <v>12560</v>
      </c>
      <c r="J8" s="798" t="n"/>
      <c r="K8" s="1004" t="n"/>
      <c r="L8" s="798" t="n"/>
      <c r="M8" s="1004" t="n"/>
      <c r="N8" s="798" t="n"/>
      <c r="O8" s="814" t="n"/>
      <c r="P8" s="982" t="inlineStr">
        <is>
          <t>합산 월 보험료</t>
        </is>
      </c>
      <c r="Q8" s="798" t="n"/>
      <c r="R8" s="816">
        <f>SUM(B8:N8)</f>
        <v/>
      </c>
    </row>
    <row r="9" ht="15" customHeight="1" s="797">
      <c r="A9" s="647" t="inlineStr">
        <is>
          <t>보험료 총액</t>
        </is>
      </c>
      <c r="B9" s="798" t="n"/>
      <c r="C9" s="1007">
        <f>C8*C5*12</f>
        <v/>
      </c>
      <c r="D9" s="798" t="n"/>
      <c r="E9" s="1007">
        <f>E8*E5*12</f>
        <v/>
      </c>
      <c r="F9" s="798" t="n"/>
      <c r="G9" s="1007">
        <f>G8*G5*12</f>
        <v/>
      </c>
      <c r="H9" s="798" t="n"/>
      <c r="I9" s="1007">
        <f>I8*I5*12</f>
        <v/>
      </c>
      <c r="J9" s="798" t="n"/>
      <c r="K9" s="1007">
        <f>K8*K5*12</f>
        <v/>
      </c>
      <c r="L9" s="798" t="n"/>
      <c r="M9" s="1009">
        <f>M8*M5*12</f>
        <v/>
      </c>
      <c r="N9" s="799" t="n"/>
      <c r="O9" s="814" t="n"/>
      <c r="P9" s="982" t="inlineStr">
        <is>
          <t>합산 보험료 총액</t>
        </is>
      </c>
      <c r="Q9" s="798" t="n"/>
      <c r="R9" s="818">
        <f>SUM(B9:N9)</f>
        <v/>
      </c>
    </row>
    <row r="10" ht="15" customHeight="1" s="797">
      <c r="A10" s="647" t="inlineStr">
        <is>
          <t>기 납입금</t>
        </is>
      </c>
      <c r="B10" s="798" t="n"/>
      <c r="C10" s="1007">
        <f>C8*D5</f>
        <v/>
      </c>
      <c r="D10" s="798" t="n"/>
      <c r="E10" s="1007">
        <f>E8*F5</f>
        <v/>
      </c>
      <c r="F10" s="798" t="n"/>
      <c r="G10" s="1007">
        <f>G8*H5</f>
        <v/>
      </c>
      <c r="H10" s="798" t="n"/>
      <c r="I10" s="1007">
        <f>I8*J5</f>
        <v/>
      </c>
      <c r="J10" s="798" t="n"/>
      <c r="K10" s="1007">
        <f>K8*L5</f>
        <v/>
      </c>
      <c r="L10" s="798" t="n"/>
      <c r="M10" s="1009">
        <f>M8*N5</f>
        <v/>
      </c>
      <c r="N10" s="799" t="n"/>
      <c r="O10" s="814" t="n"/>
      <c r="P10" s="982" t="inlineStr">
        <is>
          <t>합산 기 납입금</t>
        </is>
      </c>
      <c r="Q10" s="798" t="n"/>
      <c r="R10" s="818">
        <f>SUM(B10:N10)</f>
        <v/>
      </c>
    </row>
    <row r="11" ht="15" customHeight="1" s="797">
      <c r="A11" s="632" t="inlineStr">
        <is>
          <t>미 납입금</t>
        </is>
      </c>
      <c r="B11" s="811" t="n"/>
      <c r="C11" s="1007">
        <f>C9-C10</f>
        <v/>
      </c>
      <c r="D11" s="798" t="n"/>
      <c r="E11" s="1007">
        <f>E9-E10</f>
        <v/>
      </c>
      <c r="F11" s="798" t="n"/>
      <c r="G11" s="1007">
        <f>G9-G10</f>
        <v/>
      </c>
      <c r="H11" s="798" t="n"/>
      <c r="I11" s="1007">
        <f>I9-I10</f>
        <v/>
      </c>
      <c r="J11" s="798" t="n"/>
      <c r="K11" s="1007">
        <f>K9-K10</f>
        <v/>
      </c>
      <c r="L11" s="798" t="n"/>
      <c r="M11" s="1009">
        <f>M9-M10</f>
        <v/>
      </c>
      <c r="N11" s="799" t="n"/>
      <c r="O11" s="814" t="n"/>
      <c r="P11" s="983" t="inlineStr">
        <is>
          <t>합산 미 납입금</t>
        </is>
      </c>
      <c r="Q11" s="954" t="n"/>
      <c r="R11" s="818">
        <f>SUM(B11:N11)</f>
        <v/>
      </c>
    </row>
    <row r="12" ht="15" customHeight="1" s="797">
      <c r="A12" s="1158" t="inlineStr">
        <is>
          <t>실비
(갱신형)</t>
        </is>
      </c>
      <c r="B12" s="139" t="inlineStr">
        <is>
          <t>질병입원의료비</t>
        </is>
      </c>
      <c r="C12" s="1015" t="n"/>
      <c r="D12" s="1012" t="n"/>
      <c r="E12" s="1010" t="n">
        <v>50000000</v>
      </c>
      <c r="F12" s="1012" t="inlineStr">
        <is>
          <t>1년갱신</t>
        </is>
      </c>
      <c r="G12" s="1010" t="n"/>
      <c r="H12" s="1014" t="n"/>
      <c r="I12" s="1010" t="n"/>
      <c r="J12" s="1014" t="n"/>
      <c r="K12" s="1010" t="n"/>
      <c r="L12" s="1109" t="n"/>
      <c r="M12" s="1010" t="n"/>
      <c r="N12" s="1016" t="n"/>
      <c r="O12" s="830" t="n"/>
      <c r="P12" s="1159" t="inlineStr">
        <is>
          <t>실비
(갱신형)</t>
        </is>
      </c>
      <c r="Q12" s="54" t="inlineStr">
        <is>
          <t>상해급여의료비</t>
        </is>
      </c>
      <c r="R12" s="831">
        <f>C12+E12+G12+I12+K12+M12</f>
        <v/>
      </c>
    </row>
    <row r="13" ht="15" customHeight="1" s="797">
      <c r="A13" s="832" t="n"/>
      <c r="B13" s="140" t="inlineStr">
        <is>
          <t>질병통원의료비</t>
        </is>
      </c>
      <c r="C13" s="1022" t="n"/>
      <c r="D13" s="1019" t="n"/>
      <c r="E13" s="1017" t="n">
        <v>200000</v>
      </c>
      <c r="F13" s="1019" t="inlineStr">
        <is>
          <t>1년갱신</t>
        </is>
      </c>
      <c r="G13" s="1017" t="n"/>
      <c r="H13" s="1021" t="n"/>
      <c r="I13" s="1017" t="n"/>
      <c r="J13" s="1021" t="n"/>
      <c r="K13" s="1017" t="n"/>
      <c r="L13" s="1112" t="n"/>
      <c r="M13" s="1017" t="n"/>
      <c r="N13" s="1023" t="n"/>
      <c r="O13" s="830" t="n"/>
      <c r="P13" s="832" t="n"/>
      <c r="Q13" s="55" t="inlineStr">
        <is>
          <t>질병급여의료비</t>
        </is>
      </c>
      <c r="R13" s="840">
        <f>C13+E13+G13+I13+K13+M13</f>
        <v/>
      </c>
    </row>
    <row r="14" ht="15" customHeight="1" s="797">
      <c r="A14" s="832" t="n"/>
      <c r="B14" s="140" t="inlineStr">
        <is>
          <t>상해입원의료비</t>
        </is>
      </c>
      <c r="C14" s="1022" t="n"/>
      <c r="D14" s="1019" t="n"/>
      <c r="E14" s="1022" t="n">
        <v>50000000</v>
      </c>
      <c r="F14" s="1019" t="inlineStr">
        <is>
          <t>1년갱신</t>
        </is>
      </c>
      <c r="G14" s="1017" t="n"/>
      <c r="H14" s="1021" t="n"/>
      <c r="I14" s="1017" t="n"/>
      <c r="J14" s="1021" t="n"/>
      <c r="K14" s="1017" t="n"/>
      <c r="L14" s="1112" t="n"/>
      <c r="M14" s="1017" t="n"/>
      <c r="N14" s="1023" t="n"/>
      <c r="O14" s="830" t="n"/>
      <c r="P14" s="832" t="n"/>
      <c r="Q14" s="55" t="inlineStr">
        <is>
          <t>상해비급여의료비</t>
        </is>
      </c>
      <c r="R14" s="840">
        <f>C14+E14+G14+I14+K14+M14</f>
        <v/>
      </c>
    </row>
    <row r="15" ht="15" customHeight="1" s="797">
      <c r="A15" s="832" t="n"/>
      <c r="B15" s="140" t="inlineStr">
        <is>
          <t>상해통원의료비</t>
        </is>
      </c>
      <c r="C15" s="1022" t="n"/>
      <c r="D15" s="1019" t="n"/>
      <c r="E15" s="1022" t="n">
        <v>200000</v>
      </c>
      <c r="F15" s="1019" t="inlineStr">
        <is>
          <t>1년갱신</t>
        </is>
      </c>
      <c r="G15" s="1017" t="n"/>
      <c r="H15" s="1021" t="n"/>
      <c r="I15" s="1017" t="n"/>
      <c r="J15" s="1021" t="n"/>
      <c r="K15" s="1017" t="n"/>
      <c r="L15" s="1112" t="n"/>
      <c r="M15" s="1017" t="n"/>
      <c r="N15" s="1023" t="n"/>
      <c r="O15" s="830" t="n"/>
      <c r="P15" s="832" t="n"/>
      <c r="Q15" s="55" t="inlineStr">
        <is>
          <t>질병비급여의료비</t>
        </is>
      </c>
      <c r="R15" s="840">
        <f>C15+E15+G15+I15+K15+M15</f>
        <v/>
      </c>
    </row>
    <row r="16" ht="15" customHeight="1" s="797">
      <c r="A16" s="841" t="n"/>
      <c r="B16" s="141" t="inlineStr">
        <is>
          <t>3대비급여 의료비</t>
        </is>
      </c>
      <c r="C16" s="1027" t="n"/>
      <c r="D16" s="1029" t="n"/>
      <c r="E16" s="1027" t="n">
        <v>3500000</v>
      </c>
      <c r="F16" s="1026" t="inlineStr">
        <is>
          <t>1년갱신</t>
        </is>
      </c>
      <c r="G16" s="1024" t="n"/>
      <c r="H16" s="1029" t="n"/>
      <c r="I16" s="1024" t="n"/>
      <c r="J16" s="1029" t="n"/>
      <c r="K16" s="1024" t="n"/>
      <c r="L16" s="1115" t="n"/>
      <c r="M16" s="1024" t="n"/>
      <c r="N16" s="1030" t="n"/>
      <c r="O16" s="830" t="n"/>
      <c r="P16" s="841" t="n"/>
      <c r="Q16" s="56" t="inlineStr">
        <is>
          <t>3대비급여 의료비</t>
        </is>
      </c>
      <c r="R16" s="1031">
        <f>C16+E16+G16+I16+K16+M16</f>
        <v/>
      </c>
    </row>
    <row r="17" ht="15" customHeight="1" s="797">
      <c r="A17" s="626" t="inlineStr">
        <is>
          <t>암</t>
        </is>
      </c>
      <c r="B17" s="142" t="inlineStr">
        <is>
          <t>일반암</t>
        </is>
      </c>
      <c r="C17" s="1010" t="n">
        <v>50000000</v>
      </c>
      <c r="D17" s="1014" t="inlineStr">
        <is>
          <t>100세</t>
        </is>
      </c>
      <c r="E17" s="1010" t="n"/>
      <c r="F17" s="1160" t="n"/>
      <c r="G17" s="1010" t="n"/>
      <c r="H17" s="1014" t="n"/>
      <c r="I17" s="1010" t="n"/>
      <c r="J17" s="1014" t="n"/>
      <c r="K17" s="1010" t="n"/>
      <c r="L17" s="1208" t="n"/>
      <c r="M17" s="1010" t="n"/>
      <c r="N17" s="1227" t="n"/>
      <c r="O17" s="830" t="n"/>
      <c r="P17" s="772">
        <f>A17</f>
        <v/>
      </c>
      <c r="Q17" s="87" t="inlineStr">
        <is>
          <t>일반암</t>
        </is>
      </c>
      <c r="R17" s="831">
        <f>C17+E17+G17+I17+K17+M17</f>
        <v/>
      </c>
    </row>
    <row r="18" ht="15" customHeight="1" s="797">
      <c r="A18" s="832" t="n"/>
      <c r="B18" s="143" t="inlineStr">
        <is>
          <t>소액암</t>
        </is>
      </c>
      <c r="C18" s="1079" t="n">
        <v>20000000</v>
      </c>
      <c r="D18" s="1039" t="inlineStr">
        <is>
          <t>100세</t>
        </is>
      </c>
      <c r="E18" s="1017" t="n"/>
      <c r="F18" s="1161" t="n"/>
      <c r="G18" s="1017" t="n"/>
      <c r="H18" s="1039" t="n"/>
      <c r="I18" s="1017" t="n"/>
      <c r="J18" s="1039" t="n"/>
      <c r="K18" s="1038" t="n"/>
      <c r="L18" s="1228" t="n"/>
      <c r="M18" s="1038" t="n"/>
      <c r="N18" s="1229" t="n"/>
      <c r="O18" s="830" t="n"/>
      <c r="P18" s="832" t="n"/>
      <c r="Q18" s="88" t="inlineStr">
        <is>
          <t>소액암</t>
        </is>
      </c>
      <c r="R18" s="840">
        <f>C18+E18+G18+I18+K18+M18</f>
        <v/>
      </c>
    </row>
    <row r="19" ht="15" customHeight="1" s="797">
      <c r="A19" s="832" t="n"/>
      <c r="B19" s="143" t="inlineStr">
        <is>
          <t>암수술비</t>
        </is>
      </c>
      <c r="C19" s="1079" t="n"/>
      <c r="D19" s="1039" t="n"/>
      <c r="E19" s="1038" t="n"/>
      <c r="F19" s="1039" t="n"/>
      <c r="G19" s="1017" t="n"/>
      <c r="H19" s="1039" t="n"/>
      <c r="I19" s="1038" t="n"/>
      <c r="J19" s="1039" t="n"/>
      <c r="K19" s="1038" t="n"/>
      <c r="L19" s="1118" t="n"/>
      <c r="M19" s="1038" t="n"/>
      <c r="N19" s="1040" t="n"/>
      <c r="O19" s="830" t="n"/>
      <c r="P19" s="832" t="n"/>
      <c r="Q19" s="88" t="inlineStr">
        <is>
          <t>암수술비</t>
        </is>
      </c>
      <c r="R19" s="840">
        <f>C19+E19+G19+I19+K19+M19</f>
        <v/>
      </c>
    </row>
    <row r="20" ht="15" customHeight="1" s="797">
      <c r="A20" s="832" t="n"/>
      <c r="B20" s="143" t="inlineStr">
        <is>
          <t>항암치료비</t>
        </is>
      </c>
      <c r="C20" s="1079" t="n"/>
      <c r="D20" s="1039" t="n"/>
      <c r="E20" s="1017" t="n"/>
      <c r="F20" s="1039" t="n"/>
      <c r="G20" s="1017" t="n"/>
      <c r="H20" s="1039" t="n"/>
      <c r="I20" s="1079" t="n"/>
      <c r="J20" s="1039" t="n"/>
      <c r="K20" s="1038" t="n"/>
      <c r="L20" s="1118" t="n"/>
      <c r="M20" s="1038" t="n"/>
      <c r="N20" s="1040" t="n"/>
      <c r="O20" s="830" t="n"/>
      <c r="P20" s="832" t="n"/>
      <c r="Q20" s="88" t="inlineStr">
        <is>
          <t>항암치료비</t>
        </is>
      </c>
      <c r="R20" s="840">
        <f>C20+E20+G20+I20+K20+M20</f>
        <v/>
      </c>
    </row>
    <row r="21" ht="15" customHeight="1" s="797">
      <c r="A21" s="832" t="n"/>
      <c r="B21" s="144" t="inlineStr">
        <is>
          <t>암입원비</t>
        </is>
      </c>
      <c r="C21" s="1027" t="n"/>
      <c r="D21" s="1029" t="n"/>
      <c r="E21" s="1024" t="n"/>
      <c r="F21" s="1039" t="n"/>
      <c r="G21" s="1024" t="n"/>
      <c r="H21" s="1039" t="n"/>
      <c r="I21" s="1024" t="n"/>
      <c r="J21" s="1039" t="n"/>
      <c r="K21" s="1038" t="n"/>
      <c r="L21" s="1118" t="n"/>
      <c r="M21" s="1038" t="n"/>
      <c r="N21" s="1040" t="n"/>
      <c r="O21" s="830" t="n"/>
      <c r="P21" s="832" t="n"/>
      <c r="Q21" s="89" t="inlineStr">
        <is>
          <t>암입원비</t>
        </is>
      </c>
      <c r="R21" s="1031">
        <f>C21+E21+G21+I21+K21+M21</f>
        <v/>
      </c>
    </row>
    <row r="22" ht="15" customHeight="1" s="797">
      <c r="A22" s="721" t="inlineStr">
        <is>
          <t>2대
질병</t>
        </is>
      </c>
      <c r="B22" s="145" t="inlineStr">
        <is>
          <t>뇌혈관</t>
        </is>
      </c>
      <c r="C22" s="1022" t="n">
        <v>20000000</v>
      </c>
      <c r="D22" s="1014" t="inlineStr">
        <is>
          <t>100세</t>
        </is>
      </c>
      <c r="E22" s="1017" t="n"/>
      <c r="F22" s="1014" t="n"/>
      <c r="G22" s="1017" t="n"/>
      <c r="H22" s="1014" t="n"/>
      <c r="I22" s="1010" t="n"/>
      <c r="J22" s="1014" t="n"/>
      <c r="K22" s="1010" t="n"/>
      <c r="L22" s="1109" t="n"/>
      <c r="M22" s="1010" t="n"/>
      <c r="N22" s="1016" t="n"/>
      <c r="O22" s="830" t="n"/>
      <c r="P22" s="760">
        <f>A22</f>
        <v/>
      </c>
      <c r="Q22" s="90" t="inlineStr">
        <is>
          <t>뇌혈관</t>
        </is>
      </c>
      <c r="R22" s="831">
        <f>C22+E22+G22+I22+K22+M22</f>
        <v/>
      </c>
    </row>
    <row r="23" ht="15" customHeight="1" s="797">
      <c r="A23" s="832" t="n"/>
      <c r="B23" s="146" t="inlineStr">
        <is>
          <t>뇌졸증</t>
        </is>
      </c>
      <c r="C23" s="1079" t="n"/>
      <c r="D23" s="1039" t="n"/>
      <c r="E23" s="1038" t="n"/>
      <c r="F23" s="1039" t="n"/>
      <c r="G23" s="1017" t="n"/>
      <c r="H23" s="1039" t="n"/>
      <c r="I23" s="1038" t="n"/>
      <c r="J23" s="1039" t="n"/>
      <c r="K23" s="1017" t="n"/>
      <c r="L23" s="1118" t="n"/>
      <c r="M23" s="1038" t="n"/>
      <c r="N23" s="1040" t="n"/>
      <c r="O23" s="830" t="n"/>
      <c r="P23" s="832" t="n"/>
      <c r="Q23" s="91" t="inlineStr">
        <is>
          <t>뇌졸증</t>
        </is>
      </c>
      <c r="R23" s="840">
        <f>C23+E23+G23+I23+K23+M23</f>
        <v/>
      </c>
    </row>
    <row r="24" ht="15" customHeight="1" s="797">
      <c r="A24" s="832" t="n"/>
      <c r="B24" s="147" t="inlineStr">
        <is>
          <t>뇌출혈</t>
        </is>
      </c>
      <c r="C24" s="1054" t="n"/>
      <c r="D24" s="1122" t="n"/>
      <c r="E24" s="1044" t="n"/>
      <c r="F24" s="1122" t="n"/>
      <c r="G24" s="1044" t="n"/>
      <c r="H24" s="1164" t="n"/>
      <c r="I24" s="1044" t="n"/>
      <c r="J24" s="1122" t="n"/>
      <c r="K24" s="1044" t="n"/>
      <c r="L24" s="1123" t="n"/>
      <c r="M24" s="1044" t="n"/>
      <c r="N24" s="1230" t="n"/>
      <c r="O24" s="830" t="n"/>
      <c r="P24" s="832" t="n"/>
      <c r="Q24" s="92" t="inlineStr">
        <is>
          <t>뇌출혈</t>
        </is>
      </c>
      <c r="R24" s="849">
        <f>C24+E24+G24+I24+K24+M24</f>
        <v/>
      </c>
    </row>
    <row r="25" ht="15" customHeight="1" s="797">
      <c r="A25" s="832" t="n"/>
      <c r="B25" s="148" t="inlineStr">
        <is>
          <t>심장질환</t>
        </is>
      </c>
      <c r="C25" s="1015" t="n">
        <v>10000000</v>
      </c>
      <c r="D25" s="1014" t="inlineStr">
        <is>
          <t>100세</t>
        </is>
      </c>
      <c r="E25" s="1010" t="n"/>
      <c r="F25" s="1014" t="n"/>
      <c r="G25" s="1010" t="n"/>
      <c r="H25" s="1014" t="n"/>
      <c r="I25" s="1010" t="n"/>
      <c r="J25" s="1014" t="n"/>
      <c r="K25" s="1010" t="n"/>
      <c r="L25" s="1109" t="n"/>
      <c r="M25" s="1010" t="n"/>
      <c r="N25" s="1016" t="n"/>
      <c r="O25" s="830" t="n"/>
      <c r="P25" s="832" t="n"/>
      <c r="Q25" s="93" t="inlineStr">
        <is>
          <t>심장질환</t>
        </is>
      </c>
      <c r="R25" s="831">
        <f>C25+E25+G25+I25+K25+M25</f>
        <v/>
      </c>
    </row>
    <row r="26" ht="15" customHeight="1" s="797">
      <c r="A26" s="832" t="n"/>
      <c r="B26" s="149" t="inlineStr">
        <is>
          <t>허혈성심장</t>
        </is>
      </c>
      <c r="C26" s="1022" t="n">
        <v>10000000</v>
      </c>
      <c r="D26" s="1039" t="inlineStr">
        <is>
          <t>100세</t>
        </is>
      </c>
      <c r="E26" s="1017" t="n"/>
      <c r="F26" s="1039" t="n"/>
      <c r="G26" s="1017" t="n"/>
      <c r="H26" s="1039" t="n"/>
      <c r="I26" s="1017" t="n"/>
      <c r="J26" s="1039" t="n"/>
      <c r="K26" s="1017" t="n"/>
      <c r="L26" s="1118" t="n"/>
      <c r="M26" s="1038" t="n"/>
      <c r="N26" s="1040" t="n"/>
      <c r="O26" s="830" t="n"/>
      <c r="P26" s="832" t="n"/>
      <c r="Q26" s="94" t="inlineStr">
        <is>
          <t>허혈성심장</t>
        </is>
      </c>
      <c r="R26" s="840">
        <f>C26+E26+G26+I26+K26+M26</f>
        <v/>
      </c>
    </row>
    <row r="27" ht="15" customHeight="1" s="797">
      <c r="A27" s="832" t="n"/>
      <c r="B27" s="150" t="inlineStr">
        <is>
          <t>급성심근경색</t>
        </is>
      </c>
      <c r="C27" s="1027" t="n"/>
      <c r="D27" s="1029" t="n"/>
      <c r="E27" s="1024" t="n"/>
      <c r="F27" s="1029" t="n"/>
      <c r="G27" s="1024" t="n"/>
      <c r="H27" s="1166" t="n"/>
      <c r="I27" s="1024" t="n"/>
      <c r="J27" s="1029" t="n"/>
      <c r="K27" s="1024" t="n"/>
      <c r="L27" s="1115" t="n"/>
      <c r="M27" s="1024" t="n"/>
      <c r="N27" s="1030" t="n"/>
      <c r="O27" s="830" t="n"/>
      <c r="P27" s="832" t="n"/>
      <c r="Q27" s="95" t="inlineStr">
        <is>
          <t>급성심근경색</t>
        </is>
      </c>
      <c r="R27" s="1031">
        <f>C27+E27+G27+I27+K27+M27</f>
        <v/>
      </c>
    </row>
    <row r="28" ht="15" customHeight="1" s="797">
      <c r="A28" s="832" t="n"/>
      <c r="B28" s="151" t="inlineStr">
        <is>
          <t>뇌,심장 수술비</t>
        </is>
      </c>
      <c r="C28" s="1078" t="n">
        <v>10000000</v>
      </c>
      <c r="D28" s="1142" t="inlineStr">
        <is>
          <t>100세</t>
        </is>
      </c>
      <c r="E28" s="1075" t="n"/>
      <c r="F28" s="1142" t="n"/>
      <c r="G28" s="1075" t="n"/>
      <c r="H28" s="1142" t="n"/>
      <c r="I28" s="1075" t="n"/>
      <c r="J28" s="1142" t="n"/>
      <c r="K28" s="1075" t="n"/>
      <c r="L28" s="1143" t="n"/>
      <c r="M28" s="1075" t="n"/>
      <c r="N28" s="1231" t="n"/>
      <c r="O28" s="830" t="n"/>
      <c r="P28" s="832" t="n"/>
      <c r="Q28" s="57" t="inlineStr">
        <is>
          <t>뇌,심장 수술비</t>
        </is>
      </c>
      <c r="R28" s="927">
        <f>C28+E28+G28+I28+K28+M28</f>
        <v/>
      </c>
    </row>
    <row r="29" ht="15" customHeight="1" s="797">
      <c r="A29" s="1132" t="inlineStr">
        <is>
          <t>후유장해</t>
        </is>
      </c>
      <c r="B29" s="152" t="inlineStr">
        <is>
          <t>질병 80% 이상</t>
        </is>
      </c>
      <c r="C29" s="1015" t="n">
        <v>20000000</v>
      </c>
      <c r="D29" s="1014" t="inlineStr">
        <is>
          <t>100세</t>
        </is>
      </c>
      <c r="E29" s="1010" t="n"/>
      <c r="F29" s="1014" t="n"/>
      <c r="G29" s="1010" t="n"/>
      <c r="H29" s="1014" t="n"/>
      <c r="I29" s="1010" t="n"/>
      <c r="J29" s="1014" t="n"/>
      <c r="K29" s="1010" t="n"/>
      <c r="L29" s="1109" t="n"/>
      <c r="M29" s="1010" t="n"/>
      <c r="N29" s="1016" t="n"/>
      <c r="O29" s="830" t="n"/>
      <c r="P29" s="1169">
        <f>A29</f>
        <v/>
      </c>
      <c r="Q29" s="96" t="inlineStr">
        <is>
          <t>질병 80% 이상</t>
        </is>
      </c>
      <c r="R29" s="831">
        <f>C29+E29+G29+I29+K29+M29</f>
        <v/>
      </c>
    </row>
    <row r="30" ht="15" customHeight="1" s="797">
      <c r="A30" s="832" t="n"/>
      <c r="B30" s="153" t="inlineStr">
        <is>
          <t>질병 80% 미만</t>
        </is>
      </c>
      <c r="C30" s="1022" t="n">
        <v>20000000</v>
      </c>
      <c r="D30" s="1021" t="inlineStr">
        <is>
          <t>100세</t>
        </is>
      </c>
      <c r="E30" s="1017" t="n"/>
      <c r="F30" s="1039" t="n"/>
      <c r="G30" s="1017" t="n"/>
      <c r="H30" s="1021" t="n"/>
      <c r="I30" s="1017" t="n"/>
      <c r="J30" s="1021" t="n"/>
      <c r="K30" s="1017" t="n"/>
      <c r="L30" s="1112" t="n"/>
      <c r="M30" s="1017" t="n"/>
      <c r="N30" s="1023" t="n"/>
      <c r="O30" s="830" t="n"/>
      <c r="P30" s="832" t="n"/>
      <c r="Q30" s="97" t="inlineStr">
        <is>
          <t>질병 80% 미만</t>
        </is>
      </c>
      <c r="R30" s="840">
        <f>C30+E30+G30+I30+K30+M30</f>
        <v/>
      </c>
    </row>
    <row r="31" ht="15" customHeight="1" s="797">
      <c r="A31" s="832" t="n"/>
      <c r="B31" s="153" t="inlineStr">
        <is>
          <t>재해/상해 80% 이상</t>
        </is>
      </c>
      <c r="C31" s="1022" t="n">
        <v>20000000</v>
      </c>
      <c r="D31" s="1021" t="inlineStr">
        <is>
          <t>100세</t>
        </is>
      </c>
      <c r="E31" s="1017" t="n"/>
      <c r="F31" s="4" t="n"/>
      <c r="G31" s="1017" t="n"/>
      <c r="H31" s="1021" t="n"/>
      <c r="I31" s="1017" t="n"/>
      <c r="J31" s="1021" t="n"/>
      <c r="K31" s="1017" t="n"/>
      <c r="L31" s="1112" t="n"/>
      <c r="M31" s="1017" t="n"/>
      <c r="N31" s="1023" t="n"/>
      <c r="O31" s="830" t="n"/>
      <c r="P31" s="832" t="n"/>
      <c r="Q31" s="97" t="inlineStr">
        <is>
          <t>재해/상해 80% 이상</t>
        </is>
      </c>
      <c r="R31" s="840">
        <f>C31+E31+G31+I31+K31+M31</f>
        <v/>
      </c>
    </row>
    <row r="32" ht="15" customHeight="1" s="797">
      <c r="A32" s="841" t="n"/>
      <c r="B32" s="154" t="inlineStr">
        <is>
          <t>재해/상해 80% 미만</t>
        </is>
      </c>
      <c r="C32" s="1027" t="n">
        <v>20000000</v>
      </c>
      <c r="D32" s="1029" t="inlineStr">
        <is>
          <t>100세</t>
        </is>
      </c>
      <c r="E32" s="1024" t="n"/>
      <c r="F32" s="1029" t="n"/>
      <c r="G32" s="1017" t="n"/>
      <c r="H32" s="1029" t="n"/>
      <c r="I32" s="1024" t="n"/>
      <c r="J32" s="1029" t="n"/>
      <c r="K32" s="1024" t="n"/>
      <c r="L32" s="1115" t="n"/>
      <c r="M32" s="1024" t="n"/>
      <c r="N32" s="1030" t="n"/>
      <c r="O32" s="830" t="n"/>
      <c r="P32" s="841" t="n"/>
      <c r="Q32" s="98" t="inlineStr">
        <is>
          <t>재해/상해 80% 미만</t>
        </is>
      </c>
      <c r="R32" s="1031">
        <f>C32+E32+G32+I32+K32+M32</f>
        <v/>
      </c>
    </row>
    <row r="33" ht="15" customHeight="1" s="797">
      <c r="A33" s="1133" t="inlineStr">
        <is>
          <t>사망</t>
        </is>
      </c>
      <c r="B33" s="155" t="inlineStr">
        <is>
          <t>일반</t>
        </is>
      </c>
      <c r="C33" s="1015" t="n"/>
      <c r="D33" s="1014" t="n"/>
      <c r="E33" s="1015" t="n"/>
      <c r="F33" s="1014" t="n"/>
      <c r="G33" s="1010" t="n"/>
      <c r="H33" s="1014" t="n"/>
      <c r="I33" s="1010" t="n"/>
      <c r="J33" s="1014" t="n"/>
      <c r="K33" s="1010" t="n"/>
      <c r="L33" s="1109" t="n"/>
      <c r="M33" s="1038" t="n"/>
      <c r="N33" s="1040" t="n"/>
      <c r="O33" s="830" t="n"/>
      <c r="P33" s="1171" t="inlineStr">
        <is>
          <t>사망</t>
        </is>
      </c>
      <c r="Q33" s="99" t="inlineStr">
        <is>
          <t>일반</t>
        </is>
      </c>
      <c r="R33" s="831">
        <f>C33+E33+G33+I33+K33+M33</f>
        <v/>
      </c>
    </row>
    <row r="34" ht="15" customHeight="1" s="797">
      <c r="A34" s="832" t="n"/>
      <c r="B34" s="156" t="inlineStr">
        <is>
          <t>질병</t>
        </is>
      </c>
      <c r="C34" s="1022" t="n"/>
      <c r="D34" s="1021" t="n"/>
      <c r="E34" s="1017" t="n"/>
      <c r="F34" s="1021" t="n"/>
      <c r="G34" s="1017" t="n"/>
      <c r="H34" s="1021" t="n"/>
      <c r="I34" s="1017" t="n"/>
      <c r="J34" s="1021" t="n"/>
      <c r="K34" s="1017" t="n"/>
      <c r="L34" s="1112" t="n"/>
      <c r="M34" s="1017" t="n"/>
      <c r="N34" s="1023" t="n"/>
      <c r="O34" s="830" t="n"/>
      <c r="P34" s="832" t="n"/>
      <c r="Q34" s="100" t="inlineStr">
        <is>
          <t>질병</t>
        </is>
      </c>
      <c r="R34" s="840">
        <f>C34+E34+G34+I34+K34+M34</f>
        <v/>
      </c>
    </row>
    <row r="35" ht="15" customHeight="1" s="797">
      <c r="A35" s="841" t="n"/>
      <c r="B35" s="157" t="inlineStr">
        <is>
          <t>재해/상해</t>
        </is>
      </c>
      <c r="C35" s="1079" t="n">
        <v>30000000</v>
      </c>
      <c r="D35" s="1039" t="inlineStr">
        <is>
          <t>100세</t>
        </is>
      </c>
      <c r="E35" s="1024" t="n"/>
      <c r="F35" s="1029" t="n"/>
      <c r="G35" s="1024" t="n"/>
      <c r="H35" s="1029" t="n"/>
      <c r="I35" s="1024" t="n"/>
      <c r="J35" s="1029" t="n"/>
      <c r="K35" s="1024" t="n"/>
      <c r="L35" s="1115" t="n"/>
      <c r="M35" s="1024" t="n"/>
      <c r="N35" s="1030" t="n"/>
      <c r="O35" s="830" t="n"/>
      <c r="P35" s="841" t="n"/>
      <c r="Q35" s="101" t="inlineStr">
        <is>
          <t>상해</t>
        </is>
      </c>
      <c r="R35" s="1031">
        <f>C35+E35+G35+I35+K35+M35</f>
        <v/>
      </c>
      <c r="S35" s="2" t="n"/>
    </row>
    <row r="36" ht="15" customHeight="1" s="797">
      <c r="A36" s="746" t="inlineStr">
        <is>
          <t>수술비</t>
        </is>
      </c>
      <c r="B36" s="158" t="inlineStr">
        <is>
          <t>질병</t>
        </is>
      </c>
      <c r="C36" s="1015" t="n">
        <v>400000</v>
      </c>
      <c r="D36" s="1014" t="inlineStr">
        <is>
          <t>100세</t>
        </is>
      </c>
      <c r="E36" s="1015" t="n"/>
      <c r="F36" s="1014" t="n"/>
      <c r="G36" s="1015" t="n"/>
      <c r="H36" s="1014" t="n"/>
      <c r="I36" s="1038" t="n"/>
      <c r="J36" s="1039" t="n"/>
      <c r="K36" s="1038" t="n"/>
      <c r="L36" s="1118" t="n"/>
      <c r="M36" s="1010" t="n"/>
      <c r="N36" s="1016" t="n"/>
      <c r="O36" s="830" t="n"/>
      <c r="P36" s="779" t="inlineStr">
        <is>
          <t>수술비</t>
        </is>
      </c>
      <c r="Q36" s="58" t="inlineStr">
        <is>
          <t>질병</t>
        </is>
      </c>
      <c r="R36" s="831">
        <f>C36+E36+G36+I36+K36+M36</f>
        <v/>
      </c>
    </row>
    <row r="37" ht="15" customHeight="1" s="797">
      <c r="A37" s="832" t="n"/>
      <c r="B37" s="158" t="inlineStr">
        <is>
          <t>상해</t>
        </is>
      </c>
      <c r="C37" s="1022" t="n">
        <v>10000000</v>
      </c>
      <c r="D37" s="1021" t="inlineStr">
        <is>
          <t>100세</t>
        </is>
      </c>
      <c r="E37" s="1022" t="n"/>
      <c r="F37" s="1021" t="n"/>
      <c r="G37" s="1022" t="n"/>
      <c r="H37" s="1021" t="n"/>
      <c r="I37" s="1038" t="n"/>
      <c r="J37" s="1039" t="n"/>
      <c r="K37" s="1038" t="n"/>
      <c r="L37" s="1118" t="n"/>
      <c r="M37" s="1017" t="n"/>
      <c r="N37" s="1023" t="n"/>
      <c r="O37" s="830" t="n"/>
      <c r="P37" s="832" t="n"/>
      <c r="Q37" s="58" t="inlineStr">
        <is>
          <t>상해</t>
        </is>
      </c>
      <c r="R37" s="881">
        <f>C37+E37+G37+I37+K37+M37</f>
        <v/>
      </c>
    </row>
    <row r="38" ht="15" customHeight="1" s="797">
      <c r="A38" s="832" t="n"/>
      <c r="B38" s="158" t="inlineStr">
        <is>
          <t>1~5종</t>
        </is>
      </c>
      <c r="C38" s="1022" t="n">
        <v>2000000</v>
      </c>
      <c r="D38" s="1182" t="inlineStr">
        <is>
          <t>100세</t>
        </is>
      </c>
      <c r="E38" s="1017" t="n"/>
      <c r="F38" s="1039" t="n"/>
      <c r="G38" s="1017" t="n"/>
      <c r="H38" s="1039" t="n"/>
      <c r="I38" s="1017" t="n"/>
      <c r="J38" s="1161" t="n"/>
      <c r="K38" s="1038" t="n"/>
      <c r="L38" s="1118" t="n"/>
      <c r="M38" s="1017" t="n"/>
      <c r="N38" s="1023" t="n"/>
      <c r="O38" s="830" t="n"/>
      <c r="P38" s="832" t="n"/>
      <c r="Q38" s="58" t="inlineStr">
        <is>
          <t>1~5종</t>
        </is>
      </c>
      <c r="R38" s="840">
        <f>C38+E38+G38+I38+K38+M38</f>
        <v/>
      </c>
    </row>
    <row r="39" ht="15" customHeight="1" s="797">
      <c r="A39" s="832" t="n"/>
      <c r="B39" s="159" t="inlineStr">
        <is>
          <t>64대 이상</t>
        </is>
      </c>
      <c r="C39" s="1045" t="n"/>
      <c r="D39" s="1136" t="n"/>
      <c r="F39" s="1136" t="n"/>
      <c r="G39" s="1043" t="n"/>
      <c r="H39" s="1136" t="n"/>
      <c r="I39" s="1044" t="n"/>
      <c r="J39" s="1136" t="n"/>
      <c r="K39" s="1044" t="n"/>
      <c r="L39" s="1137" t="n"/>
      <c r="M39" s="1043" t="n"/>
      <c r="N39" s="1232" t="n"/>
      <c r="O39" s="830" t="n"/>
      <c r="P39" s="832" t="n"/>
      <c r="Q39" s="59" t="inlineStr">
        <is>
          <t>64대 이상</t>
        </is>
      </c>
      <c r="R39" s="1031">
        <f>C39+E39+G39+I39+K39+M39</f>
        <v/>
      </c>
    </row>
    <row r="40" ht="15" customHeight="1" s="797">
      <c r="A40" s="748" t="inlineStr">
        <is>
          <t>진단비</t>
        </is>
      </c>
      <c r="B40" s="160" t="inlineStr">
        <is>
          <t>골절</t>
        </is>
      </c>
      <c r="C40" s="1010" t="n"/>
      <c r="D40" s="1014" t="n"/>
      <c r="E40" s="1010" t="n"/>
      <c r="F40" s="1014" t="n"/>
      <c r="G40" s="1010" t="n"/>
      <c r="H40" s="1014" t="n"/>
      <c r="I40" s="1010" t="n"/>
      <c r="J40" s="1160" t="n"/>
      <c r="K40" s="1010" t="n"/>
      <c r="L40" s="1109" t="n"/>
      <c r="M40" s="1010" t="n"/>
      <c r="N40" s="1016" t="n"/>
      <c r="O40" s="830" t="n"/>
      <c r="P40" s="782" t="inlineStr">
        <is>
          <t>진단비</t>
        </is>
      </c>
      <c r="Q40" s="102" t="inlineStr">
        <is>
          <t>골절</t>
        </is>
      </c>
      <c r="R40" s="831">
        <f>C40+E40+G40+I40+K40+M40</f>
        <v/>
      </c>
    </row>
    <row r="41" ht="15" customHeight="1" s="797">
      <c r="A41" s="832" t="n"/>
      <c r="B41" s="161" t="inlineStr">
        <is>
          <t>화상</t>
        </is>
      </c>
      <c r="C41" s="1184" t="n"/>
      <c r="D41" s="1029" t="n"/>
      <c r="E41" s="1075" t="n"/>
      <c r="F41" s="1142" t="n"/>
      <c r="G41" s="1075" t="n"/>
      <c r="H41" s="1142" t="n"/>
      <c r="I41" s="1075" t="n"/>
      <c r="J41" s="1142" t="n"/>
      <c r="K41" s="1075" t="n"/>
      <c r="L41" s="1143" t="n"/>
      <c r="M41" s="1075" t="n"/>
      <c r="N41" s="1231" t="n"/>
      <c r="O41" s="830" t="n"/>
      <c r="P41" s="832" t="n"/>
      <c r="Q41" s="103" t="inlineStr">
        <is>
          <t>화상</t>
        </is>
      </c>
      <c r="R41" s="1031">
        <f>C41+E41+G41+I41+K41+M41</f>
        <v/>
      </c>
    </row>
    <row r="42" ht="15" customHeight="1" s="797">
      <c r="A42" s="1187" t="inlineStr">
        <is>
          <t>입원일당</t>
        </is>
      </c>
      <c r="B42" s="162" t="inlineStr">
        <is>
          <t>질병</t>
        </is>
      </c>
      <c r="C42" s="1015" t="n"/>
      <c r="D42" s="1014" t="n"/>
      <c r="E42" s="1015" t="n"/>
      <c r="F42" s="1014" t="n"/>
      <c r="G42" s="1015" t="n"/>
      <c r="H42" s="1014" t="n"/>
      <c r="I42" s="1015" t="n"/>
      <c r="J42" s="1014" t="n"/>
      <c r="K42" s="1010" t="n"/>
      <c r="L42" s="1109" t="n"/>
      <c r="M42" s="1010" t="n"/>
      <c r="N42" s="1016" t="n"/>
      <c r="O42" s="830" t="n"/>
      <c r="P42" s="1188" t="inlineStr">
        <is>
          <t>입원일당</t>
        </is>
      </c>
      <c r="Q42" s="104" t="inlineStr">
        <is>
          <t>질병</t>
        </is>
      </c>
      <c r="R42" s="831">
        <f>C42+E42+G42+I42+K42+M42</f>
        <v/>
      </c>
    </row>
    <row r="43" ht="15" customHeight="1" s="797">
      <c r="A43" s="841" t="n"/>
      <c r="B43" s="163" t="inlineStr">
        <is>
          <t>재해/상해</t>
        </is>
      </c>
      <c r="C43" s="1027" t="n"/>
      <c r="D43" s="1029" t="n"/>
      <c r="E43" s="1027" t="n"/>
      <c r="F43" s="1029" t="n"/>
      <c r="G43" s="1027" t="n"/>
      <c r="H43" s="1029" t="n"/>
      <c r="I43" s="1027" t="n"/>
      <c r="J43" s="1029" t="n"/>
      <c r="K43" s="1024" t="n"/>
      <c r="L43" s="1115" t="n"/>
      <c r="M43" s="1024" t="n"/>
      <c r="N43" s="1030" t="n"/>
      <c r="O43" s="830" t="n"/>
      <c r="P43" s="841" t="n"/>
      <c r="Q43" s="105" t="inlineStr">
        <is>
          <t>재해/상해</t>
        </is>
      </c>
      <c r="R43" s="1031">
        <f>C43+E43+G43+I43+K43+M43</f>
        <v/>
      </c>
    </row>
    <row r="44" ht="15" customHeight="1" s="797">
      <c r="A44" s="1147" t="inlineStr">
        <is>
          <t>운전자</t>
        </is>
      </c>
      <c r="B44" s="144" t="inlineStr">
        <is>
          <t>벌금</t>
        </is>
      </c>
      <c r="C44" s="1022" t="n"/>
      <c r="D44" s="1014" t="n"/>
      <c r="E44" s="1010" t="n"/>
      <c r="F44" s="1014" t="n"/>
      <c r="G44" s="1010" t="n"/>
      <c r="H44" s="1014" t="n"/>
      <c r="I44" s="1010" t="n"/>
      <c r="J44" s="1014" t="n"/>
      <c r="K44" s="1010" t="n"/>
      <c r="L44" s="1109" t="n"/>
      <c r="M44" s="1010" t="n"/>
      <c r="N44" s="1016" t="n"/>
      <c r="O44" s="830" t="n"/>
      <c r="P44" s="1190" t="inlineStr">
        <is>
          <t>운전자</t>
        </is>
      </c>
      <c r="Q44" s="89" t="inlineStr">
        <is>
          <t>벌금</t>
        </is>
      </c>
      <c r="R44" s="831">
        <f>C44+E44+G44+I44+K44+M44</f>
        <v/>
      </c>
    </row>
    <row r="45" ht="15" customHeight="1" s="797">
      <c r="A45" s="832" t="n"/>
      <c r="B45" s="144" t="inlineStr">
        <is>
          <t>변호사선임</t>
        </is>
      </c>
      <c r="C45" s="1022" t="n"/>
      <c r="D45" s="1021" t="n"/>
      <c r="E45" s="1017" t="n"/>
      <c r="F45" s="1021" t="n"/>
      <c r="G45" s="1017" t="n"/>
      <c r="H45" s="1021" t="n"/>
      <c r="I45" s="1017" t="n"/>
      <c r="J45" s="1021" t="n"/>
      <c r="K45" s="1017" t="n"/>
      <c r="L45" s="1112" t="n"/>
      <c r="M45" s="1017" t="n"/>
      <c r="N45" s="1023" t="n"/>
      <c r="O45" s="830" t="n"/>
      <c r="P45" s="832" t="n"/>
      <c r="Q45" s="89" t="inlineStr">
        <is>
          <t>변호사선임</t>
        </is>
      </c>
      <c r="R45" s="840">
        <f>C45+E45+G45+I45+K45+M45</f>
        <v/>
      </c>
    </row>
    <row r="46" ht="15" customHeight="1" s="797">
      <c r="A46" s="841" t="n"/>
      <c r="B46" s="164" t="inlineStr">
        <is>
          <t>교통사고처리지원</t>
        </is>
      </c>
      <c r="C46" s="1022" t="n"/>
      <c r="D46" s="1021" t="n"/>
      <c r="E46" s="1038" t="n"/>
      <c r="F46" s="1039" t="n"/>
      <c r="G46" s="1038" t="n"/>
      <c r="H46" s="1039" t="n"/>
      <c r="I46" s="1038" t="n"/>
      <c r="J46" s="1039" t="n"/>
      <c r="K46" s="1038" t="n"/>
      <c r="L46" s="1118" t="n"/>
      <c r="M46" s="1038" t="n"/>
      <c r="N46" s="1040" t="n"/>
      <c r="O46" s="830" t="n"/>
      <c r="P46" s="841" t="n"/>
      <c r="Q46" s="106" t="inlineStr">
        <is>
          <t>교통사고처리지원</t>
        </is>
      </c>
      <c r="R46" s="1031">
        <f>C46+E46+G46+I46+K46+M46</f>
        <v/>
      </c>
    </row>
    <row r="47" ht="15" customHeight="1" s="797">
      <c r="A47" s="735" t="inlineStr">
        <is>
          <t>일상생활배상책임</t>
        </is>
      </c>
      <c r="B47" s="919" t="n"/>
      <c r="C47" s="1089" t="n"/>
      <c r="D47" s="1127" t="n"/>
      <c r="E47" s="1089" t="n"/>
      <c r="F47" s="1127" t="n"/>
      <c r="G47" s="1089" t="n"/>
      <c r="H47" s="1127" t="n"/>
      <c r="I47" s="1089" t="n"/>
      <c r="J47" s="1127" t="n"/>
      <c r="K47" s="1089" t="n"/>
      <c r="L47" s="1129" t="n"/>
      <c r="M47" s="1089" t="n"/>
      <c r="N47" s="1233" t="n"/>
      <c r="O47" s="830" t="n"/>
      <c r="P47" s="777" t="inlineStr">
        <is>
          <t>일상생활배상책임</t>
        </is>
      </c>
      <c r="Q47" s="919" t="n"/>
      <c r="R47" s="1031">
        <f>C47+E47+G47+I47+K47+M47</f>
        <v/>
      </c>
    </row>
    <row r="48" ht="15" customHeight="1" s="797">
      <c r="A48" s="1149" t="inlineStr">
        <is>
          <t>기타</t>
        </is>
      </c>
      <c r="B48" s="937" t="n"/>
      <c r="C48" s="1100" t="n"/>
      <c r="D48" s="1014" t="n"/>
      <c r="E48" s="1198" t="n"/>
      <c r="F48" s="1012" t="n"/>
      <c r="G48" s="1150" t="inlineStr">
        <is>
          <t>3개근관치료 2만2천</t>
        </is>
      </c>
      <c r="H48" s="1014" t="inlineStr">
        <is>
          <t>33세</t>
        </is>
      </c>
      <c r="I48" s="1098" t="inlineStr">
        <is>
          <t>골드인레이온레이8만</t>
        </is>
      </c>
      <c r="J48" s="1014" t="inlineStr">
        <is>
          <t>31세</t>
        </is>
      </c>
      <c r="K48" s="1198" t="n"/>
      <c r="L48" s="1208" t="n"/>
      <c r="M48" s="1150" t="n"/>
      <c r="N48" s="1227" t="n"/>
      <c r="O48" s="830" t="n"/>
      <c r="P48" s="1151" t="inlineStr">
        <is>
          <t>기타</t>
        </is>
      </c>
      <c r="Q48" s="936" t="n"/>
      <c r="R48" s="937" t="n"/>
    </row>
    <row r="49" ht="15" customHeight="1" s="797">
      <c r="A49" s="804" t="n"/>
      <c r="B49" s="805" t="n"/>
      <c r="C49" s="1196" t="n"/>
      <c r="D49" s="1019" t="n"/>
      <c r="E49" s="1200" t="n"/>
      <c r="F49" s="1019" t="n"/>
      <c r="G49" s="1101" t="inlineStr">
        <is>
          <t>골드인레이온레이 5만</t>
        </is>
      </c>
      <c r="H49" s="1021" t="inlineStr">
        <is>
          <t>33세</t>
        </is>
      </c>
      <c r="I49" s="1153" t="inlineStr">
        <is>
          <t>간접치아충전13만</t>
        </is>
      </c>
      <c r="J49" s="1021" t="inlineStr">
        <is>
          <t>31세</t>
        </is>
      </c>
      <c r="K49" s="1101" t="n"/>
      <c r="L49" s="1207" t="n"/>
      <c r="M49" s="1153" t="n"/>
      <c r="N49" s="1234" t="n"/>
      <c r="O49" s="830" t="n"/>
      <c r="P49" s="804" t="n"/>
      <c r="Q49" s="804" t="n"/>
      <c r="R49" s="805" t="n"/>
    </row>
    <row r="50" ht="15" customHeight="1" s="797">
      <c r="A50" s="804" t="n"/>
      <c r="B50" s="805" t="n"/>
      <c r="C50" s="1196" t="n"/>
      <c r="D50" s="1021" t="n"/>
      <c r="E50" s="1200" t="n"/>
      <c r="F50" s="1021" t="n"/>
      <c r="G50" s="1200" t="inlineStr">
        <is>
          <t>발치 7천원</t>
        </is>
      </c>
      <c r="H50" s="1021" t="inlineStr">
        <is>
          <t>33세</t>
        </is>
      </c>
      <c r="I50" s="1153" t="inlineStr">
        <is>
          <t>아말감 레진 7천원</t>
        </is>
      </c>
      <c r="J50" s="1021" t="inlineStr">
        <is>
          <t>31세</t>
        </is>
      </c>
      <c r="K50" s="1200" t="n"/>
      <c r="L50" s="1112" t="n"/>
      <c r="M50" s="1200" t="n"/>
      <c r="N50" s="1023" t="n"/>
      <c r="O50" s="830" t="n"/>
      <c r="P50" s="804" t="n"/>
      <c r="Q50" s="804" t="n"/>
      <c r="R50" s="805" t="n"/>
    </row>
    <row r="51" ht="15" customHeight="1" s="797">
      <c r="A51" s="942" t="n"/>
      <c r="B51" s="946" t="n"/>
      <c r="C51" s="1235" t="n"/>
      <c r="D51" s="1029" t="n"/>
      <c r="E51" s="1204" t="n"/>
      <c r="F51" s="1029" t="n"/>
      <c r="G51" s="1204" t="inlineStr">
        <is>
          <t>아말감 7천원</t>
        </is>
      </c>
      <c r="H51" s="1029" t="inlineStr">
        <is>
          <t>33세</t>
        </is>
      </c>
      <c r="I51" s="1204" t="inlineStr">
        <is>
          <t>크라운치료 10만</t>
        </is>
      </c>
      <c r="J51" s="1029" t="inlineStr">
        <is>
          <t>31세</t>
        </is>
      </c>
      <c r="K51" s="1204" t="n"/>
      <c r="L51" s="1115" t="n"/>
      <c r="M51" s="1204" t="n"/>
      <c r="N51" s="1030" t="n"/>
      <c r="O51" s="830" t="n"/>
      <c r="P51" s="942" t="n"/>
      <c r="Q51" s="942" t="n"/>
      <c r="R51" s="946" t="n"/>
    </row>
    <row r="52" ht="17.25" customHeight="1" s="797">
      <c r="A52" s="947">
        <f>A1</f>
        <v/>
      </c>
      <c r="B52" s="796" t="n"/>
      <c r="C52" s="994" t="n"/>
      <c r="D52" s="796" t="n"/>
      <c r="E52" s="994" t="n"/>
      <c r="F52" s="796" t="n"/>
      <c r="G52" s="994" t="n"/>
      <c r="H52" s="796" t="n"/>
      <c r="I52" s="994" t="n"/>
      <c r="J52" s="796" t="n"/>
      <c r="K52" s="994" t="n"/>
      <c r="L52" s="796" t="n"/>
      <c r="M52" s="995" t="n"/>
      <c r="N52" s="996" t="n"/>
      <c r="O52" s="138" t="n"/>
      <c r="P52" s="795" t="inlineStr">
        <is>
          <t>평가 기준일</t>
        </is>
      </c>
      <c r="Q52" s="796" t="n"/>
      <c r="R52" s="137">
        <f>R1</f>
        <v/>
      </c>
    </row>
    <row r="53" ht="15" customHeight="1" s="797">
      <c r="A53" s="647" t="inlineStr">
        <is>
          <t>상품명</t>
        </is>
      </c>
      <c r="B53" s="798" t="n"/>
      <c r="C53" s="754" t="n"/>
      <c r="D53" s="798" t="n"/>
      <c r="E53" s="754" t="n"/>
      <c r="F53" s="798" t="n"/>
      <c r="G53" s="754" t="n"/>
      <c r="H53" s="798" t="n"/>
      <c r="I53" s="754" t="n"/>
      <c r="J53" s="798" t="n"/>
      <c r="K53" s="754" t="n"/>
      <c r="L53" s="798" t="n"/>
      <c r="M53" s="754" t="n"/>
      <c r="N53" s="798" t="n"/>
      <c r="O53" s="25" t="n"/>
      <c r="P53" s="948" t="n"/>
      <c r="Q53" s="801" t="n"/>
      <c r="R53" s="802" t="n"/>
    </row>
    <row r="54" ht="15" customHeight="1" s="797">
      <c r="A54" s="647" t="inlineStr">
        <is>
          <t>계약자 / 피보험자</t>
        </is>
      </c>
      <c r="B54" s="798" t="n"/>
      <c r="C54" s="756" t="n"/>
      <c r="D54" s="798" t="n"/>
      <c r="E54" s="756" t="n"/>
      <c r="F54" s="798" t="n"/>
      <c r="G54" s="756" t="n"/>
      <c r="H54" s="798" t="n"/>
      <c r="I54" s="756" t="n"/>
      <c r="J54" s="798" t="n"/>
      <c r="K54" s="756" t="n"/>
      <c r="L54" s="798" t="n"/>
      <c r="M54" s="755" t="n"/>
      <c r="N54" s="799" t="n"/>
      <c r="O54" s="25" t="n"/>
      <c r="P54" s="804" t="n"/>
      <c r="R54" s="805" t="n"/>
    </row>
    <row r="55" ht="15" customHeight="1" s="797">
      <c r="A55" s="647" t="inlineStr">
        <is>
          <t>계약일자</t>
        </is>
      </c>
      <c r="B55" s="798" t="n"/>
      <c r="C55" s="756" t="n"/>
      <c r="D55" s="798" t="n"/>
      <c r="E55" s="756" t="n"/>
      <c r="F55" s="798" t="n"/>
      <c r="G55" s="756" t="n"/>
      <c r="H55" s="798" t="n"/>
      <c r="I55" s="756" t="n"/>
      <c r="J55" s="798" t="n"/>
      <c r="K55" s="756" t="n"/>
      <c r="L55" s="798" t="n"/>
      <c r="M55" s="756" t="n"/>
      <c r="N55" s="798" t="n"/>
      <c r="O55" s="25" t="n"/>
      <c r="P55" s="804" t="n"/>
      <c r="R55" s="805" t="n"/>
    </row>
    <row r="56" ht="15" customHeight="1" s="797">
      <c r="A56" s="647" t="inlineStr">
        <is>
          <t>납입기간 / 기납입기간</t>
        </is>
      </c>
      <c r="B56" s="798" t="n"/>
      <c r="C56" s="997" t="n"/>
      <c r="D56" s="1000">
        <f>IF(DATEDIF(C55,$R$1,"m")&lt;C56*12,DATEDIF(C55,$R$1,"m"),C56*12)</f>
        <v/>
      </c>
      <c r="E56" s="997" t="n"/>
      <c r="F56" s="1000">
        <f>IF(DATEDIF(E55,$R$1,"m")&lt;E56*12,DATEDIF(E55,$R$1,"m"),E56*12)</f>
        <v/>
      </c>
      <c r="G56" s="997" t="n"/>
      <c r="H56" s="1000">
        <f>IF(DATEDIF(G55,$R$1,"m")&lt;G56*12,DATEDIF(G55,$R$1,"m"),G56*12)</f>
        <v/>
      </c>
      <c r="I56" s="997" t="n"/>
      <c r="J56" s="1000">
        <f>IF(DATEDIF(I55,$R$1,"m")&lt;I56*12,DATEDIF(I55,$R$1,"m"),I56*12)</f>
        <v/>
      </c>
      <c r="K56" s="997" t="n"/>
      <c r="L56" s="1000">
        <f>IF(DATEDIF(K55,$R$1,"m")&lt;K56*12,DATEDIF(K55,$R$1,"m"),K56*12)</f>
        <v/>
      </c>
      <c r="M56" s="997" t="n"/>
      <c r="N56" s="1106">
        <f>IF(DATEDIF(M55,$R$1,"m")&lt;M56*12,DATEDIF(M55,$R$1,"m"),M56*12)</f>
        <v/>
      </c>
      <c r="O56" s="25" t="n"/>
      <c r="P56" s="804" t="n"/>
      <c r="R56" s="805" t="n"/>
    </row>
    <row r="57" ht="15" customHeight="1" s="797">
      <c r="A57" s="647" t="inlineStr">
        <is>
          <t>보장기간</t>
        </is>
      </c>
      <c r="B57" s="798" t="n"/>
      <c r="C57" s="696" t="n"/>
      <c r="D57" s="798" t="n"/>
      <c r="E57" s="696" t="n"/>
      <c r="F57" s="798" t="n"/>
      <c r="G57" s="696" t="n"/>
      <c r="H57" s="798" t="n"/>
      <c r="I57" s="696" t="n"/>
      <c r="J57" s="798" t="n"/>
      <c r="K57" s="696" t="n"/>
      <c r="L57" s="798" t="n"/>
      <c r="M57" s="696" t="n"/>
      <c r="N57" s="798" t="n"/>
      <c r="O57" s="25" t="n"/>
      <c r="P57" s="808" t="n"/>
      <c r="Q57" s="809" t="n"/>
      <c r="R57" s="810" t="n"/>
    </row>
    <row r="58" ht="15" customHeight="1" s="797">
      <c r="A58" s="632" t="inlineStr">
        <is>
          <t>비고 / 갱신종류</t>
        </is>
      </c>
      <c r="B58" s="811" t="n"/>
      <c r="C58" s="1156" t="n"/>
      <c r="D58" s="798" t="n"/>
      <c r="E58" s="1156" t="n"/>
      <c r="F58" s="798" t="n"/>
      <c r="G58" s="1156" t="n"/>
      <c r="H58" s="798" t="n"/>
      <c r="I58" s="1156" t="n"/>
      <c r="J58" s="798" t="n"/>
      <c r="K58" s="1156" t="n"/>
      <c r="L58" s="798" t="n"/>
      <c r="M58" s="1157" t="n"/>
      <c r="N58" s="799" t="n"/>
      <c r="O58" s="25" t="n"/>
      <c r="P58" s="950" t="n"/>
      <c r="Q58" s="798" t="n"/>
      <c r="R58" s="27" t="inlineStr">
        <is>
          <t>총 보장 (원)</t>
        </is>
      </c>
    </row>
    <row r="59" ht="15" customHeight="1" s="797">
      <c r="A59" s="639" t="inlineStr">
        <is>
          <t>월 보험료</t>
        </is>
      </c>
      <c r="B59" s="798" t="n"/>
      <c r="C59" s="1004" t="n"/>
      <c r="D59" s="798" t="n"/>
      <c r="E59" s="1004" t="n"/>
      <c r="F59" s="798" t="n"/>
      <c r="G59" s="1004" t="n"/>
      <c r="H59" s="798" t="n"/>
      <c r="I59" s="1004" t="n"/>
      <c r="J59" s="798" t="n"/>
      <c r="K59" s="1004" t="n"/>
      <c r="L59" s="798" t="n"/>
      <c r="M59" s="1004" t="n"/>
      <c r="N59" s="798" t="n"/>
      <c r="O59" s="814" t="n"/>
      <c r="P59" s="982" t="inlineStr">
        <is>
          <t>합산 월 보험료</t>
        </is>
      </c>
      <c r="Q59" s="798" t="n"/>
      <c r="R59" s="951">
        <f>R8+C59+E59+G59+I59+K59+M59</f>
        <v/>
      </c>
    </row>
    <row r="60" ht="15" customHeight="1" s="797">
      <c r="A60" s="647" t="inlineStr">
        <is>
          <t>보험료 총액</t>
        </is>
      </c>
      <c r="B60" s="798" t="n"/>
      <c r="C60" s="1007">
        <f>C59*C56*12</f>
        <v/>
      </c>
      <c r="D60" s="798" t="n"/>
      <c r="E60" s="1007">
        <f>E59*E56*12</f>
        <v/>
      </c>
      <c r="F60" s="798" t="n"/>
      <c r="G60" s="1007">
        <f>G59*G56*12</f>
        <v/>
      </c>
      <c r="H60" s="798" t="n"/>
      <c r="I60" s="1007">
        <f>I59*I56*12</f>
        <v/>
      </c>
      <c r="J60" s="798" t="n"/>
      <c r="K60" s="1007">
        <f>K59*K56*12</f>
        <v/>
      </c>
      <c r="L60" s="798" t="n"/>
      <c r="M60" s="1009">
        <f>M59*M56*12</f>
        <v/>
      </c>
      <c r="N60" s="799" t="n"/>
      <c r="O60" s="814" t="n"/>
      <c r="P60" s="982" t="inlineStr">
        <is>
          <t>합산 보험료 총액</t>
        </is>
      </c>
      <c r="Q60" s="798" t="n"/>
      <c r="R60" s="952">
        <f>R9+C60+E60+G60+I60+K60+M60</f>
        <v/>
      </c>
    </row>
    <row r="61" ht="15" customHeight="1" s="797">
      <c r="A61" s="647" t="inlineStr">
        <is>
          <t>기 납입금</t>
        </is>
      </c>
      <c r="B61" s="798" t="n"/>
      <c r="C61" s="1007">
        <f>C59*D56</f>
        <v/>
      </c>
      <c r="D61" s="798" t="n"/>
      <c r="E61" s="1007">
        <f>E59*F56</f>
        <v/>
      </c>
      <c r="F61" s="798" t="n"/>
      <c r="G61" s="1007">
        <f>G59*H56</f>
        <v/>
      </c>
      <c r="H61" s="798" t="n"/>
      <c r="I61" s="1007">
        <f>I59*J56</f>
        <v/>
      </c>
      <c r="J61" s="798" t="n"/>
      <c r="K61" s="1007">
        <f>K59*L56</f>
        <v/>
      </c>
      <c r="L61" s="798" t="n"/>
      <c r="M61" s="1009">
        <f>M59*N56</f>
        <v/>
      </c>
      <c r="N61" s="799" t="n"/>
      <c r="O61" s="814" t="n"/>
      <c r="P61" s="982" t="inlineStr">
        <is>
          <t>합산 기 납입금</t>
        </is>
      </c>
      <c r="Q61" s="798" t="n"/>
      <c r="R61" s="952">
        <f>R10+C61+E61+G61+I61+K61+M61</f>
        <v/>
      </c>
    </row>
    <row r="62" ht="15" customHeight="1" s="797">
      <c r="A62" s="632" t="inlineStr">
        <is>
          <t>미 납입금</t>
        </is>
      </c>
      <c r="B62" s="811" t="n"/>
      <c r="C62" s="1007">
        <f>C60-C61</f>
        <v/>
      </c>
      <c r="D62" s="798" t="n"/>
      <c r="E62" s="1007">
        <f>E60-E61</f>
        <v/>
      </c>
      <c r="F62" s="798" t="n"/>
      <c r="G62" s="1007">
        <f>G60-G61</f>
        <v/>
      </c>
      <c r="H62" s="798" t="n"/>
      <c r="I62" s="1007">
        <f>I60-I61</f>
        <v/>
      </c>
      <c r="J62" s="798" t="n"/>
      <c r="K62" s="1007">
        <f>K60-K61</f>
        <v/>
      </c>
      <c r="L62" s="798" t="n"/>
      <c r="M62" s="1009">
        <f>M60-M61</f>
        <v/>
      </c>
      <c r="N62" s="799" t="n"/>
      <c r="O62" s="814" t="n"/>
      <c r="P62" s="983" t="inlineStr">
        <is>
          <t>합산 미 납입금</t>
        </is>
      </c>
      <c r="Q62" s="954" t="n"/>
      <c r="R62" s="955">
        <f>R11+C62+E62+G62+I62+K62+M62</f>
        <v/>
      </c>
    </row>
    <row r="63" ht="15" customHeight="1" s="797">
      <c r="A63" s="1158" t="inlineStr">
        <is>
          <t>실비
(갱신형)</t>
        </is>
      </c>
      <c r="B63" s="139" t="inlineStr">
        <is>
          <t>상해급여의료비</t>
        </is>
      </c>
      <c r="C63" s="1015" t="n"/>
      <c r="D63" s="1014" t="n"/>
      <c r="E63" s="1010" t="n"/>
      <c r="F63" s="1014" t="n"/>
      <c r="G63" s="1010" t="n"/>
      <c r="H63" s="1014" t="n"/>
      <c r="I63" s="1010" t="n"/>
      <c r="J63" s="1014" t="n"/>
      <c r="K63" s="1010" t="n"/>
      <c r="L63" s="1109" t="n"/>
      <c r="M63" s="1010" t="n"/>
      <c r="N63" s="1110" t="n"/>
      <c r="O63" s="830" t="n"/>
      <c r="P63" s="1159" t="inlineStr">
        <is>
          <t>실비
(갱신형)</t>
        </is>
      </c>
      <c r="Q63" s="109" t="inlineStr">
        <is>
          <t>상해급여의료비</t>
        </is>
      </c>
      <c r="R63" s="957">
        <f>R12+C63+E63+G63+I63+K63+M63</f>
        <v/>
      </c>
    </row>
    <row r="64" ht="15" customHeight="1" s="797">
      <c r="A64" s="832" t="n"/>
      <c r="B64" s="140" t="inlineStr">
        <is>
          <t>질병급여의료비</t>
        </is>
      </c>
      <c r="C64" s="1022" t="n"/>
      <c r="D64" s="1021" t="n"/>
      <c r="E64" s="1017" t="n"/>
      <c r="F64" s="1021" t="n"/>
      <c r="G64" s="1017" t="n"/>
      <c r="H64" s="1021" t="n"/>
      <c r="I64" s="1017" t="n"/>
      <c r="J64" s="1021" t="n"/>
      <c r="K64" s="1017" t="n"/>
      <c r="L64" s="1112" t="n"/>
      <c r="M64" s="1017" t="n"/>
      <c r="N64" s="1113" t="n"/>
      <c r="O64" s="830" t="n"/>
      <c r="P64" s="832" t="n"/>
      <c r="Q64" s="110" t="inlineStr">
        <is>
          <t>질병급여의료비</t>
        </is>
      </c>
      <c r="R64" s="959">
        <f>R13+C64+E64+G64+I64+K64+M64</f>
        <v/>
      </c>
    </row>
    <row r="65" ht="15" customHeight="1" s="797">
      <c r="A65" s="832" t="n"/>
      <c r="B65" s="140" t="inlineStr">
        <is>
          <t>상해비급여의료비</t>
        </is>
      </c>
      <c r="C65" s="1022" t="n"/>
      <c r="D65" s="1021" t="n"/>
      <c r="E65" s="1022" t="n"/>
      <c r="F65" s="1021" t="n"/>
      <c r="G65" s="1017" t="n"/>
      <c r="H65" s="1021" t="n"/>
      <c r="I65" s="1017" t="n"/>
      <c r="J65" s="1021" t="n"/>
      <c r="K65" s="1017" t="n"/>
      <c r="L65" s="1112" t="n"/>
      <c r="M65" s="1017" t="n"/>
      <c r="N65" s="1113" t="n"/>
      <c r="O65" s="830" t="n"/>
      <c r="P65" s="832" t="n"/>
      <c r="Q65" s="110" t="inlineStr">
        <is>
          <t>상해비급여의료비</t>
        </is>
      </c>
      <c r="R65" s="959">
        <f>R14+C65+E65+G65+I65+K65+M65</f>
        <v/>
      </c>
    </row>
    <row r="66" ht="15" customHeight="1" s="797">
      <c r="A66" s="832" t="n"/>
      <c r="B66" s="140" t="inlineStr">
        <is>
          <t>질병비급여의료비</t>
        </is>
      </c>
      <c r="C66" s="1022" t="n"/>
      <c r="D66" s="1021" t="n"/>
      <c r="E66" s="1022" t="n"/>
      <c r="F66" s="1021" t="n"/>
      <c r="G66" s="1017" t="n"/>
      <c r="H66" s="1021" t="n"/>
      <c r="I66" s="1017" t="n"/>
      <c r="J66" s="1021" t="n"/>
      <c r="K66" s="1017" t="n"/>
      <c r="L66" s="1112" t="n"/>
      <c r="M66" s="1017" t="n"/>
      <c r="N66" s="1113" t="n"/>
      <c r="O66" s="830" t="n"/>
      <c r="P66" s="832" t="n"/>
      <c r="Q66" s="110" t="inlineStr">
        <is>
          <t>질병비급여의료비</t>
        </is>
      </c>
      <c r="R66" s="959">
        <f>R15+C66+E66+G66+I66+K66+M66</f>
        <v/>
      </c>
    </row>
    <row r="67" ht="15" customHeight="1" s="797">
      <c r="A67" s="841" t="n"/>
      <c r="B67" s="141" t="inlineStr">
        <is>
          <t>3대비급여 의료비</t>
        </is>
      </c>
      <c r="C67" s="1027" t="n"/>
      <c r="D67" s="1029" t="n"/>
      <c r="E67" s="1027" t="n"/>
      <c r="F67" s="1029" t="n"/>
      <c r="G67" s="1024" t="n"/>
      <c r="H67" s="1029" t="n"/>
      <c r="I67" s="1024" t="n"/>
      <c r="J67" s="1029" t="n"/>
      <c r="K67" s="1024" t="n"/>
      <c r="L67" s="1115" t="n"/>
      <c r="M67" s="1024" t="n"/>
      <c r="N67" s="1116" t="n"/>
      <c r="O67" s="830" t="n"/>
      <c r="P67" s="841" t="n"/>
      <c r="Q67" s="111" t="inlineStr">
        <is>
          <t>3대비급여 의료비</t>
        </is>
      </c>
      <c r="R67" s="963">
        <f>R16+C67+E67+G67+I67+K67+M67</f>
        <v/>
      </c>
    </row>
    <row r="68" ht="15" customHeight="1" s="797">
      <c r="A68" s="626" t="inlineStr">
        <is>
          <t>암</t>
        </is>
      </c>
      <c r="B68" s="142" t="inlineStr">
        <is>
          <t>일반암</t>
        </is>
      </c>
      <c r="C68" s="1010" t="n"/>
      <c r="D68" s="1014" t="n"/>
      <c r="E68" s="1010" t="n"/>
      <c r="F68" s="1014" t="n"/>
      <c r="G68" s="1010" t="n"/>
      <c r="H68" s="1163" t="n"/>
      <c r="I68" s="1010" t="n"/>
      <c r="J68" s="1014" t="n"/>
      <c r="K68" s="1010" t="n"/>
      <c r="L68" s="1109" t="n"/>
      <c r="M68" s="1010" t="n"/>
      <c r="N68" s="1110" t="n"/>
      <c r="O68" s="830" t="n"/>
      <c r="P68" s="772">
        <f>A68</f>
        <v/>
      </c>
      <c r="Q68" s="112" t="inlineStr">
        <is>
          <t>일반암</t>
        </is>
      </c>
      <c r="R68" s="957">
        <f>R17+C68+E68+G68+I68+K68+M68</f>
        <v/>
      </c>
    </row>
    <row r="69" ht="15" customHeight="1" s="797">
      <c r="A69" s="832" t="n"/>
      <c r="B69" s="143" t="inlineStr">
        <is>
          <t>소액암</t>
        </is>
      </c>
      <c r="C69" s="1079" t="n"/>
      <c r="D69" s="1039" t="n"/>
      <c r="E69" s="1017" t="n"/>
      <c r="F69" s="1039" t="n"/>
      <c r="G69" s="1017" t="n"/>
      <c r="H69" s="1162" t="n"/>
      <c r="I69" s="1017" t="n"/>
      <c r="J69" s="1039" t="n"/>
      <c r="K69" s="1038" t="n"/>
      <c r="L69" s="1118" t="n"/>
      <c r="M69" s="1038" t="n"/>
      <c r="N69" s="1119" t="n"/>
      <c r="O69" s="830" t="n"/>
      <c r="P69" s="832" t="n"/>
      <c r="Q69" s="113" t="inlineStr">
        <is>
          <t>소액암</t>
        </is>
      </c>
      <c r="R69" s="959">
        <f>R18+C69+E69+G69+I69+K69+M69</f>
        <v/>
      </c>
    </row>
    <row r="70" ht="15" customHeight="1" s="797">
      <c r="A70" s="832" t="n"/>
      <c r="B70" s="143" t="inlineStr">
        <is>
          <t>암수술비</t>
        </is>
      </c>
      <c r="C70" s="1079" t="n"/>
      <c r="D70" s="1039" t="n"/>
      <c r="E70" s="1038" t="n"/>
      <c r="F70" s="1039" t="n"/>
      <c r="G70" s="1017" t="n"/>
      <c r="H70" s="1162" t="n"/>
      <c r="I70" s="1038" t="n"/>
      <c r="J70" s="1039" t="n"/>
      <c r="K70" s="1038" t="n"/>
      <c r="L70" s="1118" t="n"/>
      <c r="M70" s="1038" t="n"/>
      <c r="N70" s="1119" t="n"/>
      <c r="O70" s="830" t="n"/>
      <c r="P70" s="832" t="n"/>
      <c r="Q70" s="113" t="inlineStr">
        <is>
          <t>암수술비</t>
        </is>
      </c>
      <c r="R70" s="959">
        <f>R19+C70+E70+G70+I70+K70+M70</f>
        <v/>
      </c>
    </row>
    <row r="71" ht="15" customHeight="1" s="797">
      <c r="A71" s="832" t="n"/>
      <c r="B71" s="143" t="inlineStr">
        <is>
          <t>항암치료비</t>
        </is>
      </c>
      <c r="C71" s="1079" t="n"/>
      <c r="D71" s="1039" t="n"/>
      <c r="E71" s="1017" t="n"/>
      <c r="F71" s="1039" t="n"/>
      <c r="G71" s="1038" t="n"/>
      <c r="H71" s="1162" t="n"/>
      <c r="I71" s="1079" t="n"/>
      <c r="J71" s="1039" t="n"/>
      <c r="K71" s="1038" t="n"/>
      <c r="L71" s="1118" t="n"/>
      <c r="M71" s="1038" t="n"/>
      <c r="N71" s="1119" t="n"/>
      <c r="O71" s="830" t="n"/>
      <c r="P71" s="832" t="n"/>
      <c r="Q71" s="113" t="inlineStr">
        <is>
          <t>항암치료비</t>
        </is>
      </c>
      <c r="R71" s="959">
        <f>R20+C71+E71+G71+I71+K71+M71</f>
        <v/>
      </c>
    </row>
    <row r="72" ht="15" customHeight="1" s="797">
      <c r="A72" s="832" t="n"/>
      <c r="B72" s="144" t="inlineStr">
        <is>
          <t>암입원비</t>
        </is>
      </c>
      <c r="C72" s="1027" t="n"/>
      <c r="D72" s="1029" t="n"/>
      <c r="E72" s="1024" t="n"/>
      <c r="F72" s="1039" t="n"/>
      <c r="G72" s="1024" t="n"/>
      <c r="H72" s="1162" t="n"/>
      <c r="I72" s="1024" t="n"/>
      <c r="J72" s="1039" t="n"/>
      <c r="K72" s="1038" t="n"/>
      <c r="L72" s="1118" t="n"/>
      <c r="M72" s="1038" t="n"/>
      <c r="N72" s="1119" t="n"/>
      <c r="O72" s="830" t="n"/>
      <c r="P72" s="832" t="n"/>
      <c r="Q72" s="114" t="inlineStr">
        <is>
          <t>암입원비</t>
        </is>
      </c>
      <c r="R72" s="963">
        <f>R21+C72+E72+G72+I72+K72+M72</f>
        <v/>
      </c>
    </row>
    <row r="73" ht="15" customHeight="1" s="797">
      <c r="A73" s="721" t="inlineStr">
        <is>
          <t>2대
질병</t>
        </is>
      </c>
      <c r="B73" s="145" t="inlineStr">
        <is>
          <t>뇌혈관</t>
        </is>
      </c>
      <c r="C73" s="1017" t="n"/>
      <c r="D73" s="1014" t="n"/>
      <c r="E73" s="1017" t="n"/>
      <c r="F73" s="1014" t="n"/>
      <c r="G73" s="1017" t="n"/>
      <c r="H73" s="1163" t="n"/>
      <c r="I73" s="1010" t="n"/>
      <c r="J73" s="1014" t="n"/>
      <c r="K73" s="1010" t="n"/>
      <c r="L73" s="1109" t="n"/>
      <c r="M73" s="1010" t="n"/>
      <c r="N73" s="1110" t="n"/>
      <c r="O73" s="830" t="n"/>
      <c r="P73" s="760">
        <f>A73</f>
        <v/>
      </c>
      <c r="Q73" s="115" t="inlineStr">
        <is>
          <t>뇌혈관</t>
        </is>
      </c>
      <c r="R73" s="957">
        <f>R22+C73+E73+G73+I73+K73+M73</f>
        <v/>
      </c>
    </row>
    <row r="74" ht="15" customHeight="1" s="797">
      <c r="A74" s="832" t="n"/>
      <c r="B74" s="146" t="inlineStr">
        <is>
          <t>뇌졸증</t>
        </is>
      </c>
      <c r="C74" s="1017" t="n"/>
      <c r="D74" s="1039" t="n"/>
      <c r="E74" s="1038" t="n"/>
      <c r="F74" s="1039" t="n"/>
      <c r="G74" s="1017" t="n"/>
      <c r="H74" s="1162" t="n"/>
      <c r="I74" s="1038" t="n"/>
      <c r="J74" s="1161" t="n"/>
      <c r="K74" s="1017" t="n"/>
      <c r="L74" s="1118" t="n"/>
      <c r="M74" s="1038" t="n"/>
      <c r="N74" s="1119" t="n"/>
      <c r="O74" s="830" t="n"/>
      <c r="P74" s="832" t="n"/>
      <c r="Q74" s="116" t="inlineStr">
        <is>
          <t>뇌졸증</t>
        </is>
      </c>
      <c r="R74" s="959">
        <f>R23+C74+E74+G74+I74+K74+M74</f>
        <v/>
      </c>
    </row>
    <row r="75" ht="15" customHeight="1" s="797">
      <c r="A75" s="832" t="n"/>
      <c r="B75" s="147" t="inlineStr">
        <is>
          <t>뇌출혈</t>
        </is>
      </c>
      <c r="C75" s="1044" t="n"/>
      <c r="D75" s="1164" t="n"/>
      <c r="E75" s="1044" t="n"/>
      <c r="F75" s="1122" t="n"/>
      <c r="G75" s="1044" t="n"/>
      <c r="H75" s="1165" t="n"/>
      <c r="I75" s="1044" t="n"/>
      <c r="J75" s="1164" t="n"/>
      <c r="K75" s="1044" t="n"/>
      <c r="L75" s="1123" t="n"/>
      <c r="M75" s="1044" t="n"/>
      <c r="N75" s="1124" t="n"/>
      <c r="O75" s="830" t="n"/>
      <c r="P75" s="832" t="n"/>
      <c r="Q75" s="117" t="inlineStr">
        <is>
          <t>뇌출혈</t>
        </is>
      </c>
      <c r="R75" s="963">
        <f>R24+C75+E75+G75+I75+K75+M75</f>
        <v/>
      </c>
    </row>
    <row r="76" ht="15" customHeight="1" s="797">
      <c r="A76" s="832" t="n"/>
      <c r="B76" s="148" t="inlineStr">
        <is>
          <t>심장질환</t>
        </is>
      </c>
      <c r="C76" s="1010" t="n"/>
      <c r="D76" s="1014" t="n"/>
      <c r="E76" s="1010" t="n"/>
      <c r="F76" s="1014" t="n"/>
      <c r="G76" s="1010" t="n"/>
      <c r="H76" s="1163" t="n"/>
      <c r="I76" s="1010" t="n"/>
      <c r="J76" s="1014" t="n"/>
      <c r="K76" s="1010" t="n"/>
      <c r="L76" s="1109" t="n"/>
      <c r="M76" s="1010" t="n"/>
      <c r="N76" s="1110" t="n"/>
      <c r="O76" s="830" t="n"/>
      <c r="P76" s="832" t="n"/>
      <c r="Q76" s="118" t="inlineStr">
        <is>
          <t>심장질환</t>
        </is>
      </c>
      <c r="R76" s="957">
        <f>R25+C76+E76+G76+I76+K76+M76</f>
        <v/>
      </c>
    </row>
    <row r="77" ht="15" customHeight="1" s="797">
      <c r="A77" s="832" t="n"/>
      <c r="B77" s="149" t="inlineStr">
        <is>
          <t>허혈성심장</t>
        </is>
      </c>
      <c r="C77" s="1017" t="n"/>
      <c r="D77" s="1039" t="n"/>
      <c r="E77" s="1017" t="n"/>
      <c r="F77" s="1039" t="n"/>
      <c r="G77" s="1017" t="n"/>
      <c r="H77" s="1162" t="n"/>
      <c r="I77" s="1017" t="n"/>
      <c r="J77" s="1021" t="n"/>
      <c r="K77" s="1017" t="n"/>
      <c r="L77" s="1118" t="n"/>
      <c r="M77" s="1038" t="n"/>
      <c r="N77" s="1119" t="n"/>
      <c r="O77" s="830" t="n"/>
      <c r="P77" s="832" t="n"/>
      <c r="Q77" s="119" t="inlineStr">
        <is>
          <t>허혈성심장</t>
        </is>
      </c>
      <c r="R77" s="959">
        <f>R26+C77+E77+G77+I77+K77+M77</f>
        <v/>
      </c>
    </row>
    <row r="78" ht="15" customHeight="1" s="797">
      <c r="A78" s="832" t="n"/>
      <c r="B78" s="165" t="inlineStr">
        <is>
          <t>급성심근경색</t>
        </is>
      </c>
      <c r="C78" s="1024" t="n"/>
      <c r="D78" s="1166" t="n"/>
      <c r="E78" s="1044" t="n"/>
      <c r="F78" s="1122" t="n"/>
      <c r="G78" s="1044" t="n"/>
      <c r="H78" s="1165" t="n"/>
      <c r="I78" s="1044" t="n"/>
      <c r="J78" s="1164" t="n"/>
      <c r="K78" s="1043" t="n"/>
      <c r="L78" s="1123" t="n"/>
      <c r="M78" s="1043" t="n"/>
      <c r="N78" s="1124" t="n"/>
      <c r="O78" s="830" t="n"/>
      <c r="P78" s="832" t="n"/>
      <c r="Q78" s="120" t="inlineStr">
        <is>
          <t>급성심근경색</t>
        </is>
      </c>
      <c r="R78" s="963">
        <f>R27+C78+E78+G78+I78+K78+M78</f>
        <v/>
      </c>
    </row>
    <row r="79" ht="15" customHeight="1" s="797">
      <c r="A79" s="832" t="n"/>
      <c r="B79" s="166" t="inlineStr">
        <is>
          <t>뇌,심장 수술비</t>
        </is>
      </c>
      <c r="C79" s="1094" t="n"/>
      <c r="D79" s="1127" t="n"/>
      <c r="E79" s="1089" t="n"/>
      <c r="F79" s="1127" t="n"/>
      <c r="G79" s="1089" t="n"/>
      <c r="H79" s="1168" t="n"/>
      <c r="I79" s="1089" t="n"/>
      <c r="J79" s="1167" t="n"/>
      <c r="K79" s="1089" t="n"/>
      <c r="L79" s="1129" t="n"/>
      <c r="M79" s="1089" t="n"/>
      <c r="N79" s="1130" t="n"/>
      <c r="O79" s="830" t="n"/>
      <c r="P79" s="832" t="n"/>
      <c r="Q79" s="121" t="inlineStr">
        <is>
          <t>뇌,심장 수술비</t>
        </is>
      </c>
      <c r="R79" s="1131">
        <f>R28+C79+E79+G79+I79+K79+M79</f>
        <v/>
      </c>
    </row>
    <row r="80" ht="15" customHeight="1" s="797">
      <c r="A80" s="1132" t="inlineStr">
        <is>
          <t>후유장해</t>
        </is>
      </c>
      <c r="B80" s="152" t="inlineStr">
        <is>
          <t>질병 80% 이상</t>
        </is>
      </c>
      <c r="C80" s="1015" t="n"/>
      <c r="D80" s="1014" t="n"/>
      <c r="E80" s="1010" t="n"/>
      <c r="F80" s="1014" t="n"/>
      <c r="G80" s="1010" t="n"/>
      <c r="H80" s="1014" t="n"/>
      <c r="I80" s="1010" t="n"/>
      <c r="J80" s="1014" t="n"/>
      <c r="K80" s="1010" t="n"/>
      <c r="L80" s="1109" t="n"/>
      <c r="M80" s="1010" t="n"/>
      <c r="N80" s="1110" t="n"/>
      <c r="O80" s="830" t="n"/>
      <c r="P80" s="1169">
        <f>A80</f>
        <v/>
      </c>
      <c r="Q80" s="122" t="inlineStr">
        <is>
          <t>질병 80% 이상</t>
        </is>
      </c>
      <c r="R80" s="957">
        <f>R29+C80+E80+G80+I80+K80+M80</f>
        <v/>
      </c>
    </row>
    <row r="81" ht="15" customHeight="1" s="797">
      <c r="A81" s="832" t="n"/>
      <c r="B81" s="153" t="inlineStr">
        <is>
          <t>질병 80% 미만</t>
        </is>
      </c>
      <c r="C81" s="1022" t="n"/>
      <c r="D81" s="1021" t="n"/>
      <c r="E81" s="1017" t="n"/>
      <c r="F81" s="1039" t="n"/>
      <c r="G81" s="1017" t="n"/>
      <c r="H81" s="1021" t="n"/>
      <c r="I81" s="1017" t="n"/>
      <c r="J81" s="1021" t="n"/>
      <c r="K81" s="1017" t="n"/>
      <c r="L81" s="1112" t="n"/>
      <c r="M81" s="1017" t="n"/>
      <c r="N81" s="1113" t="n"/>
      <c r="O81" s="830" t="n"/>
      <c r="P81" s="832" t="n"/>
      <c r="Q81" s="123" t="inlineStr">
        <is>
          <t>질병 80% 미만</t>
        </is>
      </c>
      <c r="R81" s="959">
        <f>R30+C81+E81+G81+I81+K81+M81</f>
        <v/>
      </c>
    </row>
    <row r="82" ht="15" customHeight="1" s="797">
      <c r="A82" s="832" t="n"/>
      <c r="B82" s="153" t="inlineStr">
        <is>
          <t>재해/상해 80% 이상</t>
        </is>
      </c>
      <c r="C82" s="1022" t="n"/>
      <c r="D82" s="1021" t="n"/>
      <c r="E82" s="1017" t="n"/>
      <c r="G82" s="1017" t="n"/>
      <c r="H82" s="1021" t="n"/>
      <c r="I82" s="1017" t="n"/>
      <c r="J82" s="1021" t="n"/>
      <c r="K82" s="1017" t="n"/>
      <c r="L82" s="1112" t="n"/>
      <c r="M82" s="1017" t="n"/>
      <c r="N82" s="1113" t="n"/>
      <c r="O82" s="830" t="n"/>
      <c r="P82" s="832" t="n"/>
      <c r="Q82" s="123" t="inlineStr">
        <is>
          <t>재해/상해 80% 이상</t>
        </is>
      </c>
      <c r="R82" s="959">
        <f>R31+C82+E82+G82+I82+K82+M82</f>
        <v/>
      </c>
    </row>
    <row r="83" ht="15" customHeight="1" s="797">
      <c r="A83" s="841" t="n"/>
      <c r="B83" s="154" t="inlineStr">
        <is>
          <t>재해/상해 80% 미만</t>
        </is>
      </c>
      <c r="C83" s="1027" t="n"/>
      <c r="D83" s="1029" t="n"/>
      <c r="E83" s="1024" t="n"/>
      <c r="F83" s="1029" t="n"/>
      <c r="G83" s="1017" t="n"/>
      <c r="H83" s="1029" t="n"/>
      <c r="I83" s="1024" t="n"/>
      <c r="J83" s="1029" t="n"/>
      <c r="K83" s="1024" t="n"/>
      <c r="L83" s="1115" t="n"/>
      <c r="M83" s="1024" t="n"/>
      <c r="N83" s="1116" t="n"/>
      <c r="O83" s="830" t="n"/>
      <c r="P83" s="841" t="n"/>
      <c r="Q83" s="124" t="inlineStr">
        <is>
          <t>재해/상해 80% 미만</t>
        </is>
      </c>
      <c r="R83" s="963">
        <f>R32+C83+E83+G83+I83+K83+M83</f>
        <v/>
      </c>
    </row>
    <row r="84" ht="15" customHeight="1" s="797">
      <c r="A84" s="1133" t="inlineStr">
        <is>
          <t>사망</t>
        </is>
      </c>
      <c r="B84" s="155" t="inlineStr">
        <is>
          <t>일반</t>
        </is>
      </c>
      <c r="C84" s="1015" t="n"/>
      <c r="D84" s="1014" t="n"/>
      <c r="E84" s="1038" t="n"/>
      <c r="F84" s="1014" t="n"/>
      <c r="G84" s="1010" t="n"/>
      <c r="H84" s="1014" t="n"/>
      <c r="I84" s="1010" t="n"/>
      <c r="J84" s="1014" t="n"/>
      <c r="K84" s="1010" t="n"/>
      <c r="L84" s="1170" t="n"/>
      <c r="M84" s="1038" t="n"/>
      <c r="N84" s="1119" t="n"/>
      <c r="O84" s="830" t="n"/>
      <c r="P84" s="1171" t="inlineStr">
        <is>
          <t>사망</t>
        </is>
      </c>
      <c r="Q84" s="125" t="inlineStr">
        <is>
          <t>일반</t>
        </is>
      </c>
      <c r="R84" s="957">
        <f>R33+C84+E84+G84+I84+K84+M84</f>
        <v/>
      </c>
    </row>
    <row r="85" ht="15" customHeight="1" s="797">
      <c r="A85" s="832" t="n"/>
      <c r="B85" s="156" t="inlineStr">
        <is>
          <t>질병</t>
        </is>
      </c>
      <c r="C85" s="1022" t="n"/>
      <c r="D85" s="1021" t="n"/>
      <c r="E85" s="1017" t="n"/>
      <c r="F85" s="1021" t="n"/>
      <c r="G85" s="1017" t="n"/>
      <c r="H85" s="1172" t="n"/>
      <c r="I85" s="1017" t="n"/>
      <c r="J85" s="1021" t="n"/>
      <c r="K85" s="1017" t="n"/>
      <c r="L85" s="1173" t="n"/>
      <c r="M85" s="1017" t="n"/>
      <c r="N85" s="1113" t="n"/>
      <c r="O85" s="830" t="n"/>
      <c r="P85" s="832" t="n"/>
      <c r="Q85" s="126" t="inlineStr">
        <is>
          <t>질병</t>
        </is>
      </c>
      <c r="R85" s="959">
        <f>R34+C85+E85+G85+I85+K85+M85</f>
        <v/>
      </c>
    </row>
    <row r="86" ht="15" customHeight="1" s="797">
      <c r="A86" s="841" t="n"/>
      <c r="B86" s="157" t="inlineStr">
        <is>
          <t>재해/상해</t>
        </is>
      </c>
      <c r="C86" s="1079" t="n"/>
      <c r="D86" s="1039" t="n"/>
      <c r="E86" s="1024" t="n"/>
      <c r="F86" s="1029" t="n"/>
      <c r="G86" s="1024" t="n"/>
      <c r="H86" s="1174" t="n"/>
      <c r="I86" s="1024" t="n"/>
      <c r="J86" s="1029" t="n"/>
      <c r="K86" s="1024" t="n"/>
      <c r="L86" s="1115" t="n"/>
      <c r="M86" s="1024" t="n"/>
      <c r="N86" s="1116" t="n"/>
      <c r="O86" s="830" t="n"/>
      <c r="P86" s="841" t="n"/>
      <c r="Q86" s="127" t="inlineStr">
        <is>
          <t>상해</t>
        </is>
      </c>
      <c r="R86" s="963">
        <f>R35+C86+E86+G86+I86+K86+M86</f>
        <v/>
      </c>
    </row>
    <row r="87" ht="15" customHeight="1" s="797">
      <c r="A87" s="746" t="inlineStr">
        <is>
          <t>수술비</t>
        </is>
      </c>
      <c r="B87" s="158" t="inlineStr">
        <is>
          <t>질병</t>
        </is>
      </c>
      <c r="C87" s="1015" t="n"/>
      <c r="D87" s="1014" t="n"/>
      <c r="E87" s="1010" t="n"/>
      <c r="F87" s="1014" t="n"/>
      <c r="G87" s="1010" t="n"/>
      <c r="H87" s="1014" t="n"/>
      <c r="I87" s="1010" t="n"/>
      <c r="J87" s="1014" t="n"/>
      <c r="K87" s="1010" t="n"/>
      <c r="L87" s="1109" t="n"/>
      <c r="M87" s="1010" t="n"/>
      <c r="N87" s="1110" t="n"/>
      <c r="O87" s="830" t="n"/>
      <c r="P87" s="779" t="inlineStr">
        <is>
          <t>수술비</t>
        </is>
      </c>
      <c r="Q87" s="128" t="inlineStr">
        <is>
          <t>질병</t>
        </is>
      </c>
      <c r="R87" s="957">
        <f>R36+C87+E87+G87+I87+K87+M87</f>
        <v/>
      </c>
    </row>
    <row r="88" ht="15" customHeight="1" s="797">
      <c r="A88" s="832" t="n"/>
      <c r="B88" s="158" t="inlineStr">
        <is>
          <t>상해</t>
        </is>
      </c>
      <c r="C88" s="1022" t="n"/>
      <c r="D88" s="1021" t="n"/>
      <c r="E88" s="1017" t="n"/>
      <c r="F88" s="1039" t="n"/>
      <c r="G88" s="1017" t="n"/>
      <c r="H88" s="1021" t="n"/>
      <c r="I88" s="1017" t="n"/>
      <c r="J88" s="1021" t="n"/>
      <c r="K88" s="1017" t="n"/>
      <c r="L88" s="1112" t="n"/>
      <c r="M88" s="1017" t="n"/>
      <c r="N88" s="1113" t="n"/>
      <c r="O88" s="830" t="n"/>
      <c r="P88" s="832" t="n"/>
      <c r="Q88" s="129" t="inlineStr">
        <is>
          <t>상해</t>
        </is>
      </c>
      <c r="R88" s="959">
        <f>R37+C88+E88+G88+I88+K88+M88</f>
        <v/>
      </c>
    </row>
    <row r="89" ht="15" customHeight="1" s="797">
      <c r="A89" s="832" t="n"/>
      <c r="B89" s="158" t="inlineStr">
        <is>
          <t>1~5종</t>
        </is>
      </c>
      <c r="C89" s="1022" t="n"/>
      <c r="D89" s="1021" t="n"/>
      <c r="E89" s="1017" t="n"/>
      <c r="F89" s="1039" t="n"/>
      <c r="G89" s="1017" t="n"/>
      <c r="H89" s="1162" t="n"/>
      <c r="I89" s="1038" t="n"/>
      <c r="J89" s="1039" t="n"/>
      <c r="K89" s="1038" t="n"/>
      <c r="L89" s="1179" t="n"/>
      <c r="M89" s="1180" t="n"/>
      <c r="N89" s="1119" t="n"/>
      <c r="O89" s="830" t="n"/>
      <c r="P89" s="832" t="n"/>
      <c r="Q89" s="129" t="inlineStr">
        <is>
          <t>1~5종</t>
        </is>
      </c>
      <c r="R89" s="959">
        <f>R38+C89+E89+G89+I89+K89+M89</f>
        <v/>
      </c>
    </row>
    <row r="90" ht="15" customHeight="1" s="797">
      <c r="A90" s="832" t="n"/>
      <c r="B90" s="159" t="inlineStr">
        <is>
          <t>64대 이상</t>
        </is>
      </c>
      <c r="C90" s="1045" t="n"/>
      <c r="D90" s="1136" t="n"/>
      <c r="E90" s="1043" t="n"/>
      <c r="F90" s="1136" t="n"/>
      <c r="G90" s="1043" t="n"/>
      <c r="H90" s="1181" t="n"/>
      <c r="I90" s="1044" t="n"/>
      <c r="J90" s="1136" t="n"/>
      <c r="K90" s="1044" t="n"/>
      <c r="L90" s="1183" t="n"/>
      <c r="M90" s="1043" t="n"/>
      <c r="N90" s="1138" t="n"/>
      <c r="O90" s="830" t="n"/>
      <c r="P90" s="832" t="n"/>
      <c r="Q90" s="130" t="inlineStr">
        <is>
          <t>64대 이상</t>
        </is>
      </c>
      <c r="R90" s="963">
        <f>R39+C90+E90+G90+I90+K90+M90</f>
        <v/>
      </c>
    </row>
    <row r="91" ht="15" customHeight="1" s="797">
      <c r="A91" s="748" t="inlineStr">
        <is>
          <t>진단비</t>
        </is>
      </c>
      <c r="B91" s="160" t="inlineStr">
        <is>
          <t>골절</t>
        </is>
      </c>
      <c r="C91" s="1010" t="n"/>
      <c r="D91" s="1014" t="n"/>
      <c r="E91" s="1010" t="n"/>
      <c r="F91" s="1014" t="n"/>
      <c r="G91" s="1010" t="n"/>
      <c r="H91" s="1014" t="n"/>
      <c r="I91" s="1010" t="n"/>
      <c r="J91" s="1163" t="n"/>
      <c r="K91" s="1010" t="n"/>
      <c r="L91" s="1109" t="n"/>
      <c r="M91" s="1010" t="n"/>
      <c r="N91" s="1110" t="n"/>
      <c r="O91" s="830" t="n"/>
      <c r="P91" s="782" t="inlineStr">
        <is>
          <t>진단비</t>
        </is>
      </c>
      <c r="Q91" s="131" t="inlineStr">
        <is>
          <t>골절</t>
        </is>
      </c>
      <c r="R91" s="957">
        <f>R40+C91+E91+G91+I91+K91+M91</f>
        <v/>
      </c>
    </row>
    <row r="92" ht="15" customHeight="1" s="797">
      <c r="A92" s="832" t="n"/>
      <c r="B92" s="161" t="inlineStr">
        <is>
          <t>화상</t>
        </is>
      </c>
      <c r="C92" s="1184" t="n"/>
      <c r="D92" s="1029" t="n"/>
      <c r="E92" s="1075" t="n"/>
      <c r="F92" s="1142" t="n"/>
      <c r="G92" s="1075" t="n"/>
      <c r="H92" s="1142" t="n"/>
      <c r="I92" s="1075" t="n"/>
      <c r="J92" s="1236" t="n"/>
      <c r="K92" s="1075" t="n"/>
      <c r="L92" s="1186" t="n"/>
      <c r="M92" s="1075" t="n"/>
      <c r="N92" s="1144" t="n"/>
      <c r="O92" s="830" t="n"/>
      <c r="P92" s="832" t="n"/>
      <c r="Q92" s="132" t="inlineStr">
        <is>
          <t>화상</t>
        </is>
      </c>
      <c r="R92" s="963">
        <f>R41+C92+E92+G92+I92+K92+M92</f>
        <v/>
      </c>
    </row>
    <row r="93" ht="15" customHeight="1" s="797">
      <c r="A93" s="1187" t="inlineStr">
        <is>
          <t>입원일당</t>
        </is>
      </c>
      <c r="B93" s="162" t="inlineStr">
        <is>
          <t>질병</t>
        </is>
      </c>
      <c r="C93" s="1015" t="n"/>
      <c r="D93" s="1014" t="n"/>
      <c r="E93" s="1015" t="n"/>
      <c r="F93" s="1014" t="n"/>
      <c r="G93" s="1015" t="n"/>
      <c r="H93" s="1014" t="n"/>
      <c r="I93" s="1015" t="n"/>
      <c r="J93" s="1163" t="n"/>
      <c r="K93" s="1010" t="n"/>
      <c r="L93" s="1109" t="n"/>
      <c r="M93" s="1010" t="n"/>
      <c r="N93" s="1110" t="n"/>
      <c r="O93" s="830" t="n"/>
      <c r="P93" s="1188" t="inlineStr">
        <is>
          <t>입원일당</t>
        </is>
      </c>
      <c r="Q93" s="133" t="inlineStr">
        <is>
          <t>질병</t>
        </is>
      </c>
      <c r="R93" s="957">
        <f>R42+C93+E93+G93+I93+K93+M93</f>
        <v/>
      </c>
    </row>
    <row r="94" ht="15" customHeight="1" s="797">
      <c r="A94" s="841" t="n"/>
      <c r="B94" s="163" t="inlineStr">
        <is>
          <t>재해/상해</t>
        </is>
      </c>
      <c r="C94" s="1027" t="n"/>
      <c r="D94" s="1029" t="n"/>
      <c r="E94" s="1027" t="n"/>
      <c r="F94" s="1029" t="n"/>
      <c r="G94" s="1027" t="n"/>
      <c r="H94" s="1029" t="n"/>
      <c r="I94" s="1027" t="n"/>
      <c r="J94" s="1174" t="n"/>
      <c r="K94" s="1024" t="n"/>
      <c r="L94" s="1115" t="n"/>
      <c r="M94" s="1024" t="n"/>
      <c r="N94" s="1116" t="n"/>
      <c r="O94" s="830" t="n"/>
      <c r="P94" s="841" t="n"/>
      <c r="Q94" s="134" t="inlineStr">
        <is>
          <t>재해/상해</t>
        </is>
      </c>
      <c r="R94" s="963">
        <f>R43+C94+E94+G94+I94+K94+M94</f>
        <v/>
      </c>
    </row>
    <row r="95" ht="15" customHeight="1" s="797">
      <c r="A95" s="1147" t="inlineStr">
        <is>
          <t>운전자</t>
        </is>
      </c>
      <c r="B95" s="144" t="inlineStr">
        <is>
          <t>벌금</t>
        </is>
      </c>
      <c r="C95" s="1022" t="n"/>
      <c r="D95" s="1014" t="n"/>
      <c r="E95" s="1010" t="n"/>
      <c r="F95" s="1014" t="n"/>
      <c r="G95" s="1010" t="n"/>
      <c r="H95" s="1014" t="n"/>
      <c r="I95" s="1010" t="n"/>
      <c r="J95" s="1163" t="n"/>
      <c r="K95" s="1010" t="n"/>
      <c r="L95" s="1189" t="n"/>
      <c r="M95" s="1010" t="n"/>
      <c r="N95" s="1110" t="n"/>
      <c r="O95" s="830" t="n"/>
      <c r="P95" s="1190" t="inlineStr">
        <is>
          <t>운전자</t>
        </is>
      </c>
      <c r="Q95" s="114" t="inlineStr">
        <is>
          <t>벌금</t>
        </is>
      </c>
      <c r="R95" s="957">
        <f>R44+C95+E95+G95+I95+K95+M95</f>
        <v/>
      </c>
    </row>
    <row r="96" ht="15" customHeight="1" s="797">
      <c r="A96" s="832" t="n"/>
      <c r="B96" s="144" t="inlineStr">
        <is>
          <t>변호사선임</t>
        </is>
      </c>
      <c r="C96" s="1022" t="n"/>
      <c r="D96" s="1021" t="n"/>
      <c r="E96" s="1017" t="n"/>
      <c r="F96" s="1021" t="n"/>
      <c r="G96" s="1017" t="n"/>
      <c r="H96" s="1021" t="n"/>
      <c r="I96" s="1017" t="n"/>
      <c r="J96" s="1172" t="n"/>
      <c r="K96" s="1017" t="n"/>
      <c r="L96" s="1191" t="n"/>
      <c r="M96" s="1017" t="n"/>
      <c r="N96" s="1113" t="n"/>
      <c r="O96" s="830" t="n"/>
      <c r="P96" s="832" t="n"/>
      <c r="Q96" s="114" t="inlineStr">
        <is>
          <t>변호사선임</t>
        </is>
      </c>
      <c r="R96" s="959">
        <f>R45+C96+E96+G96+I96+K96+M96</f>
        <v/>
      </c>
    </row>
    <row r="97" ht="15" customHeight="1" s="797">
      <c r="A97" s="841" t="n"/>
      <c r="B97" s="164" t="inlineStr">
        <is>
          <t>교통사고처리지원</t>
        </is>
      </c>
      <c r="C97" s="1022" t="n"/>
      <c r="D97" s="1021" t="n"/>
      <c r="E97" s="1038" t="n"/>
      <c r="F97" s="1039" t="n"/>
      <c r="G97" s="1038" t="n"/>
      <c r="H97" s="1039" t="n"/>
      <c r="I97" s="1038" t="n"/>
      <c r="J97" s="1162" t="n"/>
      <c r="K97" s="1038" t="n"/>
      <c r="L97" s="1179" t="n"/>
      <c r="M97" s="1038" t="n"/>
      <c r="N97" s="1119" t="n"/>
      <c r="O97" s="830" t="n"/>
      <c r="P97" s="841" t="n"/>
      <c r="Q97" s="135" t="inlineStr">
        <is>
          <t>교통사고처리지원</t>
        </is>
      </c>
      <c r="R97" s="963">
        <f>R46+C97+E97+G97+I97+K97+M97</f>
        <v/>
      </c>
    </row>
    <row r="98" ht="15" customHeight="1" s="797">
      <c r="A98" s="735" t="inlineStr">
        <is>
          <t>일상생활배상책임</t>
        </is>
      </c>
      <c r="B98" s="919" t="n"/>
      <c r="C98" s="1089" t="n"/>
      <c r="D98" s="1127" t="n"/>
      <c r="E98" s="1089" t="n"/>
      <c r="F98" s="1127" t="n"/>
      <c r="G98" s="1089" t="n"/>
      <c r="H98" s="1127" t="n"/>
      <c r="I98" s="1089" t="n"/>
      <c r="J98" s="1168" t="n"/>
      <c r="K98" s="1089" t="n"/>
      <c r="L98" s="1193" t="n"/>
      <c r="M98" s="1089" t="n"/>
      <c r="N98" s="1194" t="n"/>
      <c r="O98" s="830" t="n"/>
      <c r="P98" s="777" t="inlineStr">
        <is>
          <t>일상생활배상책임</t>
        </is>
      </c>
      <c r="Q98" s="919" t="n"/>
      <c r="R98" s="1148">
        <f>R47+C98+E98+G98+I98+K98+M98</f>
        <v/>
      </c>
    </row>
    <row r="99" ht="15" customHeight="1" s="797">
      <c r="A99" s="1149" t="inlineStr">
        <is>
          <t>기타</t>
        </is>
      </c>
      <c r="B99" s="937" t="n"/>
      <c r="C99" s="1195" t="n"/>
      <c r="D99" s="1163" t="n"/>
      <c r="E99" s="1196" t="n"/>
      <c r="F99" s="1197" t="n"/>
      <c r="G99" s="1198" t="n"/>
      <c r="H99" s="1197" t="n"/>
      <c r="I99" s="1198" t="n"/>
      <c r="J99" s="1163" t="n"/>
      <c r="K99" s="1198" t="n"/>
      <c r="L99" s="1208" t="n"/>
      <c r="M99" s="1198" t="n"/>
      <c r="N99" s="1237" t="n"/>
      <c r="O99" s="830" t="n"/>
      <c r="P99" s="1151" t="inlineStr">
        <is>
          <t>기타</t>
        </is>
      </c>
      <c r="Q99" s="980" t="n"/>
      <c r="R99" s="937" t="n"/>
    </row>
    <row r="100" ht="15" customHeight="1" s="797">
      <c r="A100" s="804" t="n"/>
      <c r="B100" s="805" t="n"/>
      <c r="C100" s="1196" t="n"/>
      <c r="D100" s="1172" t="n"/>
      <c r="E100" s="1152" t="n"/>
      <c r="F100" s="1197" t="n"/>
      <c r="G100" s="1200" t="n"/>
      <c r="H100" s="1197" t="n"/>
      <c r="I100" s="1200" t="n"/>
      <c r="J100" s="1172" t="n"/>
      <c r="K100" s="1153" t="n"/>
      <c r="L100" s="1207" t="n"/>
      <c r="M100" s="1200" t="n"/>
      <c r="N100" s="1202" t="n"/>
      <c r="O100" s="830" t="n"/>
      <c r="P100" s="804" t="n"/>
      <c r="Q100" s="804" t="n"/>
      <c r="R100" s="805" t="n"/>
    </row>
    <row r="101" ht="15" customHeight="1" s="797">
      <c r="A101" s="804" t="n"/>
      <c r="B101" s="805" t="n"/>
      <c r="C101" s="1196" t="n"/>
      <c r="D101" s="1172" t="n"/>
      <c r="E101" s="1200" t="n"/>
      <c r="F101" s="1172" t="n"/>
      <c r="G101" s="1200" t="n"/>
      <c r="H101" s="1197" t="n"/>
      <c r="I101" s="1200" t="n"/>
      <c r="J101" s="1172" t="n"/>
      <c r="K101" s="1200" t="n"/>
      <c r="L101" s="1191" t="n"/>
      <c r="M101" s="1200" t="n"/>
      <c r="N101" s="1202" t="n"/>
      <c r="O101" s="830" t="n"/>
      <c r="P101" s="804" t="n"/>
      <c r="Q101" s="804" t="n"/>
      <c r="R101" s="805" t="n"/>
    </row>
    <row r="102" ht="15" customHeight="1" s="797">
      <c r="A102" s="942" t="n"/>
      <c r="B102" s="946" t="n"/>
      <c r="C102" s="1203" t="n"/>
      <c r="D102" s="1174" t="n"/>
      <c r="E102" s="1204" t="n"/>
      <c r="F102" s="1174" t="n"/>
      <c r="G102" s="1204" t="n"/>
      <c r="H102" s="1166" t="n"/>
      <c r="I102" s="1204" t="n"/>
      <c r="J102" s="1174" t="n"/>
      <c r="K102" s="1204" t="n"/>
      <c r="L102" s="1205" t="n"/>
      <c r="M102" s="1204" t="n"/>
      <c r="N102" s="1206" t="n"/>
      <c r="O102" s="830" t="n"/>
      <c r="P102" s="942" t="n"/>
      <c r="Q102" s="942" t="n"/>
      <c r="R102" s="946" t="n"/>
    </row>
  </sheetData>
  <mergeCells count="202">
    <mergeCell ref="C6:D6"/>
    <mergeCell ref="C62:D62"/>
    <mergeCell ref="A98:B98"/>
    <mergeCell ref="M59:N59"/>
    <mergeCell ref="E62:F62"/>
    <mergeCell ref="K4:L4"/>
    <mergeCell ref="E8:F8"/>
    <mergeCell ref="A54:B54"/>
    <mergeCell ref="M60:N60"/>
    <mergeCell ref="A7:B7"/>
    <mergeCell ref="C54:D54"/>
    <mergeCell ref="C1:D1"/>
    <mergeCell ref="P59:Q59"/>
    <mergeCell ref="P99:P102"/>
    <mergeCell ref="E1:F1"/>
    <mergeCell ref="M10:N10"/>
    <mergeCell ref="M54:N54"/>
    <mergeCell ref="G57:H57"/>
    <mergeCell ref="P68:P72"/>
    <mergeCell ref="A91:A92"/>
    <mergeCell ref="A56:B56"/>
    <mergeCell ref="I58:J58"/>
    <mergeCell ref="P61:Q61"/>
    <mergeCell ref="K58:L58"/>
    <mergeCell ref="K52:L52"/>
    <mergeCell ref="K2:L2"/>
    <mergeCell ref="A84:A86"/>
    <mergeCell ref="P53:R57"/>
    <mergeCell ref="Q48:R51"/>
    <mergeCell ref="G58:H58"/>
    <mergeCell ref="P87:P90"/>
    <mergeCell ref="I52:J52"/>
    <mergeCell ref="M8:N8"/>
    <mergeCell ref="P47:Q47"/>
    <mergeCell ref="A53:B53"/>
    <mergeCell ref="A62:B62"/>
    <mergeCell ref="K53:L53"/>
    <mergeCell ref="M62:N62"/>
    <mergeCell ref="P58:Q58"/>
    <mergeCell ref="E53:F53"/>
    <mergeCell ref="A9:B9"/>
    <mergeCell ref="C3:D3"/>
    <mergeCell ref="E3:F3"/>
    <mergeCell ref="A36:A39"/>
    <mergeCell ref="G59:H59"/>
    <mergeCell ref="I6:J6"/>
    <mergeCell ref="A59:B59"/>
    <mergeCell ref="E55:F55"/>
    <mergeCell ref="A11:B11"/>
    <mergeCell ref="P10:Q10"/>
    <mergeCell ref="G61:H61"/>
    <mergeCell ref="A87:A90"/>
    <mergeCell ref="M1:N1"/>
    <mergeCell ref="I61:J61"/>
    <mergeCell ref="K55:L55"/>
    <mergeCell ref="A61:B61"/>
    <mergeCell ref="P60:Q60"/>
    <mergeCell ref="C4:D4"/>
    <mergeCell ref="P9:Q9"/>
    <mergeCell ref="E4:F4"/>
    <mergeCell ref="I57:J57"/>
    <mergeCell ref="P2:R6"/>
    <mergeCell ref="P52:Q52"/>
    <mergeCell ref="I54:J54"/>
    <mergeCell ref="P36:P39"/>
    <mergeCell ref="Q99:R102"/>
    <mergeCell ref="I7:J7"/>
    <mergeCell ref="G7:H7"/>
    <mergeCell ref="K1:L1"/>
    <mergeCell ref="P11:Q11"/>
    <mergeCell ref="G62:H62"/>
    <mergeCell ref="M7:N7"/>
    <mergeCell ref="P91:P92"/>
    <mergeCell ref="C60:D60"/>
    <mergeCell ref="P73:P79"/>
    <mergeCell ref="A73:A79"/>
    <mergeCell ref="I8:J8"/>
    <mergeCell ref="P93:P94"/>
    <mergeCell ref="A8:B8"/>
    <mergeCell ref="A48:B51"/>
    <mergeCell ref="P84:P86"/>
    <mergeCell ref="C8:D8"/>
    <mergeCell ref="A52:B52"/>
    <mergeCell ref="P22:P28"/>
    <mergeCell ref="I10:J10"/>
    <mergeCell ref="A10:B10"/>
    <mergeCell ref="K10:L10"/>
    <mergeCell ref="C57:D57"/>
    <mergeCell ref="P62:Q62"/>
    <mergeCell ref="P95:P97"/>
    <mergeCell ref="I59:J59"/>
    <mergeCell ref="A99:B102"/>
    <mergeCell ref="G60:H60"/>
    <mergeCell ref="K6:L6"/>
    <mergeCell ref="G9:H9"/>
    <mergeCell ref="C53:D53"/>
    <mergeCell ref="M53:N53"/>
    <mergeCell ref="I9:J9"/>
    <mergeCell ref="E58:F58"/>
    <mergeCell ref="K3:L3"/>
    <mergeCell ref="I60:J60"/>
    <mergeCell ref="G2:H2"/>
    <mergeCell ref="I2:J2"/>
    <mergeCell ref="G11:H11"/>
    <mergeCell ref="M55:N55"/>
    <mergeCell ref="C58:D58"/>
    <mergeCell ref="K9:L9"/>
    <mergeCell ref="I11:J11"/>
    <mergeCell ref="P1:Q1"/>
    <mergeCell ref="M9:N9"/>
    <mergeCell ref="M52:N52"/>
    <mergeCell ref="E52:F52"/>
    <mergeCell ref="A1:B1"/>
    <mergeCell ref="P40:P41"/>
    <mergeCell ref="K54:L54"/>
    <mergeCell ref="K60:L60"/>
    <mergeCell ref="A17:A21"/>
    <mergeCell ref="A44:A46"/>
    <mergeCell ref="M2:N2"/>
    <mergeCell ref="K11:L11"/>
    <mergeCell ref="A22:A28"/>
    <mergeCell ref="M11:N11"/>
    <mergeCell ref="P33:P35"/>
    <mergeCell ref="A80:A83"/>
    <mergeCell ref="A3:B3"/>
    <mergeCell ref="A55:B55"/>
    <mergeCell ref="C59:D59"/>
    <mergeCell ref="P48:P51"/>
    <mergeCell ref="E59:F59"/>
    <mergeCell ref="E6:F6"/>
    <mergeCell ref="K8:L8"/>
    <mergeCell ref="P44:P46"/>
    <mergeCell ref="A57:B57"/>
    <mergeCell ref="I62:J62"/>
    <mergeCell ref="A5:B5"/>
    <mergeCell ref="C61:D61"/>
    <mergeCell ref="A29:A32"/>
    <mergeCell ref="E61:F61"/>
    <mergeCell ref="A4:B4"/>
    <mergeCell ref="E57:F57"/>
    <mergeCell ref="A93:A94"/>
    <mergeCell ref="K7:L7"/>
    <mergeCell ref="C7:D7"/>
    <mergeCell ref="E54:F54"/>
    <mergeCell ref="E7:F7"/>
    <mergeCell ref="G54:H54"/>
    <mergeCell ref="G1:H1"/>
    <mergeCell ref="K57:L57"/>
    <mergeCell ref="A40:A41"/>
    <mergeCell ref="P29:P32"/>
    <mergeCell ref="M58:N58"/>
    <mergeCell ref="A12:A16"/>
    <mergeCell ref="G52:H52"/>
    <mergeCell ref="A60:B60"/>
    <mergeCell ref="A33:A35"/>
    <mergeCell ref="G8:H8"/>
    <mergeCell ref="A6:B6"/>
    <mergeCell ref="A63:A67"/>
    <mergeCell ref="P80:P83"/>
    <mergeCell ref="A68:A72"/>
    <mergeCell ref="C10:D10"/>
    <mergeCell ref="E10:F10"/>
    <mergeCell ref="P12:P16"/>
    <mergeCell ref="G10:H10"/>
    <mergeCell ref="P8:Q8"/>
    <mergeCell ref="C55:D55"/>
    <mergeCell ref="G53:H53"/>
    <mergeCell ref="G6:H6"/>
    <mergeCell ref="C9:D9"/>
    <mergeCell ref="I53:J53"/>
    <mergeCell ref="E60:F60"/>
    <mergeCell ref="E9:F9"/>
    <mergeCell ref="G3:H3"/>
    <mergeCell ref="I3:J3"/>
    <mergeCell ref="K59:L59"/>
    <mergeCell ref="A2:B2"/>
    <mergeCell ref="P63:P67"/>
    <mergeCell ref="C2:D2"/>
    <mergeCell ref="M6:N6"/>
    <mergeCell ref="P7:Q7"/>
    <mergeCell ref="E2:F2"/>
    <mergeCell ref="C11:D11"/>
    <mergeCell ref="A42:A43"/>
    <mergeCell ref="I55:J55"/>
    <mergeCell ref="E11:F11"/>
    <mergeCell ref="A47:B47"/>
    <mergeCell ref="P98:Q98"/>
    <mergeCell ref="M3:N3"/>
    <mergeCell ref="C52:D52"/>
    <mergeCell ref="K61:L61"/>
    <mergeCell ref="M61:N61"/>
    <mergeCell ref="I1:J1"/>
    <mergeCell ref="G55:H55"/>
    <mergeCell ref="G4:H4"/>
    <mergeCell ref="I4:J4"/>
    <mergeCell ref="M57:N57"/>
    <mergeCell ref="P42:P43"/>
    <mergeCell ref="P17:P21"/>
    <mergeCell ref="A95:A97"/>
    <mergeCell ref="K62:L62"/>
    <mergeCell ref="M4:N4"/>
    <mergeCell ref="A58:B58"/>
  </mergeCells>
  <printOptions horizontalCentered="1" verticalCentered="1"/>
  <pageMargins left="0" right="0" top="0" bottom="0" header="0" footer="0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hds</dc:creator>
  <dcterms:created xmlns:dcterms="http://purl.org/dc/terms/" xmlns:xsi="http://www.w3.org/2001/XMLSchema-instance" xsi:type="dcterms:W3CDTF">2014-10-23T04:13:31Z</dcterms:created>
  <dcterms:modified xmlns:dcterms="http://purl.org/dc/terms/" xmlns:xsi="http://www.w3.org/2001/XMLSchema-instance" xsi:type="dcterms:W3CDTF">2026-06-15T06:57:50Z</dcterms:modified>
  <cp:lastModifiedBy>hoo</cp:lastModifiedBy>
  <cp:version>1200.0100.01</cp:version>
  <cp:revision>28</cp:revision>
  <cp:lastPrinted>2026-03-11T01:35:06Z</cp:lastPrinted>
</cp:coreProperties>
</file>